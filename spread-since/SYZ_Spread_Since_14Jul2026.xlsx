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ead Monitor" sheetId="1" state="visible" r:id="rId1"/>
    <sheet name="Top &amp; Bottom" sheetId="2" state="visible" r:id="rId2"/>
    <sheet name="Company_desc" sheetId="3" state="visible" r:id="rId3"/>
    <sheet name="SYZ_static" sheetId="4" state="visible" r:id="rId4"/>
    <sheet name="ReadMe" sheetId="5" state="visible" r:id="rId5"/>
  </sheets>
  <definedNames>
    <definedName name="_xlnm._FilterDatabase" localSheetId="0" hidden="1">'Spread Monitor'!$A$6:$Y$850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.MM.YYYY"/>
    <numFmt numFmtId="166" formatCode="0.000"/>
    <numFmt numFmtId="167" formatCode="0.###"/>
    <numFmt numFmtId="168" formatCode="+0;-0;0"/>
    <numFmt numFmtId="169" formatCode="+0.00;-0.00;0.00"/>
    <numFmt numFmtId="170" formatCode="&quot;Anchor date: &quot;DD.MM.YYYY"/>
  </numFmts>
  <fonts count="14">
    <font>
      <name val="Calibri"/>
      <family val="2"/>
      <color theme="1"/>
      <sz val="11"/>
      <scheme val="minor"/>
    </font>
    <font>
      <name val="Arial"/>
      <b val="1"/>
      <color rgb="FF1F4E79"/>
      <sz val="16"/>
    </font>
    <font>
      <name val="Arial"/>
      <b val="1"/>
      <color rgb="FF1F2933"/>
      <sz val="10"/>
    </font>
    <font>
      <name val="Arial"/>
      <b val="1"/>
      <color rgb="FF0000FF"/>
      <sz val="10"/>
    </font>
    <font>
      <name val="Arial"/>
      <i val="1"/>
      <color rgb="FF6B7280"/>
      <sz val="9"/>
    </font>
    <font>
      <name val="Arial"/>
      <color rgb="FF1F2933"/>
      <sz val="10"/>
    </font>
    <font>
      <name val="Arial"/>
      <b val="1"/>
      <color rgb="FFFFFFFF"/>
      <sz val="10"/>
    </font>
    <font>
      <name val="Arial"/>
      <color rgb="FF0000FF"/>
      <sz val="9"/>
    </font>
    <font>
      <name val="Arial"/>
      <color rgb="FF1F2933"/>
      <sz val="9"/>
    </font>
    <font>
      <name val="Arial"/>
      <i val="1"/>
      <color rgb="FF6B7280"/>
      <sz val="10"/>
    </font>
    <font>
      <name val="Arial"/>
      <b val="1"/>
      <color rgb="FFB42318"/>
      <sz val="12"/>
    </font>
    <font>
      <name val="Arial"/>
      <b val="1"/>
      <color rgb="FFFFFFFF"/>
      <sz val="9"/>
    </font>
    <font>
      <name val="Arial"/>
      <b val="1"/>
      <color rgb="FF067647"/>
      <sz val="12"/>
    </font>
    <font>
      <name val="Arial"/>
      <b val="1"/>
      <color rgb="FF1F4E79"/>
      <sz val="12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1F4E79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left" vertical="center"/>
    </xf>
    <xf numFmtId="49" fontId="8" fillId="0" borderId="1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1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49" fontId="7" fillId="4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left" vertical="center"/>
    </xf>
    <xf numFmtId="166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7" fontId="8" fillId="4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168" fontId="8" fillId="4" borderId="1" applyAlignment="1" pivotButton="0" quotePrefix="0" xfId="0">
      <alignment horizontal="right" vertical="center"/>
    </xf>
    <xf numFmtId="169" fontId="8" fillId="4" borderId="1" applyAlignment="1" pivotButton="0" quotePrefix="0" xfId="0">
      <alignment horizontal="right" vertical="center"/>
    </xf>
    <xf numFmtId="17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6" fillId="3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dxfs count="2">
    <dxf>
      <font>
        <name val="Arial"/>
        <color rgb="FFB42318"/>
        <sz val="9"/>
      </font>
    </dxf>
    <dxf>
      <font>
        <name val="Arial"/>
        <color rgb="FF067647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B2" authorId="0" shapeId="0">
      <text>
        <t>The only input cell on this sheet. Every "since" column reads it as the Bloomberg
SETTLE_DT. Change it to re-base the whole analysis - the headers in row 6 follow
automatically. Requested value: 14 July 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Y85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58" customWidth="1" min="3" max="3"/>
    <col width="14" customWidth="1" min="4" max="4"/>
    <col width="20" customWidth="1" min="5" max="5"/>
    <col width="16" customWidth="1" min="6" max="6"/>
    <col width="7" customWidth="1" min="7" max="7"/>
    <col width="10" customWidth="1" min="8" max="8"/>
    <col width="18" customWidth="1" min="9" max="9"/>
    <col width="18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7" customWidth="1" min="18" max="18"/>
    <col width="16" customWidth="1" min="19" max="19"/>
    <col width="15" customWidth="1" min="20" max="20"/>
    <col width="14" customWidth="1" min="21" max="21"/>
    <col hidden="1" outlineLevel="1" width="13" customWidth="1" min="22" max="25"/>
  </cols>
  <sheetData>
    <row r="1">
      <c r="A1" s="1" t="inlineStr">
        <is>
          <t>Bond spread variation since 14.07.2026</t>
        </is>
      </c>
    </row>
    <row r="2">
      <c r="A2" s="2" t="inlineStr">
        <is>
          <t>Anchor date</t>
        </is>
      </c>
      <c r="B2" s="3" t="n">
        <v>46217</v>
      </c>
      <c r="C2" s="4" t="inlineStr">
        <is>
          <t>Blue on yellow = the only cell to edit. Everything else is a formula.</t>
        </is>
      </c>
    </row>
    <row r="3">
      <c r="A3" s="2" t="inlineStr">
        <is>
          <t>Bonds priced</t>
        </is>
      </c>
      <c r="B3" s="5">
        <f>COUNT($S$7:$S$850)&amp;" of "&amp;COUNTA($A$7:$A$850)</f>
        <v/>
      </c>
      <c r="C3" s="4" t="inlineStr">
        <is>
          <t>Paste additional ISINs at the bottom of column A - formulas already run to row 850.</t>
        </is>
      </c>
    </row>
    <row r="4">
      <c r="A4" s="2" t="inlineStr">
        <is>
          <t>Data</t>
        </is>
      </c>
      <c r="B4" s="4" t="inlineStr">
        <is>
          <t>Bloomberg BDP (add-in must be connected). Press F9 / Ctrl+Alt+F9 to refresh.</t>
        </is>
      </c>
    </row>
    <row r="6" ht="32" customHeight="1">
      <c r="A6" s="6" t="inlineStr">
        <is>
          <t>ISIN</t>
        </is>
      </c>
      <c r="B6" s="6" t="inlineStr">
        <is>
          <t>Company</t>
        </is>
      </c>
      <c r="C6" s="6" t="inlineStr">
        <is>
          <t>Company description</t>
        </is>
      </c>
      <c r="D6" s="6" t="inlineStr">
        <is>
          <t>SYZ view</t>
        </is>
      </c>
      <c r="E6" s="6" t="inlineStr">
        <is>
          <t>Sector</t>
        </is>
      </c>
      <c r="F6" s="6" t="inlineStr">
        <is>
          <t>Country</t>
        </is>
      </c>
      <c r="G6" s="6" t="inlineStr">
        <is>
          <t>Ccy</t>
        </is>
      </c>
      <c r="H6" s="6" t="inlineStr">
        <is>
          <t>Rating</t>
        </is>
      </c>
      <c r="I6" s="6" t="inlineStr">
        <is>
          <t>Classification</t>
        </is>
      </c>
      <c r="J6" s="6" t="inlineStr">
        <is>
          <t>Structure</t>
        </is>
      </c>
      <c r="K6" s="6" t="inlineStr">
        <is>
          <t>Coupon</t>
        </is>
      </c>
      <c r="L6" s="6" t="inlineStr">
        <is>
          <t>Maturity</t>
        </is>
      </c>
      <c r="M6" s="6" t="inlineStr">
        <is>
          <t>Den. (k)</t>
        </is>
      </c>
      <c r="N6" s="6" t="inlineStr">
        <is>
          <t>Price</t>
        </is>
      </c>
      <c r="O6" s="6" t="inlineStr">
        <is>
          <t>YTW (%)</t>
        </is>
      </c>
      <c r="P6" s="6" t="inlineStr">
        <is>
          <t>Mod. dur.</t>
        </is>
      </c>
      <c r="Q6" s="6" t="inlineStr">
        <is>
          <t>Spread today (bp)</t>
        </is>
      </c>
      <c r="R6" s="6">
        <f>"Spread on "&amp;TEXT($B$2,"dd.mm.yyyy")&amp;" (bp)"</f>
        <v/>
      </c>
      <c r="S6" s="6">
        <f>"Spread change since "&amp;TEXT($B$2,"dd.mm.yyyy")&amp;" (bp)"</f>
        <v/>
      </c>
      <c r="T6" s="6">
        <f>"YTW on "&amp;TEXT($B$2,"dd.mm.yyyy")&amp;" (%)"</f>
        <v/>
      </c>
      <c r="U6" s="6">
        <f>"YTW change since "&amp;TEXT($B$2,"dd.mm.yyyy")&amp;" (%)"</f>
        <v/>
      </c>
      <c r="V6" s="6" t="inlineStr">
        <is>
          <t>Rank widening</t>
        </is>
      </c>
      <c r="W6" s="6" t="inlineStr">
        <is>
          <t>Rank tightening</t>
        </is>
      </c>
      <c r="X6" s="6" t="inlineStr">
        <is>
          <t>Key widening</t>
        </is>
      </c>
      <c r="Y6" s="6" t="inlineStr">
        <is>
          <t>Key tightening</t>
        </is>
      </c>
    </row>
    <row r="7">
      <c r="A7" s="7" t="inlineStr">
        <is>
          <t>USN15516AB83</t>
        </is>
      </c>
      <c r="B7" s="8">
        <f>IF($A7="","",PROPER(_xll.BDP($A7&amp;" Corp","NAME")))</f>
        <v/>
      </c>
      <c r="C7" s="8">
        <f>IF($A7="","",IFERROR(INDEX(Company_desc!$B$2:$B$1144,MATCH($A7,Company_desc!$A$2:$A$1144,0)),IFERROR(INDEX(SYZ_static!$Q$2:$Q$806,MATCH($A7,SYZ_static!$A$2:$A$806,0)),"")))</f>
        <v/>
      </c>
      <c r="D7" s="8">
        <f>IF($A7="","",IFERROR(INDEX(SYZ_static!$B$2:$B$806,MATCH($A7,SYZ_static!$A$2:$A$806,0)),""))</f>
        <v/>
      </c>
      <c r="E7" s="8">
        <f>IF($A7="","",_xll.BDP($A7&amp;" Corp","INDUSTRY_SECTOR"))</f>
        <v/>
      </c>
      <c r="F7" s="8">
        <f>IF($A7="","",PROPER(_xll.BDP($A7&amp;" Corp","COUNTRY_FULL_NAME")))</f>
        <v/>
      </c>
      <c r="G7" s="8">
        <f>IF($A7="","",_xll.BDP($A7&amp;" Corp","CRNCY"))</f>
        <v/>
      </c>
      <c r="H7" s="8">
        <f>IF($A7="","",IFERROR(INDEX(SYZ_static!$T$2:$T$806,MATCH($A7,SYZ_static!$A$2:$A$806,0)),_xll.BDP($A7&amp;" Corp","RTG_SP")))</f>
        <v/>
      </c>
      <c r="I7" s="8">
        <f>IF($A7="","",IFERROR(INDEX(SYZ_static!$S$2:$S$806,MATCH($A7,SYZ_static!$A$2:$A$806,0)),""))</f>
        <v/>
      </c>
      <c r="J7" s="8">
        <f>IF($A7="","",_xll.BDP($A7&amp;" Corp","PAYMENT_RANK"))</f>
        <v/>
      </c>
      <c r="K7" s="9">
        <f>IF($A7="","",_xll.BDP($A7&amp;" Corp","CPN"))</f>
        <v/>
      </c>
      <c r="L7" s="10">
        <f>IF($A7="","",_xll.BDP($A7&amp;" Corp","MATURITY"))</f>
        <v/>
      </c>
      <c r="M7" s="11">
        <f>IF($A7="","",IFERROR(_xll.BDP($A7&amp;" Corp","MIN_PIECE")/1000,""))</f>
        <v/>
      </c>
      <c r="N7" s="12">
        <f>IF($A7="","",_xll.BDP($A7&amp;" Corp","PX_LAST"))</f>
        <v/>
      </c>
      <c r="O7" s="12">
        <f>IF($A7="","",_xll.BDP($A7&amp;" Corp","YAS_BOND_YLD","YAS_YLD_FLAG=15"))</f>
        <v/>
      </c>
      <c r="P7" s="12">
        <f>IF($A7="","",_xll.BDP($A7&amp;" Corp","YAS_MOD_DUR"))</f>
        <v/>
      </c>
      <c r="Q7" s="13">
        <f>IF($A7="","",_xll.BDP($A7&amp;" Corp","YAS_OAS_SPRD"))</f>
        <v/>
      </c>
      <c r="R7" s="13">
        <f>IF($A7="","",_xll.BDP($A7&amp;" Corp","YAS_OAS_SPRD","SETTLE_DT",$B$2))</f>
        <v/>
      </c>
      <c r="S7" s="14">
        <f>IF($A7="","",IF(OR(NOT(ISNUMBER($Q7)),NOT(ISNUMBER($R7))),"",$Q7-$R7))</f>
        <v/>
      </c>
      <c r="T7" s="12">
        <f>IF($A7="","",_xll.BDP($A7&amp;" Corp","YAS_BOND_YLD","YAS_YLD_FLAG=15","SETTLE_DT",$B$2))</f>
        <v/>
      </c>
      <c r="U7" s="15">
        <f>IF($A7="","",IF(OR(NOT(ISNUMBER($O7)),NOT(ISNUMBER($T7))),"",$O7-$T7))</f>
        <v/>
      </c>
      <c r="V7" s="13">
        <f>IF(NOT(ISNUMBER($S7)),"",COUNTIFS($G$7:$G$850,$G7,$S$7:$S$850,"&gt;"&amp;$S7)+COUNTIFS($G$7:$G7,$G7,$S$7:$S7,$S7))</f>
        <v/>
      </c>
      <c r="W7" s="13">
        <f>IF(NOT(ISNUMBER($S7)),"",COUNTIFS($G$7:$G$850,$G7,$S$7:$S$850,"&lt;"&amp;$S7)+COUNTIFS($G$7:$G7,$G7,$S$7:$S7,$S7))</f>
        <v/>
      </c>
      <c r="X7" s="8">
        <f>IF($V7="","",$G7&amp;"|"&amp;$V7)</f>
        <v/>
      </c>
      <c r="Y7" s="8">
        <f>IF($W7="","",$G7&amp;"|"&amp;$W7)</f>
        <v/>
      </c>
    </row>
    <row r="8">
      <c r="A8" s="16" t="inlineStr">
        <is>
          <t>USN15516AG70</t>
        </is>
      </c>
      <c r="B8" s="17">
        <f>IF($A8="","",PROPER(_xll.BDP($A8&amp;" Corp","NAME")))</f>
        <v/>
      </c>
      <c r="C8" s="17">
        <f>IF($A8="","",IFERROR(INDEX(Company_desc!$B$2:$B$1144,MATCH($A8,Company_desc!$A$2:$A$1144,0)),IFERROR(INDEX(SYZ_static!$Q$2:$Q$806,MATCH($A8,SYZ_static!$A$2:$A$806,0)),"")))</f>
        <v/>
      </c>
      <c r="D8" s="17">
        <f>IF($A8="","",IFERROR(INDEX(SYZ_static!$B$2:$B$806,MATCH($A8,SYZ_static!$A$2:$A$806,0)),""))</f>
        <v/>
      </c>
      <c r="E8" s="17">
        <f>IF($A8="","",_xll.BDP($A8&amp;" Corp","INDUSTRY_SECTOR"))</f>
        <v/>
      </c>
      <c r="F8" s="17">
        <f>IF($A8="","",PROPER(_xll.BDP($A8&amp;" Corp","COUNTRY_FULL_NAME")))</f>
        <v/>
      </c>
      <c r="G8" s="17">
        <f>IF($A8="","",_xll.BDP($A8&amp;" Corp","CRNCY"))</f>
        <v/>
      </c>
      <c r="H8" s="17">
        <f>IF($A8="","",IFERROR(INDEX(SYZ_static!$T$2:$T$806,MATCH($A8,SYZ_static!$A$2:$A$806,0)),_xll.BDP($A8&amp;" Corp","RTG_SP")))</f>
        <v/>
      </c>
      <c r="I8" s="17">
        <f>IF($A8="","",IFERROR(INDEX(SYZ_static!$S$2:$S$806,MATCH($A8,SYZ_static!$A$2:$A$806,0)),""))</f>
        <v/>
      </c>
      <c r="J8" s="17">
        <f>IF($A8="","",_xll.BDP($A8&amp;" Corp","PAYMENT_RANK"))</f>
        <v/>
      </c>
      <c r="K8" s="18">
        <f>IF($A8="","",_xll.BDP($A8&amp;" Corp","CPN"))</f>
        <v/>
      </c>
      <c r="L8" s="19">
        <f>IF($A8="","",_xll.BDP($A8&amp;" Corp","MATURITY"))</f>
        <v/>
      </c>
      <c r="M8" s="20">
        <f>IF($A8="","",IFERROR(_xll.BDP($A8&amp;" Corp","MIN_PIECE")/1000,""))</f>
        <v/>
      </c>
      <c r="N8" s="21">
        <f>IF($A8="","",_xll.BDP($A8&amp;" Corp","PX_LAST"))</f>
        <v/>
      </c>
      <c r="O8" s="21">
        <f>IF($A8="","",_xll.BDP($A8&amp;" Corp","YAS_BOND_YLD","YAS_YLD_FLAG=15"))</f>
        <v/>
      </c>
      <c r="P8" s="21">
        <f>IF($A8="","",_xll.BDP($A8&amp;" Corp","YAS_MOD_DUR"))</f>
        <v/>
      </c>
      <c r="Q8" s="22">
        <f>IF($A8="","",_xll.BDP($A8&amp;" Corp","YAS_OAS_SPRD"))</f>
        <v/>
      </c>
      <c r="R8" s="22">
        <f>IF($A8="","",_xll.BDP($A8&amp;" Corp","YAS_OAS_SPRD","SETTLE_DT",$B$2))</f>
        <v/>
      </c>
      <c r="S8" s="23">
        <f>IF($A8="","",IF(OR(NOT(ISNUMBER($Q8)),NOT(ISNUMBER($R8))),"",$Q8-$R8))</f>
        <v/>
      </c>
      <c r="T8" s="21">
        <f>IF($A8="","",_xll.BDP($A8&amp;" Corp","YAS_BOND_YLD","YAS_YLD_FLAG=15","SETTLE_DT",$B$2))</f>
        <v/>
      </c>
      <c r="U8" s="24">
        <f>IF($A8="","",IF(OR(NOT(ISNUMBER($O8)),NOT(ISNUMBER($T8))),"",$O8-$T8))</f>
        <v/>
      </c>
      <c r="V8" s="22">
        <f>IF(NOT(ISNUMBER($S8)),"",COUNTIFS($G$7:$G$850,$G8,$S$7:$S$850,"&gt;"&amp;$S8)+COUNTIFS($G$7:$G8,$G8,$S$7:$S8,$S8))</f>
        <v/>
      </c>
      <c r="W8" s="22">
        <f>IF(NOT(ISNUMBER($S8)),"",COUNTIFS($G$7:$G$850,$G8,$S$7:$S$850,"&lt;"&amp;$S8)+COUNTIFS($G$7:$G8,$G8,$S$7:$S8,$S8))</f>
        <v/>
      </c>
      <c r="X8" s="17">
        <f>IF($V8="","",$G8&amp;"|"&amp;$V8)</f>
        <v/>
      </c>
      <c r="Y8" s="17">
        <f>IF($W8="","",$G8&amp;"|"&amp;$W8)</f>
        <v/>
      </c>
    </row>
    <row r="9">
      <c r="A9" s="7" t="inlineStr">
        <is>
          <t>USU60050AA61</t>
        </is>
      </c>
      <c r="B9" s="8">
        <f>IF($A9="","",PROPER(_xll.BDP($A9&amp;" Corp","NAME")))</f>
        <v/>
      </c>
      <c r="C9" s="8">
        <f>IF($A9="","",IFERROR(INDEX(Company_desc!$B$2:$B$1144,MATCH($A9,Company_desc!$A$2:$A$1144,0)),IFERROR(INDEX(SYZ_static!$Q$2:$Q$806,MATCH($A9,SYZ_static!$A$2:$A$806,0)),"")))</f>
        <v/>
      </c>
      <c r="D9" s="8">
        <f>IF($A9="","",IFERROR(INDEX(SYZ_static!$B$2:$B$806,MATCH($A9,SYZ_static!$A$2:$A$806,0)),""))</f>
        <v/>
      </c>
      <c r="E9" s="8">
        <f>IF($A9="","",_xll.BDP($A9&amp;" Corp","INDUSTRY_SECTOR"))</f>
        <v/>
      </c>
      <c r="F9" s="8">
        <f>IF($A9="","",PROPER(_xll.BDP($A9&amp;" Corp","COUNTRY_FULL_NAME")))</f>
        <v/>
      </c>
      <c r="G9" s="8">
        <f>IF($A9="","",_xll.BDP($A9&amp;" Corp","CRNCY"))</f>
        <v/>
      </c>
      <c r="H9" s="8">
        <f>IF($A9="","",IFERROR(INDEX(SYZ_static!$T$2:$T$806,MATCH($A9,SYZ_static!$A$2:$A$806,0)),_xll.BDP($A9&amp;" Corp","RTG_SP")))</f>
        <v/>
      </c>
      <c r="I9" s="8">
        <f>IF($A9="","",IFERROR(INDEX(SYZ_static!$S$2:$S$806,MATCH($A9,SYZ_static!$A$2:$A$806,0)),""))</f>
        <v/>
      </c>
      <c r="J9" s="8">
        <f>IF($A9="","",_xll.BDP($A9&amp;" Corp","PAYMENT_RANK"))</f>
        <v/>
      </c>
      <c r="K9" s="9">
        <f>IF($A9="","",_xll.BDP($A9&amp;" Corp","CPN"))</f>
        <v/>
      </c>
      <c r="L9" s="10">
        <f>IF($A9="","",_xll.BDP($A9&amp;" Corp","MATURITY"))</f>
        <v/>
      </c>
      <c r="M9" s="11">
        <f>IF($A9="","",IFERROR(_xll.BDP($A9&amp;" Corp","MIN_PIECE")/1000,""))</f>
        <v/>
      </c>
      <c r="N9" s="12">
        <f>IF($A9="","",_xll.BDP($A9&amp;" Corp","PX_LAST"))</f>
        <v/>
      </c>
      <c r="O9" s="12">
        <f>IF($A9="","",_xll.BDP($A9&amp;" Corp","YAS_BOND_YLD","YAS_YLD_FLAG=15"))</f>
        <v/>
      </c>
      <c r="P9" s="12">
        <f>IF($A9="","",_xll.BDP($A9&amp;" Corp","YAS_MOD_DUR"))</f>
        <v/>
      </c>
      <c r="Q9" s="13">
        <f>IF($A9="","",_xll.BDP($A9&amp;" Corp","YAS_OAS_SPRD"))</f>
        <v/>
      </c>
      <c r="R9" s="13">
        <f>IF($A9="","",_xll.BDP($A9&amp;" Corp","YAS_OAS_SPRD","SETTLE_DT",$B$2))</f>
        <v/>
      </c>
      <c r="S9" s="14">
        <f>IF($A9="","",IF(OR(NOT(ISNUMBER($Q9)),NOT(ISNUMBER($R9))),"",$Q9-$R9))</f>
        <v/>
      </c>
      <c r="T9" s="12">
        <f>IF($A9="","",_xll.BDP($A9&amp;" Corp","YAS_BOND_YLD","YAS_YLD_FLAG=15","SETTLE_DT",$B$2))</f>
        <v/>
      </c>
      <c r="U9" s="15">
        <f>IF($A9="","",IF(OR(NOT(ISNUMBER($O9)),NOT(ISNUMBER($T9))),"",$O9-$T9))</f>
        <v/>
      </c>
      <c r="V9" s="13">
        <f>IF(NOT(ISNUMBER($S9)),"",COUNTIFS($G$7:$G$850,$G9,$S$7:$S$850,"&gt;"&amp;$S9)+COUNTIFS($G$7:$G9,$G9,$S$7:$S9,$S9))</f>
        <v/>
      </c>
      <c r="W9" s="13">
        <f>IF(NOT(ISNUMBER($S9)),"",COUNTIFS($G$7:$G$850,$G9,$S$7:$S$850,"&lt;"&amp;$S9)+COUNTIFS($G$7:$G9,$G9,$S$7:$S9,$S9))</f>
        <v/>
      </c>
      <c r="X9" s="8">
        <f>IF($V9="","",$G9&amp;"|"&amp;$V9)</f>
        <v/>
      </c>
      <c r="Y9" s="8">
        <f>IF($W9="","",$G9&amp;"|"&amp;$W9)</f>
        <v/>
      </c>
    </row>
    <row r="10">
      <c r="A10" s="16" t="inlineStr">
        <is>
          <t>USU1065PAA94</t>
        </is>
      </c>
      <c r="B10" s="17">
        <f>IF($A10="","",PROPER(_xll.BDP($A10&amp;" Corp","NAME")))</f>
        <v/>
      </c>
      <c r="C10" s="17">
        <f>IF($A10="","",IFERROR(INDEX(Company_desc!$B$2:$B$1144,MATCH($A10,Company_desc!$A$2:$A$1144,0)),IFERROR(INDEX(SYZ_static!$Q$2:$Q$806,MATCH($A10,SYZ_static!$A$2:$A$806,0)),"")))</f>
        <v/>
      </c>
      <c r="D10" s="17">
        <f>IF($A10="","",IFERROR(INDEX(SYZ_static!$B$2:$B$806,MATCH($A10,SYZ_static!$A$2:$A$806,0)),""))</f>
        <v/>
      </c>
      <c r="E10" s="17">
        <f>IF($A10="","",_xll.BDP($A10&amp;" Corp","INDUSTRY_SECTOR"))</f>
        <v/>
      </c>
      <c r="F10" s="17">
        <f>IF($A10="","",PROPER(_xll.BDP($A10&amp;" Corp","COUNTRY_FULL_NAME")))</f>
        <v/>
      </c>
      <c r="G10" s="17">
        <f>IF($A10="","",_xll.BDP($A10&amp;" Corp","CRNCY"))</f>
        <v/>
      </c>
      <c r="H10" s="17">
        <f>IF($A10="","",IFERROR(INDEX(SYZ_static!$T$2:$T$806,MATCH($A10,SYZ_static!$A$2:$A$806,0)),_xll.BDP($A10&amp;" Corp","RTG_SP")))</f>
        <v/>
      </c>
      <c r="I10" s="17">
        <f>IF($A10="","",IFERROR(INDEX(SYZ_static!$S$2:$S$806,MATCH($A10,SYZ_static!$A$2:$A$806,0)),""))</f>
        <v/>
      </c>
      <c r="J10" s="17">
        <f>IF($A10="","",_xll.BDP($A10&amp;" Corp","PAYMENT_RANK"))</f>
        <v/>
      </c>
      <c r="K10" s="18">
        <f>IF($A10="","",_xll.BDP($A10&amp;" Corp","CPN"))</f>
        <v/>
      </c>
      <c r="L10" s="19">
        <f>IF($A10="","",_xll.BDP($A10&amp;" Corp","MATURITY"))</f>
        <v/>
      </c>
      <c r="M10" s="20">
        <f>IF($A10="","",IFERROR(_xll.BDP($A10&amp;" Corp","MIN_PIECE")/1000,""))</f>
        <v/>
      </c>
      <c r="N10" s="21">
        <f>IF($A10="","",_xll.BDP($A10&amp;" Corp","PX_LAST"))</f>
        <v/>
      </c>
      <c r="O10" s="21">
        <f>IF($A10="","",_xll.BDP($A10&amp;" Corp","YAS_BOND_YLD","YAS_YLD_FLAG=15"))</f>
        <v/>
      </c>
      <c r="P10" s="21">
        <f>IF($A10="","",_xll.BDP($A10&amp;" Corp","YAS_MOD_DUR"))</f>
        <v/>
      </c>
      <c r="Q10" s="22">
        <f>IF($A10="","",_xll.BDP($A10&amp;" Corp","YAS_OAS_SPRD"))</f>
        <v/>
      </c>
      <c r="R10" s="22">
        <f>IF($A10="","",_xll.BDP($A10&amp;" Corp","YAS_OAS_SPRD","SETTLE_DT",$B$2))</f>
        <v/>
      </c>
      <c r="S10" s="23">
        <f>IF($A10="","",IF(OR(NOT(ISNUMBER($Q10)),NOT(ISNUMBER($R10))),"",$Q10-$R10))</f>
        <v/>
      </c>
      <c r="T10" s="21">
        <f>IF($A10="","",_xll.BDP($A10&amp;" Corp","YAS_BOND_YLD","YAS_YLD_FLAG=15","SETTLE_DT",$B$2))</f>
        <v/>
      </c>
      <c r="U10" s="24">
        <f>IF($A10="","",IF(OR(NOT(ISNUMBER($O10)),NOT(ISNUMBER($T10))),"",$O10-$T10))</f>
        <v/>
      </c>
      <c r="V10" s="22">
        <f>IF(NOT(ISNUMBER($S10)),"",COUNTIFS($G$7:$G$850,$G10,$S$7:$S$850,"&gt;"&amp;$S10)+COUNTIFS($G$7:$G10,$G10,$S$7:$S10,$S10))</f>
        <v/>
      </c>
      <c r="W10" s="22">
        <f>IF(NOT(ISNUMBER($S10)),"",COUNTIFS($G$7:$G$850,$G10,$S$7:$S$850,"&lt;"&amp;$S10)+COUNTIFS($G$7:$G10,$G10,$S$7:$S10,$S10))</f>
        <v/>
      </c>
      <c r="X10" s="17">
        <f>IF($V10="","",$G10&amp;"|"&amp;$V10)</f>
        <v/>
      </c>
      <c r="Y10" s="17">
        <f>IF($W10="","",$G10&amp;"|"&amp;$W10)</f>
        <v/>
      </c>
    </row>
    <row r="11">
      <c r="A11" s="7" t="inlineStr">
        <is>
          <t>US80386WAD74</t>
        </is>
      </c>
      <c r="B11" s="8">
        <f>IF($A11="","",PROPER(_xll.BDP($A11&amp;" Corp","NAME")))</f>
        <v/>
      </c>
      <c r="C11" s="8">
        <f>IF($A11="","",IFERROR(INDEX(Company_desc!$B$2:$B$1144,MATCH($A11,Company_desc!$A$2:$A$1144,0)),IFERROR(INDEX(SYZ_static!$Q$2:$Q$806,MATCH($A11,SYZ_static!$A$2:$A$806,0)),"")))</f>
        <v/>
      </c>
      <c r="D11" s="8">
        <f>IF($A11="","",IFERROR(INDEX(SYZ_static!$B$2:$B$806,MATCH($A11,SYZ_static!$A$2:$A$806,0)),""))</f>
        <v/>
      </c>
      <c r="E11" s="8">
        <f>IF($A11="","",_xll.BDP($A11&amp;" Corp","INDUSTRY_SECTOR"))</f>
        <v/>
      </c>
      <c r="F11" s="8">
        <f>IF($A11="","",PROPER(_xll.BDP($A11&amp;" Corp","COUNTRY_FULL_NAME")))</f>
        <v/>
      </c>
      <c r="G11" s="8">
        <f>IF($A11="","",_xll.BDP($A11&amp;" Corp","CRNCY"))</f>
        <v/>
      </c>
      <c r="H11" s="8">
        <f>IF($A11="","",IFERROR(INDEX(SYZ_static!$T$2:$T$806,MATCH($A11,SYZ_static!$A$2:$A$806,0)),_xll.BDP($A11&amp;" Corp","RTG_SP")))</f>
        <v/>
      </c>
      <c r="I11" s="8">
        <f>IF($A11="","",IFERROR(INDEX(SYZ_static!$S$2:$S$806,MATCH($A11,SYZ_static!$A$2:$A$806,0)),""))</f>
        <v/>
      </c>
      <c r="J11" s="8">
        <f>IF($A11="","",_xll.BDP($A11&amp;" Corp","PAYMENT_RANK"))</f>
        <v/>
      </c>
      <c r="K11" s="9">
        <f>IF($A11="","",_xll.BDP($A11&amp;" Corp","CPN"))</f>
        <v/>
      </c>
      <c r="L11" s="10">
        <f>IF($A11="","",_xll.BDP($A11&amp;" Corp","MATURITY"))</f>
        <v/>
      </c>
      <c r="M11" s="11">
        <f>IF($A11="","",IFERROR(_xll.BDP($A11&amp;" Corp","MIN_PIECE")/1000,""))</f>
        <v/>
      </c>
      <c r="N11" s="12">
        <f>IF($A11="","",_xll.BDP($A11&amp;" Corp","PX_LAST"))</f>
        <v/>
      </c>
      <c r="O11" s="12">
        <f>IF($A11="","",_xll.BDP($A11&amp;" Corp","YAS_BOND_YLD","YAS_YLD_FLAG=15"))</f>
        <v/>
      </c>
      <c r="P11" s="12">
        <f>IF($A11="","",_xll.BDP($A11&amp;" Corp","YAS_MOD_DUR"))</f>
        <v/>
      </c>
      <c r="Q11" s="13">
        <f>IF($A11="","",_xll.BDP($A11&amp;" Corp","YAS_OAS_SPRD"))</f>
        <v/>
      </c>
      <c r="R11" s="13">
        <f>IF($A11="","",_xll.BDP($A11&amp;" Corp","YAS_OAS_SPRD","SETTLE_DT",$B$2))</f>
        <v/>
      </c>
      <c r="S11" s="14">
        <f>IF($A11="","",IF(OR(NOT(ISNUMBER($Q11)),NOT(ISNUMBER($R11))),"",$Q11-$R11))</f>
        <v/>
      </c>
      <c r="T11" s="12">
        <f>IF($A11="","",_xll.BDP($A11&amp;" Corp","YAS_BOND_YLD","YAS_YLD_FLAG=15","SETTLE_DT",$B$2))</f>
        <v/>
      </c>
      <c r="U11" s="15">
        <f>IF($A11="","",IF(OR(NOT(ISNUMBER($O11)),NOT(ISNUMBER($T11))),"",$O11-$T11))</f>
        <v/>
      </c>
      <c r="V11" s="13">
        <f>IF(NOT(ISNUMBER($S11)),"",COUNTIFS($G$7:$G$850,$G11,$S$7:$S$850,"&gt;"&amp;$S11)+COUNTIFS($G$7:$G11,$G11,$S$7:$S11,$S11))</f>
        <v/>
      </c>
      <c r="W11" s="13">
        <f>IF(NOT(ISNUMBER($S11)),"",COUNTIFS($G$7:$G$850,$G11,$S$7:$S$850,"&lt;"&amp;$S11)+COUNTIFS($G$7:$G11,$G11,$S$7:$S11,$S11))</f>
        <v/>
      </c>
      <c r="X11" s="8">
        <f>IF($V11="","",$G11&amp;"|"&amp;$V11)</f>
        <v/>
      </c>
      <c r="Y11" s="8">
        <f>IF($W11="","",$G11&amp;"|"&amp;$W11)</f>
        <v/>
      </c>
    </row>
    <row r="12">
      <c r="A12" s="16" t="inlineStr">
        <is>
          <t>USG2583XAB76</t>
        </is>
      </c>
      <c r="B12" s="17">
        <f>IF($A12="","",PROPER(_xll.BDP($A12&amp;" Corp","NAME")))</f>
        <v/>
      </c>
      <c r="C12" s="17">
        <f>IF($A12="","",IFERROR(INDEX(Company_desc!$B$2:$B$1144,MATCH($A12,Company_desc!$A$2:$A$1144,0)),IFERROR(INDEX(SYZ_static!$Q$2:$Q$806,MATCH($A12,SYZ_static!$A$2:$A$806,0)),"")))</f>
        <v/>
      </c>
      <c r="D12" s="17">
        <f>IF($A12="","",IFERROR(INDEX(SYZ_static!$B$2:$B$806,MATCH($A12,SYZ_static!$A$2:$A$806,0)),""))</f>
        <v/>
      </c>
      <c r="E12" s="17">
        <f>IF($A12="","",_xll.BDP($A12&amp;" Corp","INDUSTRY_SECTOR"))</f>
        <v/>
      </c>
      <c r="F12" s="17">
        <f>IF($A12="","",PROPER(_xll.BDP($A12&amp;" Corp","COUNTRY_FULL_NAME")))</f>
        <v/>
      </c>
      <c r="G12" s="17">
        <f>IF($A12="","",_xll.BDP($A12&amp;" Corp","CRNCY"))</f>
        <v/>
      </c>
      <c r="H12" s="17">
        <f>IF($A12="","",IFERROR(INDEX(SYZ_static!$T$2:$T$806,MATCH($A12,SYZ_static!$A$2:$A$806,0)),_xll.BDP($A12&amp;" Corp","RTG_SP")))</f>
        <v/>
      </c>
      <c r="I12" s="17">
        <f>IF($A12="","",IFERROR(INDEX(SYZ_static!$S$2:$S$806,MATCH($A12,SYZ_static!$A$2:$A$806,0)),""))</f>
        <v/>
      </c>
      <c r="J12" s="17">
        <f>IF($A12="","",_xll.BDP($A12&amp;" Corp","PAYMENT_RANK"))</f>
        <v/>
      </c>
      <c r="K12" s="18">
        <f>IF($A12="","",_xll.BDP($A12&amp;" Corp","CPN"))</f>
        <v/>
      </c>
      <c r="L12" s="19">
        <f>IF($A12="","",_xll.BDP($A12&amp;" Corp","MATURITY"))</f>
        <v/>
      </c>
      <c r="M12" s="20">
        <f>IF($A12="","",IFERROR(_xll.BDP($A12&amp;" Corp","MIN_PIECE")/1000,""))</f>
        <v/>
      </c>
      <c r="N12" s="21">
        <f>IF($A12="","",_xll.BDP($A12&amp;" Corp","PX_LAST"))</f>
        <v/>
      </c>
      <c r="O12" s="21">
        <f>IF($A12="","",_xll.BDP($A12&amp;" Corp","YAS_BOND_YLD","YAS_YLD_FLAG=15"))</f>
        <v/>
      </c>
      <c r="P12" s="21">
        <f>IF($A12="","",_xll.BDP($A12&amp;" Corp","YAS_MOD_DUR"))</f>
        <v/>
      </c>
      <c r="Q12" s="22">
        <f>IF($A12="","",_xll.BDP($A12&amp;" Corp","YAS_OAS_SPRD"))</f>
        <v/>
      </c>
      <c r="R12" s="22">
        <f>IF($A12="","",_xll.BDP($A12&amp;" Corp","YAS_OAS_SPRD","SETTLE_DT",$B$2))</f>
        <v/>
      </c>
      <c r="S12" s="23">
        <f>IF($A12="","",IF(OR(NOT(ISNUMBER($Q12)),NOT(ISNUMBER($R12))),"",$Q12-$R12))</f>
        <v/>
      </c>
      <c r="T12" s="21">
        <f>IF($A12="","",_xll.BDP($A12&amp;" Corp","YAS_BOND_YLD","YAS_YLD_FLAG=15","SETTLE_DT",$B$2))</f>
        <v/>
      </c>
      <c r="U12" s="24">
        <f>IF($A12="","",IF(OR(NOT(ISNUMBER($O12)),NOT(ISNUMBER($T12))),"",$O12-$T12))</f>
        <v/>
      </c>
      <c r="V12" s="22">
        <f>IF(NOT(ISNUMBER($S12)),"",COUNTIFS($G$7:$G$850,$G12,$S$7:$S$850,"&gt;"&amp;$S12)+COUNTIFS($G$7:$G12,$G12,$S$7:$S12,$S12))</f>
        <v/>
      </c>
      <c r="W12" s="22">
        <f>IF(NOT(ISNUMBER($S12)),"",COUNTIFS($G$7:$G$850,$G12,$S$7:$S$850,"&lt;"&amp;$S12)+COUNTIFS($G$7:$G12,$G12,$S$7:$S12,$S12))</f>
        <v/>
      </c>
      <c r="X12" s="17">
        <f>IF($V12="","",$G12&amp;"|"&amp;$V12)</f>
        <v/>
      </c>
      <c r="Y12" s="17">
        <f>IF($W12="","",$G12&amp;"|"&amp;$W12)</f>
        <v/>
      </c>
    </row>
    <row r="13">
      <c r="A13" s="7" t="inlineStr">
        <is>
          <t>USE0R75RAB28</t>
        </is>
      </c>
      <c r="B13" s="8">
        <f>IF($A13="","",PROPER(_xll.BDP($A13&amp;" Corp","NAME")))</f>
        <v/>
      </c>
      <c r="C13" s="8">
        <f>IF($A13="","",IFERROR(INDEX(Company_desc!$B$2:$B$1144,MATCH($A13,Company_desc!$A$2:$A$1144,0)),IFERROR(INDEX(SYZ_static!$Q$2:$Q$806,MATCH($A13,SYZ_static!$A$2:$A$806,0)),"")))</f>
        <v/>
      </c>
      <c r="D13" s="8">
        <f>IF($A13="","",IFERROR(INDEX(SYZ_static!$B$2:$B$806,MATCH($A13,SYZ_static!$A$2:$A$806,0)),""))</f>
        <v/>
      </c>
      <c r="E13" s="8">
        <f>IF($A13="","",_xll.BDP($A13&amp;" Corp","INDUSTRY_SECTOR"))</f>
        <v/>
      </c>
      <c r="F13" s="8">
        <f>IF($A13="","",PROPER(_xll.BDP($A13&amp;" Corp","COUNTRY_FULL_NAME")))</f>
        <v/>
      </c>
      <c r="G13" s="8">
        <f>IF($A13="","",_xll.BDP($A13&amp;" Corp","CRNCY"))</f>
        <v/>
      </c>
      <c r="H13" s="8">
        <f>IF($A13="","",IFERROR(INDEX(SYZ_static!$T$2:$T$806,MATCH($A13,SYZ_static!$A$2:$A$806,0)),_xll.BDP($A13&amp;" Corp","RTG_SP")))</f>
        <v/>
      </c>
      <c r="I13" s="8">
        <f>IF($A13="","",IFERROR(INDEX(SYZ_static!$S$2:$S$806,MATCH($A13,SYZ_static!$A$2:$A$806,0)),""))</f>
        <v/>
      </c>
      <c r="J13" s="8">
        <f>IF($A13="","",_xll.BDP($A13&amp;" Corp","PAYMENT_RANK"))</f>
        <v/>
      </c>
      <c r="K13" s="9">
        <f>IF($A13="","",_xll.BDP($A13&amp;" Corp","CPN"))</f>
        <v/>
      </c>
      <c r="L13" s="10">
        <f>IF($A13="","",_xll.BDP($A13&amp;" Corp","MATURITY"))</f>
        <v/>
      </c>
      <c r="M13" s="11">
        <f>IF($A13="","",IFERROR(_xll.BDP($A13&amp;" Corp","MIN_PIECE")/1000,""))</f>
        <v/>
      </c>
      <c r="N13" s="12">
        <f>IF($A13="","",_xll.BDP($A13&amp;" Corp","PX_LAST"))</f>
        <v/>
      </c>
      <c r="O13" s="12">
        <f>IF($A13="","",_xll.BDP($A13&amp;" Corp","YAS_BOND_YLD","YAS_YLD_FLAG=15"))</f>
        <v/>
      </c>
      <c r="P13" s="12">
        <f>IF($A13="","",_xll.BDP($A13&amp;" Corp","YAS_MOD_DUR"))</f>
        <v/>
      </c>
      <c r="Q13" s="13">
        <f>IF($A13="","",_xll.BDP($A13&amp;" Corp","YAS_OAS_SPRD"))</f>
        <v/>
      </c>
      <c r="R13" s="13">
        <f>IF($A13="","",_xll.BDP($A13&amp;" Corp","YAS_OAS_SPRD","SETTLE_DT",$B$2))</f>
        <v/>
      </c>
      <c r="S13" s="14">
        <f>IF($A13="","",IF(OR(NOT(ISNUMBER($Q13)),NOT(ISNUMBER($R13))),"",$Q13-$R13))</f>
        <v/>
      </c>
      <c r="T13" s="12">
        <f>IF($A13="","",_xll.BDP($A13&amp;" Corp","YAS_BOND_YLD","YAS_YLD_FLAG=15","SETTLE_DT",$B$2))</f>
        <v/>
      </c>
      <c r="U13" s="15">
        <f>IF($A13="","",IF(OR(NOT(ISNUMBER($O13)),NOT(ISNUMBER($T13))),"",$O13-$T13))</f>
        <v/>
      </c>
      <c r="V13" s="13">
        <f>IF(NOT(ISNUMBER($S13)),"",COUNTIFS($G$7:$G$850,$G13,$S$7:$S$850,"&gt;"&amp;$S13)+COUNTIFS($G$7:$G13,$G13,$S$7:$S13,$S13))</f>
        <v/>
      </c>
      <c r="W13" s="13">
        <f>IF(NOT(ISNUMBER($S13)),"",COUNTIFS($G$7:$G$850,$G13,$S$7:$S$850,"&lt;"&amp;$S13)+COUNTIFS($G$7:$G13,$G13,$S$7:$S13,$S13))</f>
        <v/>
      </c>
      <c r="X13" s="8">
        <f>IF($V13="","",$G13&amp;"|"&amp;$V13)</f>
        <v/>
      </c>
      <c r="Y13" s="8">
        <f>IF($W13="","",$G13&amp;"|"&amp;$W13)</f>
        <v/>
      </c>
    </row>
    <row r="14">
      <c r="A14" s="16" t="inlineStr">
        <is>
          <t>USU8035UAC63</t>
        </is>
      </c>
      <c r="B14" s="17">
        <f>IF($A14="","",PROPER(_xll.BDP($A14&amp;" Corp","NAME")))</f>
        <v/>
      </c>
      <c r="C14" s="17">
        <f>IF($A14="","",IFERROR(INDEX(Company_desc!$B$2:$B$1144,MATCH($A14,Company_desc!$A$2:$A$1144,0)),IFERROR(INDEX(SYZ_static!$Q$2:$Q$806,MATCH($A14,SYZ_static!$A$2:$A$806,0)),"")))</f>
        <v/>
      </c>
      <c r="D14" s="17">
        <f>IF($A14="","",IFERROR(INDEX(SYZ_static!$B$2:$B$806,MATCH($A14,SYZ_static!$A$2:$A$806,0)),""))</f>
        <v/>
      </c>
      <c r="E14" s="17">
        <f>IF($A14="","",_xll.BDP($A14&amp;" Corp","INDUSTRY_SECTOR"))</f>
        <v/>
      </c>
      <c r="F14" s="17">
        <f>IF($A14="","",PROPER(_xll.BDP($A14&amp;" Corp","COUNTRY_FULL_NAME")))</f>
        <v/>
      </c>
      <c r="G14" s="17">
        <f>IF($A14="","",_xll.BDP($A14&amp;" Corp","CRNCY"))</f>
        <v/>
      </c>
      <c r="H14" s="17">
        <f>IF($A14="","",IFERROR(INDEX(SYZ_static!$T$2:$T$806,MATCH($A14,SYZ_static!$A$2:$A$806,0)),_xll.BDP($A14&amp;" Corp","RTG_SP")))</f>
        <v/>
      </c>
      <c r="I14" s="17">
        <f>IF($A14="","",IFERROR(INDEX(SYZ_static!$S$2:$S$806,MATCH($A14,SYZ_static!$A$2:$A$806,0)),""))</f>
        <v/>
      </c>
      <c r="J14" s="17">
        <f>IF($A14="","",_xll.BDP($A14&amp;" Corp","PAYMENT_RANK"))</f>
        <v/>
      </c>
      <c r="K14" s="18">
        <f>IF($A14="","",_xll.BDP($A14&amp;" Corp","CPN"))</f>
        <v/>
      </c>
      <c r="L14" s="19">
        <f>IF($A14="","",_xll.BDP($A14&amp;" Corp","MATURITY"))</f>
        <v/>
      </c>
      <c r="M14" s="20">
        <f>IF($A14="","",IFERROR(_xll.BDP($A14&amp;" Corp","MIN_PIECE")/1000,""))</f>
        <v/>
      </c>
      <c r="N14" s="21">
        <f>IF($A14="","",_xll.BDP($A14&amp;" Corp","PX_LAST"))</f>
        <v/>
      </c>
      <c r="O14" s="21">
        <f>IF($A14="","",_xll.BDP($A14&amp;" Corp","YAS_BOND_YLD","YAS_YLD_FLAG=15"))</f>
        <v/>
      </c>
      <c r="P14" s="21">
        <f>IF($A14="","",_xll.BDP($A14&amp;" Corp","YAS_MOD_DUR"))</f>
        <v/>
      </c>
      <c r="Q14" s="22">
        <f>IF($A14="","",_xll.BDP($A14&amp;" Corp","YAS_OAS_SPRD"))</f>
        <v/>
      </c>
      <c r="R14" s="22">
        <f>IF($A14="","",_xll.BDP($A14&amp;" Corp","YAS_OAS_SPRD","SETTLE_DT",$B$2))</f>
        <v/>
      </c>
      <c r="S14" s="23">
        <f>IF($A14="","",IF(OR(NOT(ISNUMBER($Q14)),NOT(ISNUMBER($R14))),"",$Q14-$R14))</f>
        <v/>
      </c>
      <c r="T14" s="21">
        <f>IF($A14="","",_xll.BDP($A14&amp;" Corp","YAS_BOND_YLD","YAS_YLD_FLAG=15","SETTLE_DT",$B$2))</f>
        <v/>
      </c>
      <c r="U14" s="24">
        <f>IF($A14="","",IF(OR(NOT(ISNUMBER($O14)),NOT(ISNUMBER($T14))),"",$O14-$T14))</f>
        <v/>
      </c>
      <c r="V14" s="22">
        <f>IF(NOT(ISNUMBER($S14)),"",COUNTIFS($G$7:$G$850,$G14,$S$7:$S$850,"&gt;"&amp;$S14)+COUNTIFS($G$7:$G14,$G14,$S$7:$S14,$S14))</f>
        <v/>
      </c>
      <c r="W14" s="22">
        <f>IF(NOT(ISNUMBER($S14)),"",COUNTIFS($G$7:$G$850,$G14,$S$7:$S$850,"&lt;"&amp;$S14)+COUNTIFS($G$7:$G14,$G14,$S$7:$S14,$S14))</f>
        <v/>
      </c>
      <c r="X14" s="17">
        <f>IF($V14="","",$G14&amp;"|"&amp;$V14)</f>
        <v/>
      </c>
      <c r="Y14" s="17">
        <f>IF($W14="","",$G14&amp;"|"&amp;$W14)</f>
        <v/>
      </c>
    </row>
    <row r="15">
      <c r="A15" s="7" t="inlineStr">
        <is>
          <t>CH0333827506</t>
        </is>
      </c>
      <c r="B15" s="8">
        <f>IF($A15="","",PROPER(_xll.BDP($A15&amp;" Corp","NAME")))</f>
        <v/>
      </c>
      <c r="C15" s="8">
        <f>IF($A15="","",IFERROR(INDEX(Company_desc!$B$2:$B$1144,MATCH($A15,Company_desc!$A$2:$A$1144,0)),IFERROR(INDEX(SYZ_static!$Q$2:$Q$806,MATCH($A15,SYZ_static!$A$2:$A$806,0)),"")))</f>
        <v/>
      </c>
      <c r="D15" s="8">
        <f>IF($A15="","",IFERROR(INDEX(SYZ_static!$B$2:$B$806,MATCH($A15,SYZ_static!$A$2:$A$806,0)),""))</f>
        <v/>
      </c>
      <c r="E15" s="8">
        <f>IF($A15="","",_xll.BDP($A15&amp;" Corp","INDUSTRY_SECTOR"))</f>
        <v/>
      </c>
      <c r="F15" s="8">
        <f>IF($A15="","",PROPER(_xll.BDP($A15&amp;" Corp","COUNTRY_FULL_NAME")))</f>
        <v/>
      </c>
      <c r="G15" s="8">
        <f>IF($A15="","",_xll.BDP($A15&amp;" Corp","CRNCY"))</f>
        <v/>
      </c>
      <c r="H15" s="8">
        <f>IF($A15="","",IFERROR(INDEX(SYZ_static!$T$2:$T$806,MATCH($A15,SYZ_static!$A$2:$A$806,0)),_xll.BDP($A15&amp;" Corp","RTG_SP")))</f>
        <v/>
      </c>
      <c r="I15" s="8">
        <f>IF($A15="","",IFERROR(INDEX(SYZ_static!$S$2:$S$806,MATCH($A15,SYZ_static!$A$2:$A$806,0)),""))</f>
        <v/>
      </c>
      <c r="J15" s="8">
        <f>IF($A15="","",_xll.BDP($A15&amp;" Corp","PAYMENT_RANK"))</f>
        <v/>
      </c>
      <c r="K15" s="9">
        <f>IF($A15="","",_xll.BDP($A15&amp;" Corp","CPN"))</f>
        <v/>
      </c>
      <c r="L15" s="10">
        <f>IF($A15="","",_xll.BDP($A15&amp;" Corp","MATURITY"))</f>
        <v/>
      </c>
      <c r="M15" s="11">
        <f>IF($A15="","",IFERROR(_xll.BDP($A15&amp;" Corp","MIN_PIECE")/1000,""))</f>
        <v/>
      </c>
      <c r="N15" s="12">
        <f>IF($A15="","",_xll.BDP($A15&amp;" Corp","PX_LAST"))</f>
        <v/>
      </c>
      <c r="O15" s="12">
        <f>IF($A15="","",_xll.BDP($A15&amp;" Corp","YAS_BOND_YLD","YAS_YLD_FLAG=15"))</f>
        <v/>
      </c>
      <c r="P15" s="12">
        <f>IF($A15="","",_xll.BDP($A15&amp;" Corp","YAS_MOD_DUR"))</f>
        <v/>
      </c>
      <c r="Q15" s="13">
        <f>IF($A15="","",_xll.BDP($A15&amp;" Corp","YAS_OAS_SPRD"))</f>
        <v/>
      </c>
      <c r="R15" s="13">
        <f>IF($A15="","",_xll.BDP($A15&amp;" Corp","YAS_OAS_SPRD","SETTLE_DT",$B$2))</f>
        <v/>
      </c>
      <c r="S15" s="14">
        <f>IF($A15="","",IF(OR(NOT(ISNUMBER($Q15)),NOT(ISNUMBER($R15))),"",$Q15-$R15))</f>
        <v/>
      </c>
      <c r="T15" s="12">
        <f>IF($A15="","",_xll.BDP($A15&amp;" Corp","YAS_BOND_YLD","YAS_YLD_FLAG=15","SETTLE_DT",$B$2))</f>
        <v/>
      </c>
      <c r="U15" s="15">
        <f>IF($A15="","",IF(OR(NOT(ISNUMBER($O15)),NOT(ISNUMBER($T15))),"",$O15-$T15))</f>
        <v/>
      </c>
      <c r="V15" s="13">
        <f>IF(NOT(ISNUMBER($S15)),"",COUNTIFS($G$7:$G$850,$G15,$S$7:$S$850,"&gt;"&amp;$S15)+COUNTIFS($G$7:$G15,$G15,$S$7:$S15,$S15))</f>
        <v/>
      </c>
      <c r="W15" s="13">
        <f>IF(NOT(ISNUMBER($S15)),"",COUNTIFS($G$7:$G$850,$G15,$S$7:$S$850,"&lt;"&amp;$S15)+COUNTIFS($G$7:$G15,$G15,$S$7:$S15,$S15))</f>
        <v/>
      </c>
      <c r="X15" s="8">
        <f>IF($V15="","",$G15&amp;"|"&amp;$V15)</f>
        <v/>
      </c>
      <c r="Y15" s="8">
        <f>IF($W15="","",$G15&amp;"|"&amp;$W15)</f>
        <v/>
      </c>
    </row>
    <row r="16">
      <c r="A16" s="16" t="inlineStr">
        <is>
          <t>USU8215LAA27</t>
        </is>
      </c>
      <c r="B16" s="17">
        <f>IF($A16="","",PROPER(_xll.BDP($A16&amp;" Corp","NAME")))</f>
        <v/>
      </c>
      <c r="C16" s="17">
        <f>IF($A16="","",IFERROR(INDEX(Company_desc!$B$2:$B$1144,MATCH($A16,Company_desc!$A$2:$A$1144,0)),IFERROR(INDEX(SYZ_static!$Q$2:$Q$806,MATCH($A16,SYZ_static!$A$2:$A$806,0)),"")))</f>
        <v/>
      </c>
      <c r="D16" s="17">
        <f>IF($A16="","",IFERROR(INDEX(SYZ_static!$B$2:$B$806,MATCH($A16,SYZ_static!$A$2:$A$806,0)),""))</f>
        <v/>
      </c>
      <c r="E16" s="17">
        <f>IF($A16="","",_xll.BDP($A16&amp;" Corp","INDUSTRY_SECTOR"))</f>
        <v/>
      </c>
      <c r="F16" s="17">
        <f>IF($A16="","",PROPER(_xll.BDP($A16&amp;" Corp","COUNTRY_FULL_NAME")))</f>
        <v/>
      </c>
      <c r="G16" s="17">
        <f>IF($A16="","",_xll.BDP($A16&amp;" Corp","CRNCY"))</f>
        <v/>
      </c>
      <c r="H16" s="17">
        <f>IF($A16="","",IFERROR(INDEX(SYZ_static!$T$2:$T$806,MATCH($A16,SYZ_static!$A$2:$A$806,0)),_xll.BDP($A16&amp;" Corp","RTG_SP")))</f>
        <v/>
      </c>
      <c r="I16" s="17">
        <f>IF($A16="","",IFERROR(INDEX(SYZ_static!$S$2:$S$806,MATCH($A16,SYZ_static!$A$2:$A$806,0)),""))</f>
        <v/>
      </c>
      <c r="J16" s="17">
        <f>IF($A16="","",_xll.BDP($A16&amp;" Corp","PAYMENT_RANK"))</f>
        <v/>
      </c>
      <c r="K16" s="18">
        <f>IF($A16="","",_xll.BDP($A16&amp;" Corp","CPN"))</f>
        <v/>
      </c>
      <c r="L16" s="19">
        <f>IF($A16="","",_xll.BDP($A16&amp;" Corp","MATURITY"))</f>
        <v/>
      </c>
      <c r="M16" s="20">
        <f>IF($A16="","",IFERROR(_xll.BDP($A16&amp;" Corp","MIN_PIECE")/1000,""))</f>
        <v/>
      </c>
      <c r="N16" s="21">
        <f>IF($A16="","",_xll.BDP($A16&amp;" Corp","PX_LAST"))</f>
        <v/>
      </c>
      <c r="O16" s="21">
        <f>IF($A16="","",_xll.BDP($A16&amp;" Corp","YAS_BOND_YLD","YAS_YLD_FLAG=15"))</f>
        <v/>
      </c>
      <c r="P16" s="21">
        <f>IF($A16="","",_xll.BDP($A16&amp;" Corp","YAS_MOD_DUR"))</f>
        <v/>
      </c>
      <c r="Q16" s="22">
        <f>IF($A16="","",_xll.BDP($A16&amp;" Corp","YAS_OAS_SPRD"))</f>
        <v/>
      </c>
      <c r="R16" s="22">
        <f>IF($A16="","",_xll.BDP($A16&amp;" Corp","YAS_OAS_SPRD","SETTLE_DT",$B$2))</f>
        <v/>
      </c>
      <c r="S16" s="23">
        <f>IF($A16="","",IF(OR(NOT(ISNUMBER($Q16)),NOT(ISNUMBER($R16))),"",$Q16-$R16))</f>
        <v/>
      </c>
      <c r="T16" s="21">
        <f>IF($A16="","",_xll.BDP($A16&amp;" Corp","YAS_BOND_YLD","YAS_YLD_FLAG=15","SETTLE_DT",$B$2))</f>
        <v/>
      </c>
      <c r="U16" s="24">
        <f>IF($A16="","",IF(OR(NOT(ISNUMBER($O16)),NOT(ISNUMBER($T16))),"",$O16-$T16))</f>
        <v/>
      </c>
      <c r="V16" s="22">
        <f>IF(NOT(ISNUMBER($S16)),"",COUNTIFS($G$7:$G$850,$G16,$S$7:$S$850,"&gt;"&amp;$S16)+COUNTIFS($G$7:$G16,$G16,$S$7:$S16,$S16))</f>
        <v/>
      </c>
      <c r="W16" s="22">
        <f>IF(NOT(ISNUMBER($S16)),"",COUNTIFS($G$7:$G$850,$G16,$S$7:$S$850,"&lt;"&amp;$S16)+COUNTIFS($G$7:$G16,$G16,$S$7:$S16,$S16))</f>
        <v/>
      </c>
      <c r="X16" s="17">
        <f>IF($V16="","",$G16&amp;"|"&amp;$V16)</f>
        <v/>
      </c>
      <c r="Y16" s="17">
        <f>IF($W16="","",$G16&amp;"|"&amp;$W16)</f>
        <v/>
      </c>
    </row>
    <row r="17">
      <c r="A17" s="7" t="inlineStr">
        <is>
          <t>FR001400QC85</t>
        </is>
      </c>
      <c r="B17" s="8">
        <f>IF($A17="","",PROPER(_xll.BDP($A17&amp;" Corp","NAME")))</f>
        <v/>
      </c>
      <c r="C17" s="8">
        <f>IF($A17="","",IFERROR(INDEX(Company_desc!$B$2:$B$1144,MATCH($A17,Company_desc!$A$2:$A$1144,0)),IFERROR(INDEX(SYZ_static!$Q$2:$Q$806,MATCH($A17,SYZ_static!$A$2:$A$806,0)),"")))</f>
        <v/>
      </c>
      <c r="D17" s="8">
        <f>IF($A17="","",IFERROR(INDEX(SYZ_static!$B$2:$B$806,MATCH($A17,SYZ_static!$A$2:$A$806,0)),""))</f>
        <v/>
      </c>
      <c r="E17" s="8">
        <f>IF($A17="","",_xll.BDP($A17&amp;" Corp","INDUSTRY_SECTOR"))</f>
        <v/>
      </c>
      <c r="F17" s="8">
        <f>IF($A17="","",PROPER(_xll.BDP($A17&amp;" Corp","COUNTRY_FULL_NAME")))</f>
        <v/>
      </c>
      <c r="G17" s="8">
        <f>IF($A17="","",_xll.BDP($A17&amp;" Corp","CRNCY"))</f>
        <v/>
      </c>
      <c r="H17" s="8">
        <f>IF($A17="","",IFERROR(INDEX(SYZ_static!$T$2:$T$806,MATCH($A17,SYZ_static!$A$2:$A$806,0)),_xll.BDP($A17&amp;" Corp","RTG_SP")))</f>
        <v/>
      </c>
      <c r="I17" s="8">
        <f>IF($A17="","",IFERROR(INDEX(SYZ_static!$S$2:$S$806,MATCH($A17,SYZ_static!$A$2:$A$806,0)),""))</f>
        <v/>
      </c>
      <c r="J17" s="8">
        <f>IF($A17="","",_xll.BDP($A17&amp;" Corp","PAYMENT_RANK"))</f>
        <v/>
      </c>
      <c r="K17" s="9">
        <f>IF($A17="","",_xll.BDP($A17&amp;" Corp","CPN"))</f>
        <v/>
      </c>
      <c r="L17" s="10">
        <f>IF($A17="","",_xll.BDP($A17&amp;" Corp","MATURITY"))</f>
        <v/>
      </c>
      <c r="M17" s="11">
        <f>IF($A17="","",IFERROR(_xll.BDP($A17&amp;" Corp","MIN_PIECE")/1000,""))</f>
        <v/>
      </c>
      <c r="N17" s="12">
        <f>IF($A17="","",_xll.BDP($A17&amp;" Corp","PX_LAST"))</f>
        <v/>
      </c>
      <c r="O17" s="12">
        <f>IF($A17="","",_xll.BDP($A17&amp;" Corp","YAS_BOND_YLD","YAS_YLD_FLAG=15"))</f>
        <v/>
      </c>
      <c r="P17" s="12">
        <f>IF($A17="","",_xll.BDP($A17&amp;" Corp","YAS_MOD_DUR"))</f>
        <v/>
      </c>
      <c r="Q17" s="13">
        <f>IF($A17="","",_xll.BDP($A17&amp;" Corp","YAS_OAS_SPRD"))</f>
        <v/>
      </c>
      <c r="R17" s="13">
        <f>IF($A17="","",_xll.BDP($A17&amp;" Corp","YAS_OAS_SPRD","SETTLE_DT",$B$2))</f>
        <v/>
      </c>
      <c r="S17" s="14">
        <f>IF($A17="","",IF(OR(NOT(ISNUMBER($Q17)),NOT(ISNUMBER($R17))),"",$Q17-$R17))</f>
        <v/>
      </c>
      <c r="T17" s="12">
        <f>IF($A17="","",_xll.BDP($A17&amp;" Corp","YAS_BOND_YLD","YAS_YLD_FLAG=15","SETTLE_DT",$B$2))</f>
        <v/>
      </c>
      <c r="U17" s="15">
        <f>IF($A17="","",IF(OR(NOT(ISNUMBER($O17)),NOT(ISNUMBER($T17))),"",$O17-$T17))</f>
        <v/>
      </c>
      <c r="V17" s="13">
        <f>IF(NOT(ISNUMBER($S17)),"",COUNTIFS($G$7:$G$850,$G17,$S$7:$S$850,"&gt;"&amp;$S17)+COUNTIFS($G$7:$G17,$G17,$S$7:$S17,$S17))</f>
        <v/>
      </c>
      <c r="W17" s="13">
        <f>IF(NOT(ISNUMBER($S17)),"",COUNTIFS($G$7:$G$850,$G17,$S$7:$S$850,"&lt;"&amp;$S17)+COUNTIFS($G$7:$G17,$G17,$S$7:$S17,$S17))</f>
        <v/>
      </c>
      <c r="X17" s="8">
        <f>IF($V17="","",$G17&amp;"|"&amp;$V17)</f>
        <v/>
      </c>
      <c r="Y17" s="8">
        <f>IF($W17="","",$G17&amp;"|"&amp;$W17)</f>
        <v/>
      </c>
    </row>
    <row r="18">
      <c r="A18" s="16" t="inlineStr">
        <is>
          <t>FR001400HZE3</t>
        </is>
      </c>
      <c r="B18" s="17">
        <f>IF($A18="","",PROPER(_xll.BDP($A18&amp;" Corp","NAME")))</f>
        <v/>
      </c>
      <c r="C18" s="17">
        <f>IF($A18="","",IFERROR(INDEX(Company_desc!$B$2:$B$1144,MATCH($A18,Company_desc!$A$2:$A$1144,0)),IFERROR(INDEX(SYZ_static!$Q$2:$Q$806,MATCH($A18,SYZ_static!$A$2:$A$806,0)),"")))</f>
        <v/>
      </c>
      <c r="D18" s="17">
        <f>IF($A18="","",IFERROR(INDEX(SYZ_static!$B$2:$B$806,MATCH($A18,SYZ_static!$A$2:$A$806,0)),""))</f>
        <v/>
      </c>
      <c r="E18" s="17">
        <f>IF($A18="","",_xll.BDP($A18&amp;" Corp","INDUSTRY_SECTOR"))</f>
        <v/>
      </c>
      <c r="F18" s="17">
        <f>IF($A18="","",PROPER(_xll.BDP($A18&amp;" Corp","COUNTRY_FULL_NAME")))</f>
        <v/>
      </c>
      <c r="G18" s="17">
        <f>IF($A18="","",_xll.BDP($A18&amp;" Corp","CRNCY"))</f>
        <v/>
      </c>
      <c r="H18" s="17">
        <f>IF($A18="","",IFERROR(INDEX(SYZ_static!$T$2:$T$806,MATCH($A18,SYZ_static!$A$2:$A$806,0)),_xll.BDP($A18&amp;" Corp","RTG_SP")))</f>
        <v/>
      </c>
      <c r="I18" s="17">
        <f>IF($A18="","",IFERROR(INDEX(SYZ_static!$S$2:$S$806,MATCH($A18,SYZ_static!$A$2:$A$806,0)),""))</f>
        <v/>
      </c>
      <c r="J18" s="17">
        <f>IF($A18="","",_xll.BDP($A18&amp;" Corp","PAYMENT_RANK"))</f>
        <v/>
      </c>
      <c r="K18" s="18">
        <f>IF($A18="","",_xll.BDP($A18&amp;" Corp","CPN"))</f>
        <v/>
      </c>
      <c r="L18" s="19">
        <f>IF($A18="","",_xll.BDP($A18&amp;" Corp","MATURITY"))</f>
        <v/>
      </c>
      <c r="M18" s="20">
        <f>IF($A18="","",IFERROR(_xll.BDP($A18&amp;" Corp","MIN_PIECE")/1000,""))</f>
        <v/>
      </c>
      <c r="N18" s="21">
        <f>IF($A18="","",_xll.BDP($A18&amp;" Corp","PX_LAST"))</f>
        <v/>
      </c>
      <c r="O18" s="21">
        <f>IF($A18="","",_xll.BDP($A18&amp;" Corp","YAS_BOND_YLD","YAS_YLD_FLAG=15"))</f>
        <v/>
      </c>
      <c r="P18" s="21">
        <f>IF($A18="","",_xll.BDP($A18&amp;" Corp","YAS_MOD_DUR"))</f>
        <v/>
      </c>
      <c r="Q18" s="22">
        <f>IF($A18="","",_xll.BDP($A18&amp;" Corp","YAS_OAS_SPRD"))</f>
        <v/>
      </c>
      <c r="R18" s="22">
        <f>IF($A18="","",_xll.BDP($A18&amp;" Corp","YAS_OAS_SPRD","SETTLE_DT",$B$2))</f>
        <v/>
      </c>
      <c r="S18" s="23">
        <f>IF($A18="","",IF(OR(NOT(ISNUMBER($Q18)),NOT(ISNUMBER($R18))),"",$Q18-$R18))</f>
        <v/>
      </c>
      <c r="T18" s="21">
        <f>IF($A18="","",_xll.BDP($A18&amp;" Corp","YAS_BOND_YLD","YAS_YLD_FLAG=15","SETTLE_DT",$B$2))</f>
        <v/>
      </c>
      <c r="U18" s="24">
        <f>IF($A18="","",IF(OR(NOT(ISNUMBER($O18)),NOT(ISNUMBER($T18))),"",$O18-$T18))</f>
        <v/>
      </c>
      <c r="V18" s="22">
        <f>IF(NOT(ISNUMBER($S18)),"",COUNTIFS($G$7:$G$850,$G18,$S$7:$S$850,"&gt;"&amp;$S18)+COUNTIFS($G$7:$G18,$G18,$S$7:$S18,$S18))</f>
        <v/>
      </c>
      <c r="W18" s="22">
        <f>IF(NOT(ISNUMBER($S18)),"",COUNTIFS($G$7:$G$850,$G18,$S$7:$S$850,"&lt;"&amp;$S18)+COUNTIFS($G$7:$G18,$G18,$S$7:$S18,$S18))</f>
        <v/>
      </c>
      <c r="X18" s="17">
        <f>IF($V18="","",$G18&amp;"|"&amp;$V18)</f>
        <v/>
      </c>
      <c r="Y18" s="17">
        <f>IF($W18="","",$G18&amp;"|"&amp;$W18)</f>
        <v/>
      </c>
    </row>
    <row r="19">
      <c r="A19" s="7" t="inlineStr">
        <is>
          <t>USP8000UAA71</t>
        </is>
      </c>
      <c r="B19" s="8">
        <f>IF($A19="","",PROPER(_xll.BDP($A19&amp;" Corp","NAME")))</f>
        <v/>
      </c>
      <c r="C19" s="8">
        <f>IF($A19="","",IFERROR(INDEX(Company_desc!$B$2:$B$1144,MATCH($A19,Company_desc!$A$2:$A$1144,0)),IFERROR(INDEX(SYZ_static!$Q$2:$Q$806,MATCH($A19,SYZ_static!$A$2:$A$806,0)),"")))</f>
        <v/>
      </c>
      <c r="D19" s="8">
        <f>IF($A19="","",IFERROR(INDEX(SYZ_static!$B$2:$B$806,MATCH($A19,SYZ_static!$A$2:$A$806,0)),""))</f>
        <v/>
      </c>
      <c r="E19" s="8">
        <f>IF($A19="","",_xll.BDP($A19&amp;" Corp","INDUSTRY_SECTOR"))</f>
        <v/>
      </c>
      <c r="F19" s="8">
        <f>IF($A19="","",PROPER(_xll.BDP($A19&amp;" Corp","COUNTRY_FULL_NAME")))</f>
        <v/>
      </c>
      <c r="G19" s="8">
        <f>IF($A19="","",_xll.BDP($A19&amp;" Corp","CRNCY"))</f>
        <v/>
      </c>
      <c r="H19" s="8">
        <f>IF($A19="","",IFERROR(INDEX(SYZ_static!$T$2:$T$806,MATCH($A19,SYZ_static!$A$2:$A$806,0)),_xll.BDP($A19&amp;" Corp","RTG_SP")))</f>
        <v/>
      </c>
      <c r="I19" s="8">
        <f>IF($A19="","",IFERROR(INDEX(SYZ_static!$S$2:$S$806,MATCH($A19,SYZ_static!$A$2:$A$806,0)),""))</f>
        <v/>
      </c>
      <c r="J19" s="8">
        <f>IF($A19="","",_xll.BDP($A19&amp;" Corp","PAYMENT_RANK"))</f>
        <v/>
      </c>
      <c r="K19" s="9">
        <f>IF($A19="","",_xll.BDP($A19&amp;" Corp","CPN"))</f>
        <v/>
      </c>
      <c r="L19" s="10">
        <f>IF($A19="","",_xll.BDP($A19&amp;" Corp","MATURITY"))</f>
        <v/>
      </c>
      <c r="M19" s="11">
        <f>IF($A19="","",IFERROR(_xll.BDP($A19&amp;" Corp","MIN_PIECE")/1000,""))</f>
        <v/>
      </c>
      <c r="N19" s="12">
        <f>IF($A19="","",_xll.BDP($A19&amp;" Corp","PX_LAST"))</f>
        <v/>
      </c>
      <c r="O19" s="12">
        <f>IF($A19="","",_xll.BDP($A19&amp;" Corp","YAS_BOND_YLD","YAS_YLD_FLAG=15"))</f>
        <v/>
      </c>
      <c r="P19" s="12">
        <f>IF($A19="","",_xll.BDP($A19&amp;" Corp","YAS_MOD_DUR"))</f>
        <v/>
      </c>
      <c r="Q19" s="13">
        <f>IF($A19="","",_xll.BDP($A19&amp;" Corp","YAS_OAS_SPRD"))</f>
        <v/>
      </c>
      <c r="R19" s="13">
        <f>IF($A19="","",_xll.BDP($A19&amp;" Corp","YAS_OAS_SPRD","SETTLE_DT",$B$2))</f>
        <v/>
      </c>
      <c r="S19" s="14">
        <f>IF($A19="","",IF(OR(NOT(ISNUMBER($Q19)),NOT(ISNUMBER($R19))),"",$Q19-$R19))</f>
        <v/>
      </c>
      <c r="T19" s="12">
        <f>IF($A19="","",_xll.BDP($A19&amp;" Corp","YAS_BOND_YLD","YAS_YLD_FLAG=15","SETTLE_DT",$B$2))</f>
        <v/>
      </c>
      <c r="U19" s="15">
        <f>IF($A19="","",IF(OR(NOT(ISNUMBER($O19)),NOT(ISNUMBER($T19))),"",$O19-$T19))</f>
        <v/>
      </c>
      <c r="V19" s="13">
        <f>IF(NOT(ISNUMBER($S19)),"",COUNTIFS($G$7:$G$850,$G19,$S$7:$S$850,"&gt;"&amp;$S19)+COUNTIFS($G$7:$G19,$G19,$S$7:$S19,$S19))</f>
        <v/>
      </c>
      <c r="W19" s="13">
        <f>IF(NOT(ISNUMBER($S19)),"",COUNTIFS($G$7:$G$850,$G19,$S$7:$S$850,"&lt;"&amp;$S19)+COUNTIFS($G$7:$G19,$G19,$S$7:$S19,$S19))</f>
        <v/>
      </c>
      <c r="X19" s="8">
        <f>IF($V19="","",$G19&amp;"|"&amp;$V19)</f>
        <v/>
      </c>
      <c r="Y19" s="8">
        <f>IF($W19="","",$G19&amp;"|"&amp;$W19)</f>
        <v/>
      </c>
    </row>
    <row r="20">
      <c r="A20" s="16" t="inlineStr">
        <is>
          <t>US279158AS81</t>
        </is>
      </c>
      <c r="B20" s="17">
        <f>IF($A20="","",PROPER(_xll.BDP($A20&amp;" Corp","NAME")))</f>
        <v/>
      </c>
      <c r="C20" s="17">
        <f>IF($A20="","",IFERROR(INDEX(Company_desc!$B$2:$B$1144,MATCH($A20,Company_desc!$A$2:$A$1144,0)),IFERROR(INDEX(SYZ_static!$Q$2:$Q$806,MATCH($A20,SYZ_static!$A$2:$A$806,0)),"")))</f>
        <v/>
      </c>
      <c r="D20" s="17">
        <f>IF($A20="","",IFERROR(INDEX(SYZ_static!$B$2:$B$806,MATCH($A20,SYZ_static!$A$2:$A$806,0)),""))</f>
        <v/>
      </c>
      <c r="E20" s="17">
        <f>IF($A20="","",_xll.BDP($A20&amp;" Corp","INDUSTRY_SECTOR"))</f>
        <v/>
      </c>
      <c r="F20" s="17">
        <f>IF($A20="","",PROPER(_xll.BDP($A20&amp;" Corp","COUNTRY_FULL_NAME")))</f>
        <v/>
      </c>
      <c r="G20" s="17">
        <f>IF($A20="","",_xll.BDP($A20&amp;" Corp","CRNCY"))</f>
        <v/>
      </c>
      <c r="H20" s="17">
        <f>IF($A20="","",IFERROR(INDEX(SYZ_static!$T$2:$T$806,MATCH($A20,SYZ_static!$A$2:$A$806,0)),_xll.BDP($A20&amp;" Corp","RTG_SP")))</f>
        <v/>
      </c>
      <c r="I20" s="17">
        <f>IF($A20="","",IFERROR(INDEX(SYZ_static!$S$2:$S$806,MATCH($A20,SYZ_static!$A$2:$A$806,0)),""))</f>
        <v/>
      </c>
      <c r="J20" s="17">
        <f>IF($A20="","",_xll.BDP($A20&amp;" Corp","PAYMENT_RANK"))</f>
        <v/>
      </c>
      <c r="K20" s="18">
        <f>IF($A20="","",_xll.BDP($A20&amp;" Corp","CPN"))</f>
        <v/>
      </c>
      <c r="L20" s="19">
        <f>IF($A20="","",_xll.BDP($A20&amp;" Corp","MATURITY"))</f>
        <v/>
      </c>
      <c r="M20" s="20">
        <f>IF($A20="","",IFERROR(_xll.BDP($A20&amp;" Corp","MIN_PIECE")/1000,""))</f>
        <v/>
      </c>
      <c r="N20" s="21">
        <f>IF($A20="","",_xll.BDP($A20&amp;" Corp","PX_LAST"))</f>
        <v/>
      </c>
      <c r="O20" s="21">
        <f>IF($A20="","",_xll.BDP($A20&amp;" Corp","YAS_BOND_YLD","YAS_YLD_FLAG=15"))</f>
        <v/>
      </c>
      <c r="P20" s="21">
        <f>IF($A20="","",_xll.BDP($A20&amp;" Corp","YAS_MOD_DUR"))</f>
        <v/>
      </c>
      <c r="Q20" s="22">
        <f>IF($A20="","",_xll.BDP($A20&amp;" Corp","YAS_OAS_SPRD"))</f>
        <v/>
      </c>
      <c r="R20" s="22">
        <f>IF($A20="","",_xll.BDP($A20&amp;" Corp","YAS_OAS_SPRD","SETTLE_DT",$B$2))</f>
        <v/>
      </c>
      <c r="S20" s="23">
        <f>IF($A20="","",IF(OR(NOT(ISNUMBER($Q20)),NOT(ISNUMBER($R20))),"",$Q20-$R20))</f>
        <v/>
      </c>
      <c r="T20" s="21">
        <f>IF($A20="","",_xll.BDP($A20&amp;" Corp","YAS_BOND_YLD","YAS_YLD_FLAG=15","SETTLE_DT",$B$2))</f>
        <v/>
      </c>
      <c r="U20" s="24">
        <f>IF($A20="","",IF(OR(NOT(ISNUMBER($O20)),NOT(ISNUMBER($T20))),"",$O20-$T20))</f>
        <v/>
      </c>
      <c r="V20" s="22">
        <f>IF(NOT(ISNUMBER($S20)),"",COUNTIFS($G$7:$G$850,$G20,$S$7:$S$850,"&gt;"&amp;$S20)+COUNTIFS($G$7:$G20,$G20,$S$7:$S20,$S20))</f>
        <v/>
      </c>
      <c r="W20" s="22">
        <f>IF(NOT(ISNUMBER($S20)),"",COUNTIFS($G$7:$G$850,$G20,$S$7:$S$850,"&lt;"&amp;$S20)+COUNTIFS($G$7:$G20,$G20,$S$7:$S20,$S20))</f>
        <v/>
      </c>
      <c r="X20" s="17">
        <f>IF($V20="","",$G20&amp;"|"&amp;$V20)</f>
        <v/>
      </c>
      <c r="Y20" s="17">
        <f>IF($W20="","",$G20&amp;"|"&amp;$W20)</f>
        <v/>
      </c>
    </row>
    <row r="21">
      <c r="A21" s="7" t="inlineStr">
        <is>
          <t>US279158AW93</t>
        </is>
      </c>
      <c r="B21" s="8">
        <f>IF($A21="","",PROPER(_xll.BDP($A21&amp;" Corp","NAME")))</f>
        <v/>
      </c>
      <c r="C21" s="8">
        <f>IF($A21="","",IFERROR(INDEX(Company_desc!$B$2:$B$1144,MATCH($A21,Company_desc!$A$2:$A$1144,0)),IFERROR(INDEX(SYZ_static!$Q$2:$Q$806,MATCH($A21,SYZ_static!$A$2:$A$806,0)),"")))</f>
        <v/>
      </c>
      <c r="D21" s="8">
        <f>IF($A21="","",IFERROR(INDEX(SYZ_static!$B$2:$B$806,MATCH($A21,SYZ_static!$A$2:$A$806,0)),""))</f>
        <v/>
      </c>
      <c r="E21" s="8">
        <f>IF($A21="","",_xll.BDP($A21&amp;" Corp","INDUSTRY_SECTOR"))</f>
        <v/>
      </c>
      <c r="F21" s="8">
        <f>IF($A21="","",PROPER(_xll.BDP($A21&amp;" Corp","COUNTRY_FULL_NAME")))</f>
        <v/>
      </c>
      <c r="G21" s="8">
        <f>IF($A21="","",_xll.BDP($A21&amp;" Corp","CRNCY"))</f>
        <v/>
      </c>
      <c r="H21" s="8">
        <f>IF($A21="","",IFERROR(INDEX(SYZ_static!$T$2:$T$806,MATCH($A21,SYZ_static!$A$2:$A$806,0)),_xll.BDP($A21&amp;" Corp","RTG_SP")))</f>
        <v/>
      </c>
      <c r="I21" s="8">
        <f>IF($A21="","",IFERROR(INDEX(SYZ_static!$S$2:$S$806,MATCH($A21,SYZ_static!$A$2:$A$806,0)),""))</f>
        <v/>
      </c>
      <c r="J21" s="8">
        <f>IF($A21="","",_xll.BDP($A21&amp;" Corp","PAYMENT_RANK"))</f>
        <v/>
      </c>
      <c r="K21" s="9">
        <f>IF($A21="","",_xll.BDP($A21&amp;" Corp","CPN"))</f>
        <v/>
      </c>
      <c r="L21" s="10">
        <f>IF($A21="","",_xll.BDP($A21&amp;" Corp","MATURITY"))</f>
        <v/>
      </c>
      <c r="M21" s="11">
        <f>IF($A21="","",IFERROR(_xll.BDP($A21&amp;" Corp","MIN_PIECE")/1000,""))</f>
        <v/>
      </c>
      <c r="N21" s="12">
        <f>IF($A21="","",_xll.BDP($A21&amp;" Corp","PX_LAST"))</f>
        <v/>
      </c>
      <c r="O21" s="12">
        <f>IF($A21="","",_xll.BDP($A21&amp;" Corp","YAS_BOND_YLD","YAS_YLD_FLAG=15"))</f>
        <v/>
      </c>
      <c r="P21" s="12">
        <f>IF($A21="","",_xll.BDP($A21&amp;" Corp","YAS_MOD_DUR"))</f>
        <v/>
      </c>
      <c r="Q21" s="13">
        <f>IF($A21="","",_xll.BDP($A21&amp;" Corp","YAS_OAS_SPRD"))</f>
        <v/>
      </c>
      <c r="R21" s="13">
        <f>IF($A21="","",_xll.BDP($A21&amp;" Corp","YAS_OAS_SPRD","SETTLE_DT",$B$2))</f>
        <v/>
      </c>
      <c r="S21" s="14">
        <f>IF($A21="","",IF(OR(NOT(ISNUMBER($Q21)),NOT(ISNUMBER($R21))),"",$Q21-$R21))</f>
        <v/>
      </c>
      <c r="T21" s="12">
        <f>IF($A21="","",_xll.BDP($A21&amp;" Corp","YAS_BOND_YLD","YAS_YLD_FLAG=15","SETTLE_DT",$B$2))</f>
        <v/>
      </c>
      <c r="U21" s="15">
        <f>IF($A21="","",IF(OR(NOT(ISNUMBER($O21)),NOT(ISNUMBER($T21))),"",$O21-$T21))</f>
        <v/>
      </c>
      <c r="V21" s="13">
        <f>IF(NOT(ISNUMBER($S21)),"",COUNTIFS($G$7:$G$850,$G21,$S$7:$S$850,"&gt;"&amp;$S21)+COUNTIFS($G$7:$G21,$G21,$S$7:$S21,$S21))</f>
        <v/>
      </c>
      <c r="W21" s="13">
        <f>IF(NOT(ISNUMBER($S21)),"",COUNTIFS($G$7:$G$850,$G21,$S$7:$S$850,"&lt;"&amp;$S21)+COUNTIFS($G$7:$G21,$G21,$S$7:$S21,$S21))</f>
        <v/>
      </c>
      <c r="X21" s="8">
        <f>IF($V21="","",$G21&amp;"|"&amp;$V21)</f>
        <v/>
      </c>
      <c r="Y21" s="8">
        <f>IF($W21="","",$G21&amp;"|"&amp;$W21)</f>
        <v/>
      </c>
    </row>
    <row r="22">
      <c r="A22" s="16" t="inlineStr">
        <is>
          <t>US279158AP43</t>
        </is>
      </c>
      <c r="B22" s="17">
        <f>IF($A22="","",PROPER(_xll.BDP($A22&amp;" Corp","NAME")))</f>
        <v/>
      </c>
      <c r="C22" s="17">
        <f>IF($A22="","",IFERROR(INDEX(Company_desc!$B$2:$B$1144,MATCH($A22,Company_desc!$A$2:$A$1144,0)),IFERROR(INDEX(SYZ_static!$Q$2:$Q$806,MATCH($A22,SYZ_static!$A$2:$A$806,0)),"")))</f>
        <v/>
      </c>
      <c r="D22" s="17">
        <f>IF($A22="","",IFERROR(INDEX(SYZ_static!$B$2:$B$806,MATCH($A22,SYZ_static!$A$2:$A$806,0)),""))</f>
        <v/>
      </c>
      <c r="E22" s="17">
        <f>IF($A22="","",_xll.BDP($A22&amp;" Corp","INDUSTRY_SECTOR"))</f>
        <v/>
      </c>
      <c r="F22" s="17">
        <f>IF($A22="","",PROPER(_xll.BDP($A22&amp;" Corp","COUNTRY_FULL_NAME")))</f>
        <v/>
      </c>
      <c r="G22" s="17">
        <f>IF($A22="","",_xll.BDP($A22&amp;" Corp","CRNCY"))</f>
        <v/>
      </c>
      <c r="H22" s="17">
        <f>IF($A22="","",IFERROR(INDEX(SYZ_static!$T$2:$T$806,MATCH($A22,SYZ_static!$A$2:$A$806,0)),_xll.BDP($A22&amp;" Corp","RTG_SP")))</f>
        <v/>
      </c>
      <c r="I22" s="17">
        <f>IF($A22="","",IFERROR(INDEX(SYZ_static!$S$2:$S$806,MATCH($A22,SYZ_static!$A$2:$A$806,0)),""))</f>
        <v/>
      </c>
      <c r="J22" s="17">
        <f>IF($A22="","",_xll.BDP($A22&amp;" Corp","PAYMENT_RANK"))</f>
        <v/>
      </c>
      <c r="K22" s="18">
        <f>IF($A22="","",_xll.BDP($A22&amp;" Corp","CPN"))</f>
        <v/>
      </c>
      <c r="L22" s="19">
        <f>IF($A22="","",_xll.BDP($A22&amp;" Corp","MATURITY"))</f>
        <v/>
      </c>
      <c r="M22" s="20">
        <f>IF($A22="","",IFERROR(_xll.BDP($A22&amp;" Corp","MIN_PIECE")/1000,""))</f>
        <v/>
      </c>
      <c r="N22" s="21">
        <f>IF($A22="","",_xll.BDP($A22&amp;" Corp","PX_LAST"))</f>
        <v/>
      </c>
      <c r="O22" s="21">
        <f>IF($A22="","",_xll.BDP($A22&amp;" Corp","YAS_BOND_YLD","YAS_YLD_FLAG=15"))</f>
        <v/>
      </c>
      <c r="P22" s="21">
        <f>IF($A22="","",_xll.BDP($A22&amp;" Corp","YAS_MOD_DUR"))</f>
        <v/>
      </c>
      <c r="Q22" s="22">
        <f>IF($A22="","",_xll.BDP($A22&amp;" Corp","YAS_OAS_SPRD"))</f>
        <v/>
      </c>
      <c r="R22" s="22">
        <f>IF($A22="","",_xll.BDP($A22&amp;" Corp","YAS_OAS_SPRD","SETTLE_DT",$B$2))</f>
        <v/>
      </c>
      <c r="S22" s="23">
        <f>IF($A22="","",IF(OR(NOT(ISNUMBER($Q22)),NOT(ISNUMBER($R22))),"",$Q22-$R22))</f>
        <v/>
      </c>
      <c r="T22" s="21">
        <f>IF($A22="","",_xll.BDP($A22&amp;" Corp","YAS_BOND_YLD","YAS_YLD_FLAG=15","SETTLE_DT",$B$2))</f>
        <v/>
      </c>
      <c r="U22" s="24">
        <f>IF($A22="","",IF(OR(NOT(ISNUMBER($O22)),NOT(ISNUMBER($T22))),"",$O22-$T22))</f>
        <v/>
      </c>
      <c r="V22" s="22">
        <f>IF(NOT(ISNUMBER($S22)),"",COUNTIFS($G$7:$G$850,$G22,$S$7:$S$850,"&gt;"&amp;$S22)+COUNTIFS($G$7:$G22,$G22,$S$7:$S22,$S22))</f>
        <v/>
      </c>
      <c r="W22" s="22">
        <f>IF(NOT(ISNUMBER($S22)),"",COUNTIFS($G$7:$G$850,$G22,$S$7:$S$850,"&lt;"&amp;$S22)+COUNTIFS($G$7:$G22,$G22,$S$7:$S22,$S22))</f>
        <v/>
      </c>
      <c r="X22" s="17">
        <f>IF($V22="","",$G22&amp;"|"&amp;$V22)</f>
        <v/>
      </c>
      <c r="Y22" s="17">
        <f>IF($W22="","",$G22&amp;"|"&amp;$W22)</f>
        <v/>
      </c>
    </row>
    <row r="23">
      <c r="A23" s="7" t="inlineStr">
        <is>
          <t>USP2000GAA15</t>
        </is>
      </c>
      <c r="B23" s="8">
        <f>IF($A23="","",PROPER(_xll.BDP($A23&amp;" Corp","NAME")))</f>
        <v/>
      </c>
      <c r="C23" s="8">
        <f>IF($A23="","",IFERROR(INDEX(Company_desc!$B$2:$B$1144,MATCH($A23,Company_desc!$A$2:$A$1144,0)),IFERROR(INDEX(SYZ_static!$Q$2:$Q$806,MATCH($A23,SYZ_static!$A$2:$A$806,0)),"")))</f>
        <v/>
      </c>
      <c r="D23" s="8">
        <f>IF($A23="","",IFERROR(INDEX(SYZ_static!$B$2:$B$806,MATCH($A23,SYZ_static!$A$2:$A$806,0)),""))</f>
        <v/>
      </c>
      <c r="E23" s="8">
        <f>IF($A23="","",_xll.BDP($A23&amp;" Corp","INDUSTRY_SECTOR"))</f>
        <v/>
      </c>
      <c r="F23" s="8">
        <f>IF($A23="","",PROPER(_xll.BDP($A23&amp;" Corp","COUNTRY_FULL_NAME")))</f>
        <v/>
      </c>
      <c r="G23" s="8">
        <f>IF($A23="","",_xll.BDP($A23&amp;" Corp","CRNCY"))</f>
        <v/>
      </c>
      <c r="H23" s="8">
        <f>IF($A23="","",IFERROR(INDEX(SYZ_static!$T$2:$T$806,MATCH($A23,SYZ_static!$A$2:$A$806,0)),_xll.BDP($A23&amp;" Corp","RTG_SP")))</f>
        <v/>
      </c>
      <c r="I23" s="8">
        <f>IF($A23="","",IFERROR(INDEX(SYZ_static!$S$2:$S$806,MATCH($A23,SYZ_static!$A$2:$A$806,0)),""))</f>
        <v/>
      </c>
      <c r="J23" s="8">
        <f>IF($A23="","",_xll.BDP($A23&amp;" Corp","PAYMENT_RANK"))</f>
        <v/>
      </c>
      <c r="K23" s="9">
        <f>IF($A23="","",_xll.BDP($A23&amp;" Corp","CPN"))</f>
        <v/>
      </c>
      <c r="L23" s="10">
        <f>IF($A23="","",_xll.BDP($A23&amp;" Corp","MATURITY"))</f>
        <v/>
      </c>
      <c r="M23" s="11">
        <f>IF($A23="","",IFERROR(_xll.BDP($A23&amp;" Corp","MIN_PIECE")/1000,""))</f>
        <v/>
      </c>
      <c r="N23" s="12">
        <f>IF($A23="","",_xll.BDP($A23&amp;" Corp","PX_LAST"))</f>
        <v/>
      </c>
      <c r="O23" s="12">
        <f>IF($A23="","",_xll.BDP($A23&amp;" Corp","YAS_BOND_YLD","YAS_YLD_FLAG=15"))</f>
        <v/>
      </c>
      <c r="P23" s="12">
        <f>IF($A23="","",_xll.BDP($A23&amp;" Corp","YAS_MOD_DUR"))</f>
        <v/>
      </c>
      <c r="Q23" s="13">
        <f>IF($A23="","",_xll.BDP($A23&amp;" Corp","YAS_OAS_SPRD"))</f>
        <v/>
      </c>
      <c r="R23" s="13">
        <f>IF($A23="","",_xll.BDP($A23&amp;" Corp","YAS_OAS_SPRD","SETTLE_DT",$B$2))</f>
        <v/>
      </c>
      <c r="S23" s="14">
        <f>IF($A23="","",IF(OR(NOT(ISNUMBER($Q23)),NOT(ISNUMBER($R23))),"",$Q23-$R23))</f>
        <v/>
      </c>
      <c r="T23" s="12">
        <f>IF($A23="","",_xll.BDP($A23&amp;" Corp","YAS_BOND_YLD","YAS_YLD_FLAG=15","SETTLE_DT",$B$2))</f>
        <v/>
      </c>
      <c r="U23" s="15">
        <f>IF($A23="","",IF(OR(NOT(ISNUMBER($O23)),NOT(ISNUMBER($T23))),"",$O23-$T23))</f>
        <v/>
      </c>
      <c r="V23" s="13">
        <f>IF(NOT(ISNUMBER($S23)),"",COUNTIFS($G$7:$G$850,$G23,$S$7:$S$850,"&gt;"&amp;$S23)+COUNTIFS($G$7:$G23,$G23,$S$7:$S23,$S23))</f>
        <v/>
      </c>
      <c r="W23" s="13">
        <f>IF(NOT(ISNUMBER($S23)),"",COUNTIFS($G$7:$G$850,$G23,$S$7:$S$850,"&lt;"&amp;$S23)+COUNTIFS($G$7:$G23,$G23,$S$7:$S23,$S23))</f>
        <v/>
      </c>
      <c r="X23" s="8">
        <f>IF($V23="","",$G23&amp;"|"&amp;$V23)</f>
        <v/>
      </c>
      <c r="Y23" s="8">
        <f>IF($W23="","",$G23&amp;"|"&amp;$W23)</f>
        <v/>
      </c>
    </row>
    <row r="24">
      <c r="A24" s="16" t="inlineStr">
        <is>
          <t>XS2355105292</t>
        </is>
      </c>
      <c r="B24" s="17">
        <f>IF($A24="","",PROPER(_xll.BDP($A24&amp;" Corp","NAME")))</f>
        <v/>
      </c>
      <c r="C24" s="17">
        <f>IF($A24="","",IFERROR(INDEX(Company_desc!$B$2:$B$1144,MATCH($A24,Company_desc!$A$2:$A$1144,0)),IFERROR(INDEX(SYZ_static!$Q$2:$Q$806,MATCH($A24,SYZ_static!$A$2:$A$806,0)),"")))</f>
        <v/>
      </c>
      <c r="D24" s="17">
        <f>IF($A24="","",IFERROR(INDEX(SYZ_static!$B$2:$B$806,MATCH($A24,SYZ_static!$A$2:$A$806,0)),""))</f>
        <v/>
      </c>
      <c r="E24" s="17">
        <f>IF($A24="","",_xll.BDP($A24&amp;" Corp","INDUSTRY_SECTOR"))</f>
        <v/>
      </c>
      <c r="F24" s="17">
        <f>IF($A24="","",PROPER(_xll.BDP($A24&amp;" Corp","COUNTRY_FULL_NAME")))</f>
        <v/>
      </c>
      <c r="G24" s="17">
        <f>IF($A24="","",_xll.BDP($A24&amp;" Corp","CRNCY"))</f>
        <v/>
      </c>
      <c r="H24" s="17">
        <f>IF($A24="","",IFERROR(INDEX(SYZ_static!$T$2:$T$806,MATCH($A24,SYZ_static!$A$2:$A$806,0)),_xll.BDP($A24&amp;" Corp","RTG_SP")))</f>
        <v/>
      </c>
      <c r="I24" s="17">
        <f>IF($A24="","",IFERROR(INDEX(SYZ_static!$S$2:$S$806,MATCH($A24,SYZ_static!$A$2:$A$806,0)),""))</f>
        <v/>
      </c>
      <c r="J24" s="17">
        <f>IF($A24="","",_xll.BDP($A24&amp;" Corp","PAYMENT_RANK"))</f>
        <v/>
      </c>
      <c r="K24" s="18">
        <f>IF($A24="","",_xll.BDP($A24&amp;" Corp","CPN"))</f>
        <v/>
      </c>
      <c r="L24" s="19">
        <f>IF($A24="","",_xll.BDP($A24&amp;" Corp","MATURITY"))</f>
        <v/>
      </c>
      <c r="M24" s="20">
        <f>IF($A24="","",IFERROR(_xll.BDP($A24&amp;" Corp","MIN_PIECE")/1000,""))</f>
        <v/>
      </c>
      <c r="N24" s="21">
        <f>IF($A24="","",_xll.BDP($A24&amp;" Corp","PX_LAST"))</f>
        <v/>
      </c>
      <c r="O24" s="21">
        <f>IF($A24="","",_xll.BDP($A24&amp;" Corp","YAS_BOND_YLD","YAS_YLD_FLAG=15"))</f>
        <v/>
      </c>
      <c r="P24" s="21">
        <f>IF($A24="","",_xll.BDP($A24&amp;" Corp","YAS_MOD_DUR"))</f>
        <v/>
      </c>
      <c r="Q24" s="22">
        <f>IF($A24="","",_xll.BDP($A24&amp;" Corp","YAS_OAS_SPRD"))</f>
        <v/>
      </c>
      <c r="R24" s="22">
        <f>IF($A24="","",_xll.BDP($A24&amp;" Corp","YAS_OAS_SPRD","SETTLE_DT",$B$2))</f>
        <v/>
      </c>
      <c r="S24" s="23">
        <f>IF($A24="","",IF(OR(NOT(ISNUMBER($Q24)),NOT(ISNUMBER($R24))),"",$Q24-$R24))</f>
        <v/>
      </c>
      <c r="T24" s="21">
        <f>IF($A24="","",_xll.BDP($A24&amp;" Corp","YAS_BOND_YLD","YAS_YLD_FLAG=15","SETTLE_DT",$B$2))</f>
        <v/>
      </c>
      <c r="U24" s="24">
        <f>IF($A24="","",IF(OR(NOT(ISNUMBER($O24)),NOT(ISNUMBER($T24))),"",$O24-$T24))</f>
        <v/>
      </c>
      <c r="V24" s="22">
        <f>IF(NOT(ISNUMBER($S24)),"",COUNTIFS($G$7:$G$850,$G24,$S$7:$S$850,"&gt;"&amp;$S24)+COUNTIFS($G$7:$G24,$G24,$S$7:$S24,$S24))</f>
        <v/>
      </c>
      <c r="W24" s="22">
        <f>IF(NOT(ISNUMBER($S24)),"",COUNTIFS($G$7:$G$850,$G24,$S$7:$S$850,"&lt;"&amp;$S24)+COUNTIFS($G$7:$G24,$G24,$S$7:$S24,$S24))</f>
        <v/>
      </c>
      <c r="X24" s="17">
        <f>IF($V24="","",$G24&amp;"|"&amp;$V24)</f>
        <v/>
      </c>
      <c r="Y24" s="17">
        <f>IF($W24="","",$G24&amp;"|"&amp;$W24)</f>
        <v/>
      </c>
    </row>
    <row r="25">
      <c r="A25" s="7" t="inlineStr">
        <is>
          <t>USP71340AD81</t>
        </is>
      </c>
      <c r="B25" s="8">
        <f>IF($A25="","",PROPER(_xll.BDP($A25&amp;" Corp","NAME")))</f>
        <v/>
      </c>
      <c r="C25" s="8">
        <f>IF($A25="","",IFERROR(INDEX(Company_desc!$B$2:$B$1144,MATCH($A25,Company_desc!$A$2:$A$1144,0)),IFERROR(INDEX(SYZ_static!$Q$2:$Q$806,MATCH($A25,SYZ_static!$A$2:$A$806,0)),"")))</f>
        <v/>
      </c>
      <c r="D25" s="8">
        <f>IF($A25="","",IFERROR(INDEX(SYZ_static!$B$2:$B$806,MATCH($A25,SYZ_static!$A$2:$A$806,0)),""))</f>
        <v/>
      </c>
      <c r="E25" s="8">
        <f>IF($A25="","",_xll.BDP($A25&amp;" Corp","INDUSTRY_SECTOR"))</f>
        <v/>
      </c>
      <c r="F25" s="8">
        <f>IF($A25="","",PROPER(_xll.BDP($A25&amp;" Corp","COUNTRY_FULL_NAME")))</f>
        <v/>
      </c>
      <c r="G25" s="8">
        <f>IF($A25="","",_xll.BDP($A25&amp;" Corp","CRNCY"))</f>
        <v/>
      </c>
      <c r="H25" s="8">
        <f>IF($A25="","",IFERROR(INDEX(SYZ_static!$T$2:$T$806,MATCH($A25,SYZ_static!$A$2:$A$806,0)),_xll.BDP($A25&amp;" Corp","RTG_SP")))</f>
        <v/>
      </c>
      <c r="I25" s="8">
        <f>IF($A25="","",IFERROR(INDEX(SYZ_static!$S$2:$S$806,MATCH($A25,SYZ_static!$A$2:$A$806,0)),""))</f>
        <v/>
      </c>
      <c r="J25" s="8">
        <f>IF($A25="","",_xll.BDP($A25&amp;" Corp","PAYMENT_RANK"))</f>
        <v/>
      </c>
      <c r="K25" s="9">
        <f>IF($A25="","",_xll.BDP($A25&amp;" Corp","CPN"))</f>
        <v/>
      </c>
      <c r="L25" s="10">
        <f>IF($A25="","",_xll.BDP($A25&amp;" Corp","MATURITY"))</f>
        <v/>
      </c>
      <c r="M25" s="11">
        <f>IF($A25="","",IFERROR(_xll.BDP($A25&amp;" Corp","MIN_PIECE")/1000,""))</f>
        <v/>
      </c>
      <c r="N25" s="12">
        <f>IF($A25="","",_xll.BDP($A25&amp;" Corp","PX_LAST"))</f>
        <v/>
      </c>
      <c r="O25" s="12">
        <f>IF($A25="","",_xll.BDP($A25&amp;" Corp","YAS_BOND_YLD","YAS_YLD_FLAG=15"))</f>
        <v/>
      </c>
      <c r="P25" s="12">
        <f>IF($A25="","",_xll.BDP($A25&amp;" Corp","YAS_MOD_DUR"))</f>
        <v/>
      </c>
      <c r="Q25" s="13">
        <f>IF($A25="","",_xll.BDP($A25&amp;" Corp","YAS_OAS_SPRD"))</f>
        <v/>
      </c>
      <c r="R25" s="13">
        <f>IF($A25="","",_xll.BDP($A25&amp;" Corp","YAS_OAS_SPRD","SETTLE_DT",$B$2))</f>
        <v/>
      </c>
      <c r="S25" s="14">
        <f>IF($A25="","",IF(OR(NOT(ISNUMBER($Q25)),NOT(ISNUMBER($R25))),"",$Q25-$R25))</f>
        <v/>
      </c>
      <c r="T25" s="12">
        <f>IF($A25="","",_xll.BDP($A25&amp;" Corp","YAS_BOND_YLD","YAS_YLD_FLAG=15","SETTLE_DT",$B$2))</f>
        <v/>
      </c>
      <c r="U25" s="15">
        <f>IF($A25="","",IF(OR(NOT(ISNUMBER($O25)),NOT(ISNUMBER($T25))),"",$O25-$T25))</f>
        <v/>
      </c>
      <c r="V25" s="13">
        <f>IF(NOT(ISNUMBER($S25)),"",COUNTIFS($G$7:$G$850,$G25,$S$7:$S$850,"&gt;"&amp;$S25)+COUNTIFS($G$7:$G25,$G25,$S$7:$S25,$S25))</f>
        <v/>
      </c>
      <c r="W25" s="13">
        <f>IF(NOT(ISNUMBER($S25)),"",COUNTIFS($G$7:$G$850,$G25,$S$7:$S$850,"&lt;"&amp;$S25)+COUNTIFS($G$7:$G25,$G25,$S$7:$S25,$S25))</f>
        <v/>
      </c>
      <c r="X25" s="8">
        <f>IF($V25="","",$G25&amp;"|"&amp;$V25)</f>
        <v/>
      </c>
      <c r="Y25" s="8">
        <f>IF($W25="","",$G25&amp;"|"&amp;$W25)</f>
        <v/>
      </c>
    </row>
    <row r="26">
      <c r="A26" s="16" t="inlineStr">
        <is>
          <t>US195325EG61</t>
        </is>
      </c>
      <c r="B26" s="17">
        <f>IF($A26="","",PROPER(_xll.BDP($A26&amp;" Corp","NAME")))</f>
        <v/>
      </c>
      <c r="C26" s="17">
        <f>IF($A26="","",IFERROR(INDEX(Company_desc!$B$2:$B$1144,MATCH($A26,Company_desc!$A$2:$A$1144,0)),IFERROR(INDEX(SYZ_static!$Q$2:$Q$806,MATCH($A26,SYZ_static!$A$2:$A$806,0)),"")))</f>
        <v/>
      </c>
      <c r="D26" s="17">
        <f>IF($A26="","",IFERROR(INDEX(SYZ_static!$B$2:$B$806,MATCH($A26,SYZ_static!$A$2:$A$806,0)),""))</f>
        <v/>
      </c>
      <c r="E26" s="17">
        <f>IF($A26="","",_xll.BDP($A26&amp;" Corp","INDUSTRY_SECTOR"))</f>
        <v/>
      </c>
      <c r="F26" s="17">
        <f>IF($A26="","",PROPER(_xll.BDP($A26&amp;" Corp","COUNTRY_FULL_NAME")))</f>
        <v/>
      </c>
      <c r="G26" s="17">
        <f>IF($A26="","",_xll.BDP($A26&amp;" Corp","CRNCY"))</f>
        <v/>
      </c>
      <c r="H26" s="17">
        <f>IF($A26="","",IFERROR(INDEX(SYZ_static!$T$2:$T$806,MATCH($A26,SYZ_static!$A$2:$A$806,0)),_xll.BDP($A26&amp;" Corp","RTG_SP")))</f>
        <v/>
      </c>
      <c r="I26" s="17">
        <f>IF($A26="","",IFERROR(INDEX(SYZ_static!$S$2:$S$806,MATCH($A26,SYZ_static!$A$2:$A$806,0)),""))</f>
        <v/>
      </c>
      <c r="J26" s="17">
        <f>IF($A26="","",_xll.BDP($A26&amp;" Corp","PAYMENT_RANK"))</f>
        <v/>
      </c>
      <c r="K26" s="18">
        <f>IF($A26="","",_xll.BDP($A26&amp;" Corp","CPN"))</f>
        <v/>
      </c>
      <c r="L26" s="19">
        <f>IF($A26="","",_xll.BDP($A26&amp;" Corp","MATURITY"))</f>
        <v/>
      </c>
      <c r="M26" s="20">
        <f>IF($A26="","",IFERROR(_xll.BDP($A26&amp;" Corp","MIN_PIECE")/1000,""))</f>
        <v/>
      </c>
      <c r="N26" s="21">
        <f>IF($A26="","",_xll.BDP($A26&amp;" Corp","PX_LAST"))</f>
        <v/>
      </c>
      <c r="O26" s="21">
        <f>IF($A26="","",_xll.BDP($A26&amp;" Corp","YAS_BOND_YLD","YAS_YLD_FLAG=15"))</f>
        <v/>
      </c>
      <c r="P26" s="21">
        <f>IF($A26="","",_xll.BDP($A26&amp;" Corp","YAS_MOD_DUR"))</f>
        <v/>
      </c>
      <c r="Q26" s="22">
        <f>IF($A26="","",_xll.BDP($A26&amp;" Corp","YAS_OAS_SPRD"))</f>
        <v/>
      </c>
      <c r="R26" s="22">
        <f>IF($A26="","",_xll.BDP($A26&amp;" Corp","YAS_OAS_SPRD","SETTLE_DT",$B$2))</f>
        <v/>
      </c>
      <c r="S26" s="23">
        <f>IF($A26="","",IF(OR(NOT(ISNUMBER($Q26)),NOT(ISNUMBER($R26))),"",$Q26-$R26))</f>
        <v/>
      </c>
      <c r="T26" s="21">
        <f>IF($A26="","",_xll.BDP($A26&amp;" Corp","YAS_BOND_YLD","YAS_YLD_FLAG=15","SETTLE_DT",$B$2))</f>
        <v/>
      </c>
      <c r="U26" s="24">
        <f>IF($A26="","",IF(OR(NOT(ISNUMBER($O26)),NOT(ISNUMBER($T26))),"",$O26-$T26))</f>
        <v/>
      </c>
      <c r="V26" s="22">
        <f>IF(NOT(ISNUMBER($S26)),"",COUNTIFS($G$7:$G$850,$G26,$S$7:$S$850,"&gt;"&amp;$S26)+COUNTIFS($G$7:$G26,$G26,$S$7:$S26,$S26))</f>
        <v/>
      </c>
      <c r="W26" s="22">
        <f>IF(NOT(ISNUMBER($S26)),"",COUNTIFS($G$7:$G$850,$G26,$S$7:$S$850,"&lt;"&amp;$S26)+COUNTIFS($G$7:$G26,$G26,$S$7:$S26,$S26))</f>
        <v/>
      </c>
      <c r="X26" s="17">
        <f>IF($V26="","",$G26&amp;"|"&amp;$V26)</f>
        <v/>
      </c>
      <c r="Y26" s="17">
        <f>IF($W26="","",$G26&amp;"|"&amp;$W26)</f>
        <v/>
      </c>
    </row>
    <row r="27">
      <c r="A27" s="7" t="inlineStr">
        <is>
          <t>XS2532478430</t>
        </is>
      </c>
      <c r="B27" s="8">
        <f>IF($A27="","",PROPER(_xll.BDP($A27&amp;" Corp","NAME")))</f>
        <v/>
      </c>
      <c r="C27" s="8">
        <f>IF($A27="","",IFERROR(INDEX(Company_desc!$B$2:$B$1144,MATCH($A27,Company_desc!$A$2:$A$1144,0)),IFERROR(INDEX(SYZ_static!$Q$2:$Q$806,MATCH($A27,SYZ_static!$A$2:$A$806,0)),"")))</f>
        <v/>
      </c>
      <c r="D27" s="8">
        <f>IF($A27="","",IFERROR(INDEX(SYZ_static!$B$2:$B$806,MATCH($A27,SYZ_static!$A$2:$A$806,0)),""))</f>
        <v/>
      </c>
      <c r="E27" s="8">
        <f>IF($A27="","",_xll.BDP($A27&amp;" Corp","INDUSTRY_SECTOR"))</f>
        <v/>
      </c>
      <c r="F27" s="8">
        <f>IF($A27="","",PROPER(_xll.BDP($A27&amp;" Corp","COUNTRY_FULL_NAME")))</f>
        <v/>
      </c>
      <c r="G27" s="8">
        <f>IF($A27="","",_xll.BDP($A27&amp;" Corp","CRNCY"))</f>
        <v/>
      </c>
      <c r="H27" s="8">
        <f>IF($A27="","",IFERROR(INDEX(SYZ_static!$T$2:$T$806,MATCH($A27,SYZ_static!$A$2:$A$806,0)),_xll.BDP($A27&amp;" Corp","RTG_SP")))</f>
        <v/>
      </c>
      <c r="I27" s="8">
        <f>IF($A27="","",IFERROR(INDEX(SYZ_static!$S$2:$S$806,MATCH($A27,SYZ_static!$A$2:$A$806,0)),""))</f>
        <v/>
      </c>
      <c r="J27" s="8">
        <f>IF($A27="","",_xll.BDP($A27&amp;" Corp","PAYMENT_RANK"))</f>
        <v/>
      </c>
      <c r="K27" s="9">
        <f>IF($A27="","",_xll.BDP($A27&amp;" Corp","CPN"))</f>
        <v/>
      </c>
      <c r="L27" s="10">
        <f>IF($A27="","",_xll.BDP($A27&amp;" Corp","MATURITY"))</f>
        <v/>
      </c>
      <c r="M27" s="11">
        <f>IF($A27="","",IFERROR(_xll.BDP($A27&amp;" Corp","MIN_PIECE")/1000,""))</f>
        <v/>
      </c>
      <c r="N27" s="12">
        <f>IF($A27="","",_xll.BDP($A27&amp;" Corp","PX_LAST"))</f>
        <v/>
      </c>
      <c r="O27" s="12">
        <f>IF($A27="","",_xll.BDP($A27&amp;" Corp","YAS_BOND_YLD","YAS_YLD_FLAG=15"))</f>
        <v/>
      </c>
      <c r="P27" s="12">
        <f>IF($A27="","",_xll.BDP($A27&amp;" Corp","YAS_MOD_DUR"))</f>
        <v/>
      </c>
      <c r="Q27" s="13">
        <f>IF($A27="","",_xll.BDP($A27&amp;" Corp","YAS_OAS_SPRD"))</f>
        <v/>
      </c>
      <c r="R27" s="13">
        <f>IF($A27="","",_xll.BDP($A27&amp;" Corp","YAS_OAS_SPRD","SETTLE_DT",$B$2))</f>
        <v/>
      </c>
      <c r="S27" s="14">
        <f>IF($A27="","",IF(OR(NOT(ISNUMBER($Q27)),NOT(ISNUMBER($R27))),"",$Q27-$R27))</f>
        <v/>
      </c>
      <c r="T27" s="12">
        <f>IF($A27="","",_xll.BDP($A27&amp;" Corp","YAS_BOND_YLD","YAS_YLD_FLAG=15","SETTLE_DT",$B$2))</f>
        <v/>
      </c>
      <c r="U27" s="15">
        <f>IF($A27="","",IF(OR(NOT(ISNUMBER($O27)),NOT(ISNUMBER($T27))),"",$O27-$T27))</f>
        <v/>
      </c>
      <c r="V27" s="13">
        <f>IF(NOT(ISNUMBER($S27)),"",COUNTIFS($G$7:$G$850,$G27,$S$7:$S$850,"&gt;"&amp;$S27)+COUNTIFS($G$7:$G27,$G27,$S$7:$S27,$S27))</f>
        <v/>
      </c>
      <c r="W27" s="13">
        <f>IF(NOT(ISNUMBER($S27)),"",COUNTIFS($G$7:$G$850,$G27,$S$7:$S$850,"&lt;"&amp;$S27)+COUNTIFS($G$7:$G27,$G27,$S$7:$S27,$S27))</f>
        <v/>
      </c>
      <c r="X27" s="8">
        <f>IF($V27="","",$G27&amp;"|"&amp;$V27)</f>
        <v/>
      </c>
      <c r="Y27" s="8">
        <f>IF($W27="","",$G27&amp;"|"&amp;$W27)</f>
        <v/>
      </c>
    </row>
    <row r="28">
      <c r="A28" s="16" t="inlineStr">
        <is>
          <t>XS2782775345</t>
        </is>
      </c>
      <c r="B28" s="17">
        <f>IF($A28="","",PROPER(_xll.BDP($A28&amp;" Corp","NAME")))</f>
        <v/>
      </c>
      <c r="C28" s="17">
        <f>IF($A28="","",IFERROR(INDEX(Company_desc!$B$2:$B$1144,MATCH($A28,Company_desc!$A$2:$A$1144,0)),IFERROR(INDEX(SYZ_static!$Q$2:$Q$806,MATCH($A28,SYZ_static!$A$2:$A$806,0)),"")))</f>
        <v/>
      </c>
      <c r="D28" s="17">
        <f>IF($A28="","",IFERROR(INDEX(SYZ_static!$B$2:$B$806,MATCH($A28,SYZ_static!$A$2:$A$806,0)),""))</f>
        <v/>
      </c>
      <c r="E28" s="17">
        <f>IF($A28="","",_xll.BDP($A28&amp;" Corp","INDUSTRY_SECTOR"))</f>
        <v/>
      </c>
      <c r="F28" s="17">
        <f>IF($A28="","",PROPER(_xll.BDP($A28&amp;" Corp","COUNTRY_FULL_NAME")))</f>
        <v/>
      </c>
      <c r="G28" s="17">
        <f>IF($A28="","",_xll.BDP($A28&amp;" Corp","CRNCY"))</f>
        <v/>
      </c>
      <c r="H28" s="17">
        <f>IF($A28="","",IFERROR(INDEX(SYZ_static!$T$2:$T$806,MATCH($A28,SYZ_static!$A$2:$A$806,0)),_xll.BDP($A28&amp;" Corp","RTG_SP")))</f>
        <v/>
      </c>
      <c r="I28" s="17">
        <f>IF($A28="","",IFERROR(INDEX(SYZ_static!$S$2:$S$806,MATCH($A28,SYZ_static!$A$2:$A$806,0)),""))</f>
        <v/>
      </c>
      <c r="J28" s="17">
        <f>IF($A28="","",_xll.BDP($A28&amp;" Corp","PAYMENT_RANK"))</f>
        <v/>
      </c>
      <c r="K28" s="18">
        <f>IF($A28="","",_xll.BDP($A28&amp;" Corp","CPN"))</f>
        <v/>
      </c>
      <c r="L28" s="19">
        <f>IF($A28="","",_xll.BDP($A28&amp;" Corp","MATURITY"))</f>
        <v/>
      </c>
      <c r="M28" s="20">
        <f>IF($A28="","",IFERROR(_xll.BDP($A28&amp;" Corp","MIN_PIECE")/1000,""))</f>
        <v/>
      </c>
      <c r="N28" s="21">
        <f>IF($A28="","",_xll.BDP($A28&amp;" Corp","PX_LAST"))</f>
        <v/>
      </c>
      <c r="O28" s="21">
        <f>IF($A28="","",_xll.BDP($A28&amp;" Corp","YAS_BOND_YLD","YAS_YLD_FLAG=15"))</f>
        <v/>
      </c>
      <c r="P28" s="21">
        <f>IF($A28="","",_xll.BDP($A28&amp;" Corp","YAS_MOD_DUR"))</f>
        <v/>
      </c>
      <c r="Q28" s="22">
        <f>IF($A28="","",_xll.BDP($A28&amp;" Corp","YAS_OAS_SPRD"))</f>
        <v/>
      </c>
      <c r="R28" s="22">
        <f>IF($A28="","",_xll.BDP($A28&amp;" Corp","YAS_OAS_SPRD","SETTLE_DT",$B$2))</f>
        <v/>
      </c>
      <c r="S28" s="23">
        <f>IF($A28="","",IF(OR(NOT(ISNUMBER($Q28)),NOT(ISNUMBER($R28))),"",$Q28-$R28))</f>
        <v/>
      </c>
      <c r="T28" s="21">
        <f>IF($A28="","",_xll.BDP($A28&amp;" Corp","YAS_BOND_YLD","YAS_YLD_FLAG=15","SETTLE_DT",$B$2))</f>
        <v/>
      </c>
      <c r="U28" s="24">
        <f>IF($A28="","",IF(OR(NOT(ISNUMBER($O28)),NOT(ISNUMBER($T28))),"",$O28-$T28))</f>
        <v/>
      </c>
      <c r="V28" s="22">
        <f>IF(NOT(ISNUMBER($S28)),"",COUNTIFS($G$7:$G$850,$G28,$S$7:$S$850,"&gt;"&amp;$S28)+COUNTIFS($G$7:$G28,$G28,$S$7:$S28,$S28))</f>
        <v/>
      </c>
      <c r="W28" s="22">
        <f>IF(NOT(ISNUMBER($S28)),"",COUNTIFS($G$7:$G$850,$G28,$S$7:$S$850,"&lt;"&amp;$S28)+COUNTIFS($G$7:$G28,$G28,$S$7:$S28,$S28))</f>
        <v/>
      </c>
      <c r="X28" s="17">
        <f>IF($V28="","",$G28&amp;"|"&amp;$V28)</f>
        <v/>
      </c>
      <c r="Y28" s="17">
        <f>IF($W28="","",$G28&amp;"|"&amp;$W28)</f>
        <v/>
      </c>
    </row>
    <row r="29">
      <c r="A29" s="7" t="inlineStr">
        <is>
          <t>US900123BG46</t>
        </is>
      </c>
      <c r="B29" s="8">
        <f>IF($A29="","",PROPER(_xll.BDP($A29&amp;" Corp","NAME")))</f>
        <v/>
      </c>
      <c r="C29" s="8">
        <f>IF($A29="","",IFERROR(INDEX(Company_desc!$B$2:$B$1144,MATCH($A29,Company_desc!$A$2:$A$1144,0)),IFERROR(INDEX(SYZ_static!$Q$2:$Q$806,MATCH($A29,SYZ_static!$A$2:$A$806,0)),"")))</f>
        <v/>
      </c>
      <c r="D29" s="8">
        <f>IF($A29="","",IFERROR(INDEX(SYZ_static!$B$2:$B$806,MATCH($A29,SYZ_static!$A$2:$A$806,0)),""))</f>
        <v/>
      </c>
      <c r="E29" s="8">
        <f>IF($A29="","",_xll.BDP($A29&amp;" Corp","INDUSTRY_SECTOR"))</f>
        <v/>
      </c>
      <c r="F29" s="8">
        <f>IF($A29="","",PROPER(_xll.BDP($A29&amp;" Corp","COUNTRY_FULL_NAME")))</f>
        <v/>
      </c>
      <c r="G29" s="8">
        <f>IF($A29="","",_xll.BDP($A29&amp;" Corp","CRNCY"))</f>
        <v/>
      </c>
      <c r="H29" s="8">
        <f>IF($A29="","",IFERROR(INDEX(SYZ_static!$T$2:$T$806,MATCH($A29,SYZ_static!$A$2:$A$806,0)),_xll.BDP($A29&amp;" Corp","RTG_SP")))</f>
        <v/>
      </c>
      <c r="I29" s="8">
        <f>IF($A29="","",IFERROR(INDEX(SYZ_static!$S$2:$S$806,MATCH($A29,SYZ_static!$A$2:$A$806,0)),""))</f>
        <v/>
      </c>
      <c r="J29" s="8">
        <f>IF($A29="","",_xll.BDP($A29&amp;" Corp","PAYMENT_RANK"))</f>
        <v/>
      </c>
      <c r="K29" s="9">
        <f>IF($A29="","",_xll.BDP($A29&amp;" Corp","CPN"))</f>
        <v/>
      </c>
      <c r="L29" s="10">
        <f>IF($A29="","",_xll.BDP($A29&amp;" Corp","MATURITY"))</f>
        <v/>
      </c>
      <c r="M29" s="11">
        <f>IF($A29="","",IFERROR(_xll.BDP($A29&amp;" Corp","MIN_PIECE")/1000,""))</f>
        <v/>
      </c>
      <c r="N29" s="12">
        <f>IF($A29="","",_xll.BDP($A29&amp;" Corp","PX_LAST"))</f>
        <v/>
      </c>
      <c r="O29" s="12">
        <f>IF($A29="","",_xll.BDP($A29&amp;" Corp","YAS_BOND_YLD","YAS_YLD_FLAG=15"))</f>
        <v/>
      </c>
      <c r="P29" s="12">
        <f>IF($A29="","",_xll.BDP($A29&amp;" Corp","YAS_MOD_DUR"))</f>
        <v/>
      </c>
      <c r="Q29" s="13">
        <f>IF($A29="","",_xll.BDP($A29&amp;" Corp","YAS_OAS_SPRD"))</f>
        <v/>
      </c>
      <c r="R29" s="13">
        <f>IF($A29="","",_xll.BDP($A29&amp;" Corp","YAS_OAS_SPRD","SETTLE_DT",$B$2))</f>
        <v/>
      </c>
      <c r="S29" s="14">
        <f>IF($A29="","",IF(OR(NOT(ISNUMBER($Q29)),NOT(ISNUMBER($R29))),"",$Q29-$R29))</f>
        <v/>
      </c>
      <c r="T29" s="12">
        <f>IF($A29="","",_xll.BDP($A29&amp;" Corp","YAS_BOND_YLD","YAS_YLD_FLAG=15","SETTLE_DT",$B$2))</f>
        <v/>
      </c>
      <c r="U29" s="15">
        <f>IF($A29="","",IF(OR(NOT(ISNUMBER($O29)),NOT(ISNUMBER($T29))),"",$O29-$T29))</f>
        <v/>
      </c>
      <c r="V29" s="13">
        <f>IF(NOT(ISNUMBER($S29)),"",COUNTIFS($G$7:$G$850,$G29,$S$7:$S$850,"&gt;"&amp;$S29)+COUNTIFS($G$7:$G29,$G29,$S$7:$S29,$S29))</f>
        <v/>
      </c>
      <c r="W29" s="13">
        <f>IF(NOT(ISNUMBER($S29)),"",COUNTIFS($G$7:$G$850,$G29,$S$7:$S$850,"&lt;"&amp;$S29)+COUNTIFS($G$7:$G29,$G29,$S$7:$S29,$S29))</f>
        <v/>
      </c>
      <c r="X29" s="8">
        <f>IF($V29="","",$G29&amp;"|"&amp;$V29)</f>
        <v/>
      </c>
      <c r="Y29" s="8">
        <f>IF($W29="","",$G29&amp;"|"&amp;$W29)</f>
        <v/>
      </c>
    </row>
    <row r="30">
      <c r="A30" s="16" t="inlineStr">
        <is>
          <t>XS1824425182</t>
        </is>
      </c>
      <c r="B30" s="17">
        <f>IF($A30="","",PROPER(_xll.BDP($A30&amp;" Corp","NAME")))</f>
        <v/>
      </c>
      <c r="C30" s="17">
        <f>IF($A30="","",IFERROR(INDEX(Company_desc!$B$2:$B$1144,MATCH($A30,Company_desc!$A$2:$A$1144,0)),IFERROR(INDEX(SYZ_static!$Q$2:$Q$806,MATCH($A30,SYZ_static!$A$2:$A$806,0)),"")))</f>
        <v/>
      </c>
      <c r="D30" s="17">
        <f>IF($A30="","",IFERROR(INDEX(SYZ_static!$B$2:$B$806,MATCH($A30,SYZ_static!$A$2:$A$806,0)),""))</f>
        <v/>
      </c>
      <c r="E30" s="17">
        <f>IF($A30="","",_xll.BDP($A30&amp;" Corp","INDUSTRY_SECTOR"))</f>
        <v/>
      </c>
      <c r="F30" s="17">
        <f>IF($A30="","",PROPER(_xll.BDP($A30&amp;" Corp","COUNTRY_FULL_NAME")))</f>
        <v/>
      </c>
      <c r="G30" s="17">
        <f>IF($A30="","",_xll.BDP($A30&amp;" Corp","CRNCY"))</f>
        <v/>
      </c>
      <c r="H30" s="17">
        <f>IF($A30="","",IFERROR(INDEX(SYZ_static!$T$2:$T$806,MATCH($A30,SYZ_static!$A$2:$A$806,0)),_xll.BDP($A30&amp;" Corp","RTG_SP")))</f>
        <v/>
      </c>
      <c r="I30" s="17">
        <f>IF($A30="","",IFERROR(INDEX(SYZ_static!$S$2:$S$806,MATCH($A30,SYZ_static!$A$2:$A$806,0)),""))</f>
        <v/>
      </c>
      <c r="J30" s="17">
        <f>IF($A30="","",_xll.BDP($A30&amp;" Corp","PAYMENT_RANK"))</f>
        <v/>
      </c>
      <c r="K30" s="18">
        <f>IF($A30="","",_xll.BDP($A30&amp;" Corp","CPN"))</f>
        <v/>
      </c>
      <c r="L30" s="19">
        <f>IF($A30="","",_xll.BDP($A30&amp;" Corp","MATURITY"))</f>
        <v/>
      </c>
      <c r="M30" s="20">
        <f>IF($A30="","",IFERROR(_xll.BDP($A30&amp;" Corp","MIN_PIECE")/1000,""))</f>
        <v/>
      </c>
      <c r="N30" s="21">
        <f>IF($A30="","",_xll.BDP($A30&amp;" Corp","PX_LAST"))</f>
        <v/>
      </c>
      <c r="O30" s="21">
        <f>IF($A30="","",_xll.BDP($A30&amp;" Corp","YAS_BOND_YLD","YAS_YLD_FLAG=15"))</f>
        <v/>
      </c>
      <c r="P30" s="21">
        <f>IF($A30="","",_xll.BDP($A30&amp;" Corp","YAS_MOD_DUR"))</f>
        <v/>
      </c>
      <c r="Q30" s="22">
        <f>IF($A30="","",_xll.BDP($A30&amp;" Corp","YAS_OAS_SPRD"))</f>
        <v/>
      </c>
      <c r="R30" s="22">
        <f>IF($A30="","",_xll.BDP($A30&amp;" Corp","YAS_OAS_SPRD","SETTLE_DT",$B$2))</f>
        <v/>
      </c>
      <c r="S30" s="23">
        <f>IF($A30="","",IF(OR(NOT(ISNUMBER($Q30)),NOT(ISNUMBER($R30))),"",$Q30-$R30))</f>
        <v/>
      </c>
      <c r="T30" s="21">
        <f>IF($A30="","",_xll.BDP($A30&amp;" Corp","YAS_BOND_YLD","YAS_YLD_FLAG=15","SETTLE_DT",$B$2))</f>
        <v/>
      </c>
      <c r="U30" s="24">
        <f>IF($A30="","",IF(OR(NOT(ISNUMBER($O30)),NOT(ISNUMBER($T30))),"",$O30-$T30))</f>
        <v/>
      </c>
      <c r="V30" s="22">
        <f>IF(NOT(ISNUMBER($S30)),"",COUNTIFS($G$7:$G$850,$G30,$S$7:$S$850,"&gt;"&amp;$S30)+COUNTIFS($G$7:$G30,$G30,$S$7:$S30,$S30))</f>
        <v/>
      </c>
      <c r="W30" s="22">
        <f>IF(NOT(ISNUMBER($S30)),"",COUNTIFS($G$7:$G$850,$G30,$S$7:$S$850,"&lt;"&amp;$S30)+COUNTIFS($G$7:$G30,$G30,$S$7:$S30,$S30))</f>
        <v/>
      </c>
      <c r="X30" s="17">
        <f>IF($V30="","",$G30&amp;"|"&amp;$V30)</f>
        <v/>
      </c>
      <c r="Y30" s="17">
        <f>IF($W30="","",$G30&amp;"|"&amp;$W30)</f>
        <v/>
      </c>
    </row>
    <row r="31">
      <c r="A31" s="7" t="inlineStr">
        <is>
          <t>US900123DG28</t>
        </is>
      </c>
      <c r="B31" s="8">
        <f>IF($A31="","",PROPER(_xll.BDP($A31&amp;" Corp","NAME")))</f>
        <v/>
      </c>
      <c r="C31" s="8">
        <f>IF($A31="","",IFERROR(INDEX(Company_desc!$B$2:$B$1144,MATCH($A31,Company_desc!$A$2:$A$1144,0)),IFERROR(INDEX(SYZ_static!$Q$2:$Q$806,MATCH($A31,SYZ_static!$A$2:$A$806,0)),"")))</f>
        <v/>
      </c>
      <c r="D31" s="8">
        <f>IF($A31="","",IFERROR(INDEX(SYZ_static!$B$2:$B$806,MATCH($A31,SYZ_static!$A$2:$A$806,0)),""))</f>
        <v/>
      </c>
      <c r="E31" s="8">
        <f>IF($A31="","",_xll.BDP($A31&amp;" Corp","INDUSTRY_SECTOR"))</f>
        <v/>
      </c>
      <c r="F31" s="8">
        <f>IF($A31="","",PROPER(_xll.BDP($A31&amp;" Corp","COUNTRY_FULL_NAME")))</f>
        <v/>
      </c>
      <c r="G31" s="8">
        <f>IF($A31="","",_xll.BDP($A31&amp;" Corp","CRNCY"))</f>
        <v/>
      </c>
      <c r="H31" s="8">
        <f>IF($A31="","",IFERROR(INDEX(SYZ_static!$T$2:$T$806,MATCH($A31,SYZ_static!$A$2:$A$806,0)),_xll.BDP($A31&amp;" Corp","RTG_SP")))</f>
        <v/>
      </c>
      <c r="I31" s="8">
        <f>IF($A31="","",IFERROR(INDEX(SYZ_static!$S$2:$S$806,MATCH($A31,SYZ_static!$A$2:$A$806,0)),""))</f>
        <v/>
      </c>
      <c r="J31" s="8">
        <f>IF($A31="","",_xll.BDP($A31&amp;" Corp","PAYMENT_RANK"))</f>
        <v/>
      </c>
      <c r="K31" s="9">
        <f>IF($A31="","",_xll.BDP($A31&amp;" Corp","CPN"))</f>
        <v/>
      </c>
      <c r="L31" s="10">
        <f>IF($A31="","",_xll.BDP($A31&amp;" Corp","MATURITY"))</f>
        <v/>
      </c>
      <c r="M31" s="11">
        <f>IF($A31="","",IFERROR(_xll.BDP($A31&amp;" Corp","MIN_PIECE")/1000,""))</f>
        <v/>
      </c>
      <c r="N31" s="12">
        <f>IF($A31="","",_xll.BDP($A31&amp;" Corp","PX_LAST"))</f>
        <v/>
      </c>
      <c r="O31" s="12">
        <f>IF($A31="","",_xll.BDP($A31&amp;" Corp","YAS_BOND_YLD","YAS_YLD_FLAG=15"))</f>
        <v/>
      </c>
      <c r="P31" s="12">
        <f>IF($A31="","",_xll.BDP($A31&amp;" Corp","YAS_MOD_DUR"))</f>
        <v/>
      </c>
      <c r="Q31" s="13">
        <f>IF($A31="","",_xll.BDP($A31&amp;" Corp","YAS_OAS_SPRD"))</f>
        <v/>
      </c>
      <c r="R31" s="13">
        <f>IF($A31="","",_xll.BDP($A31&amp;" Corp","YAS_OAS_SPRD","SETTLE_DT",$B$2))</f>
        <v/>
      </c>
      <c r="S31" s="14">
        <f>IF($A31="","",IF(OR(NOT(ISNUMBER($Q31)),NOT(ISNUMBER($R31))),"",$Q31-$R31))</f>
        <v/>
      </c>
      <c r="T31" s="12">
        <f>IF($A31="","",_xll.BDP($A31&amp;" Corp","YAS_BOND_YLD","YAS_YLD_FLAG=15","SETTLE_DT",$B$2))</f>
        <v/>
      </c>
      <c r="U31" s="15">
        <f>IF($A31="","",IF(OR(NOT(ISNUMBER($O31)),NOT(ISNUMBER($T31))),"",$O31-$T31))</f>
        <v/>
      </c>
      <c r="V31" s="13">
        <f>IF(NOT(ISNUMBER($S31)),"",COUNTIFS($G$7:$G$850,$G31,$S$7:$S$850,"&gt;"&amp;$S31)+COUNTIFS($G$7:$G31,$G31,$S$7:$S31,$S31))</f>
        <v/>
      </c>
      <c r="W31" s="13">
        <f>IF(NOT(ISNUMBER($S31)),"",COUNTIFS($G$7:$G$850,$G31,$S$7:$S$850,"&lt;"&amp;$S31)+COUNTIFS($G$7:$G31,$G31,$S$7:$S31,$S31))</f>
        <v/>
      </c>
      <c r="X31" s="8">
        <f>IF($V31="","",$G31&amp;"|"&amp;$V31)</f>
        <v/>
      </c>
      <c r="Y31" s="8">
        <f>IF($W31="","",$G31&amp;"|"&amp;$W31)</f>
        <v/>
      </c>
    </row>
    <row r="32">
      <c r="A32" s="16" t="inlineStr">
        <is>
          <t>CH0553695815</t>
        </is>
      </c>
      <c r="B32" s="17">
        <f>IF($A32="","",PROPER(_xll.BDP($A32&amp;" Corp","NAME")))</f>
        <v/>
      </c>
      <c r="C32" s="17">
        <f>IF($A32="","",IFERROR(INDEX(Company_desc!$B$2:$B$1144,MATCH($A32,Company_desc!$A$2:$A$1144,0)),IFERROR(INDEX(SYZ_static!$Q$2:$Q$806,MATCH($A32,SYZ_static!$A$2:$A$806,0)),"")))</f>
        <v/>
      </c>
      <c r="D32" s="17">
        <f>IF($A32="","",IFERROR(INDEX(SYZ_static!$B$2:$B$806,MATCH($A32,SYZ_static!$A$2:$A$806,0)),""))</f>
        <v/>
      </c>
      <c r="E32" s="17">
        <f>IF($A32="","",_xll.BDP($A32&amp;" Corp","INDUSTRY_SECTOR"))</f>
        <v/>
      </c>
      <c r="F32" s="17">
        <f>IF($A32="","",PROPER(_xll.BDP($A32&amp;" Corp","COUNTRY_FULL_NAME")))</f>
        <v/>
      </c>
      <c r="G32" s="17">
        <f>IF($A32="","",_xll.BDP($A32&amp;" Corp","CRNCY"))</f>
        <v/>
      </c>
      <c r="H32" s="17">
        <f>IF($A32="","",IFERROR(INDEX(SYZ_static!$T$2:$T$806,MATCH($A32,SYZ_static!$A$2:$A$806,0)),_xll.BDP($A32&amp;" Corp","RTG_SP")))</f>
        <v/>
      </c>
      <c r="I32" s="17">
        <f>IF($A32="","",IFERROR(INDEX(SYZ_static!$S$2:$S$806,MATCH($A32,SYZ_static!$A$2:$A$806,0)),""))</f>
        <v/>
      </c>
      <c r="J32" s="17">
        <f>IF($A32="","",_xll.BDP($A32&amp;" Corp","PAYMENT_RANK"))</f>
        <v/>
      </c>
      <c r="K32" s="18">
        <f>IF($A32="","",_xll.BDP($A32&amp;" Corp","CPN"))</f>
        <v/>
      </c>
      <c r="L32" s="19">
        <f>IF($A32="","",_xll.BDP($A32&amp;" Corp","MATURITY"))</f>
        <v/>
      </c>
      <c r="M32" s="20">
        <f>IF($A32="","",IFERROR(_xll.BDP($A32&amp;" Corp","MIN_PIECE")/1000,""))</f>
        <v/>
      </c>
      <c r="N32" s="21">
        <f>IF($A32="","",_xll.BDP($A32&amp;" Corp","PX_LAST"))</f>
        <v/>
      </c>
      <c r="O32" s="21">
        <f>IF($A32="","",_xll.BDP($A32&amp;" Corp","YAS_BOND_YLD","YAS_YLD_FLAG=15"))</f>
        <v/>
      </c>
      <c r="P32" s="21">
        <f>IF($A32="","",_xll.BDP($A32&amp;" Corp","YAS_MOD_DUR"))</f>
        <v/>
      </c>
      <c r="Q32" s="22">
        <f>IF($A32="","",_xll.BDP($A32&amp;" Corp","YAS_OAS_SPRD"))</f>
        <v/>
      </c>
      <c r="R32" s="22">
        <f>IF($A32="","",_xll.BDP($A32&amp;" Corp","YAS_OAS_SPRD","SETTLE_DT",$B$2))</f>
        <v/>
      </c>
      <c r="S32" s="23">
        <f>IF($A32="","",IF(OR(NOT(ISNUMBER($Q32)),NOT(ISNUMBER($R32))),"",$Q32-$R32))</f>
        <v/>
      </c>
      <c r="T32" s="21">
        <f>IF($A32="","",_xll.BDP($A32&amp;" Corp","YAS_BOND_YLD","YAS_YLD_FLAG=15","SETTLE_DT",$B$2))</f>
        <v/>
      </c>
      <c r="U32" s="24">
        <f>IF($A32="","",IF(OR(NOT(ISNUMBER($O32)),NOT(ISNUMBER($T32))),"",$O32-$T32))</f>
        <v/>
      </c>
      <c r="V32" s="22">
        <f>IF(NOT(ISNUMBER($S32)),"",COUNTIFS($G$7:$G$850,$G32,$S$7:$S$850,"&gt;"&amp;$S32)+COUNTIFS($G$7:$G32,$G32,$S$7:$S32,$S32))</f>
        <v/>
      </c>
      <c r="W32" s="22">
        <f>IF(NOT(ISNUMBER($S32)),"",COUNTIFS($G$7:$G$850,$G32,$S$7:$S$850,"&lt;"&amp;$S32)+COUNTIFS($G$7:$G32,$G32,$S$7:$S32,$S32))</f>
        <v/>
      </c>
      <c r="X32" s="17">
        <f>IF($V32="","",$G32&amp;"|"&amp;$V32)</f>
        <v/>
      </c>
      <c r="Y32" s="17">
        <f>IF($W32="","",$G32&amp;"|"&amp;$W32)</f>
        <v/>
      </c>
    </row>
    <row r="33">
      <c r="A33" s="7" t="inlineStr">
        <is>
          <t>XS2338564870</t>
        </is>
      </c>
      <c r="B33" s="8">
        <f>IF($A33="","",PROPER(_xll.BDP($A33&amp;" Corp","NAME")))</f>
        <v/>
      </c>
      <c r="C33" s="8">
        <f>IF($A33="","",IFERROR(INDEX(Company_desc!$B$2:$B$1144,MATCH($A33,Company_desc!$A$2:$A$1144,0)),IFERROR(INDEX(SYZ_static!$Q$2:$Q$806,MATCH($A33,SYZ_static!$A$2:$A$806,0)),"")))</f>
        <v/>
      </c>
      <c r="D33" s="8">
        <f>IF($A33="","",IFERROR(INDEX(SYZ_static!$B$2:$B$806,MATCH($A33,SYZ_static!$A$2:$A$806,0)),""))</f>
        <v/>
      </c>
      <c r="E33" s="8">
        <f>IF($A33="","",_xll.BDP($A33&amp;" Corp","INDUSTRY_SECTOR"))</f>
        <v/>
      </c>
      <c r="F33" s="8">
        <f>IF($A33="","",PROPER(_xll.BDP($A33&amp;" Corp","COUNTRY_FULL_NAME")))</f>
        <v/>
      </c>
      <c r="G33" s="8">
        <f>IF($A33="","",_xll.BDP($A33&amp;" Corp","CRNCY"))</f>
        <v/>
      </c>
      <c r="H33" s="8">
        <f>IF($A33="","",IFERROR(INDEX(SYZ_static!$T$2:$T$806,MATCH($A33,SYZ_static!$A$2:$A$806,0)),_xll.BDP($A33&amp;" Corp","RTG_SP")))</f>
        <v/>
      </c>
      <c r="I33" s="8">
        <f>IF($A33="","",IFERROR(INDEX(SYZ_static!$S$2:$S$806,MATCH($A33,SYZ_static!$A$2:$A$806,0)),""))</f>
        <v/>
      </c>
      <c r="J33" s="8">
        <f>IF($A33="","",_xll.BDP($A33&amp;" Corp","PAYMENT_RANK"))</f>
        <v/>
      </c>
      <c r="K33" s="9">
        <f>IF($A33="","",_xll.BDP($A33&amp;" Corp","CPN"))</f>
        <v/>
      </c>
      <c r="L33" s="10">
        <f>IF($A33="","",_xll.BDP($A33&amp;" Corp","MATURITY"))</f>
        <v/>
      </c>
      <c r="M33" s="11">
        <f>IF($A33="","",IFERROR(_xll.BDP($A33&amp;" Corp","MIN_PIECE")/1000,""))</f>
        <v/>
      </c>
      <c r="N33" s="12">
        <f>IF($A33="","",_xll.BDP($A33&amp;" Corp","PX_LAST"))</f>
        <v/>
      </c>
      <c r="O33" s="12">
        <f>IF($A33="","",_xll.BDP($A33&amp;" Corp","YAS_BOND_YLD","YAS_YLD_FLAG=15"))</f>
        <v/>
      </c>
      <c r="P33" s="12">
        <f>IF($A33="","",_xll.BDP($A33&amp;" Corp","YAS_MOD_DUR"))</f>
        <v/>
      </c>
      <c r="Q33" s="13">
        <f>IF($A33="","",_xll.BDP($A33&amp;" Corp","YAS_OAS_SPRD"))</f>
        <v/>
      </c>
      <c r="R33" s="13">
        <f>IF($A33="","",_xll.BDP($A33&amp;" Corp","YAS_OAS_SPRD","SETTLE_DT",$B$2))</f>
        <v/>
      </c>
      <c r="S33" s="14">
        <f>IF($A33="","",IF(OR(NOT(ISNUMBER($Q33)),NOT(ISNUMBER($R33))),"",$Q33-$R33))</f>
        <v/>
      </c>
      <c r="T33" s="12">
        <f>IF($A33="","",_xll.BDP($A33&amp;" Corp","YAS_BOND_YLD","YAS_YLD_FLAG=15","SETTLE_DT",$B$2))</f>
        <v/>
      </c>
      <c r="U33" s="15">
        <f>IF($A33="","",IF(OR(NOT(ISNUMBER($O33)),NOT(ISNUMBER($T33))),"",$O33-$T33))</f>
        <v/>
      </c>
      <c r="V33" s="13">
        <f>IF(NOT(ISNUMBER($S33)),"",COUNTIFS($G$7:$G$850,$G33,$S$7:$S$850,"&gt;"&amp;$S33)+COUNTIFS($G$7:$G33,$G33,$S$7:$S33,$S33))</f>
        <v/>
      </c>
      <c r="W33" s="13">
        <f>IF(NOT(ISNUMBER($S33)),"",COUNTIFS($G$7:$G$850,$G33,$S$7:$S$850,"&lt;"&amp;$S33)+COUNTIFS($G$7:$G33,$G33,$S$7:$S33,$S33))</f>
        <v/>
      </c>
      <c r="X33" s="8">
        <f>IF($V33="","",$G33&amp;"|"&amp;$V33)</f>
        <v/>
      </c>
      <c r="Y33" s="8">
        <f>IF($W33="","",$G33&amp;"|"&amp;$W33)</f>
        <v/>
      </c>
    </row>
    <row r="34">
      <c r="A34" s="16" t="inlineStr">
        <is>
          <t>US71647NAN93</t>
        </is>
      </c>
      <c r="B34" s="17">
        <f>IF($A34="","",PROPER(_xll.BDP($A34&amp;" Corp","NAME")))</f>
        <v/>
      </c>
      <c r="C34" s="17">
        <f>IF($A34="","",IFERROR(INDEX(Company_desc!$B$2:$B$1144,MATCH($A34,Company_desc!$A$2:$A$1144,0)),IFERROR(INDEX(SYZ_static!$Q$2:$Q$806,MATCH($A34,SYZ_static!$A$2:$A$806,0)),"")))</f>
        <v/>
      </c>
      <c r="D34" s="17">
        <f>IF($A34="","",IFERROR(INDEX(SYZ_static!$B$2:$B$806,MATCH($A34,SYZ_static!$A$2:$A$806,0)),""))</f>
        <v/>
      </c>
      <c r="E34" s="17">
        <f>IF($A34="","",_xll.BDP($A34&amp;" Corp","INDUSTRY_SECTOR"))</f>
        <v/>
      </c>
      <c r="F34" s="17">
        <f>IF($A34="","",PROPER(_xll.BDP($A34&amp;" Corp","COUNTRY_FULL_NAME")))</f>
        <v/>
      </c>
      <c r="G34" s="17">
        <f>IF($A34="","",_xll.BDP($A34&amp;" Corp","CRNCY"))</f>
        <v/>
      </c>
      <c r="H34" s="17">
        <f>IF($A34="","",IFERROR(INDEX(SYZ_static!$T$2:$T$806,MATCH($A34,SYZ_static!$A$2:$A$806,0)),_xll.BDP($A34&amp;" Corp","RTG_SP")))</f>
        <v/>
      </c>
      <c r="I34" s="17">
        <f>IF($A34="","",IFERROR(INDEX(SYZ_static!$S$2:$S$806,MATCH($A34,SYZ_static!$A$2:$A$806,0)),""))</f>
        <v/>
      </c>
      <c r="J34" s="17">
        <f>IF($A34="","",_xll.BDP($A34&amp;" Corp","PAYMENT_RANK"))</f>
        <v/>
      </c>
      <c r="K34" s="18">
        <f>IF($A34="","",_xll.BDP($A34&amp;" Corp","CPN"))</f>
        <v/>
      </c>
      <c r="L34" s="19">
        <f>IF($A34="","",_xll.BDP($A34&amp;" Corp","MATURITY"))</f>
        <v/>
      </c>
      <c r="M34" s="20">
        <f>IF($A34="","",IFERROR(_xll.BDP($A34&amp;" Corp","MIN_PIECE")/1000,""))</f>
        <v/>
      </c>
      <c r="N34" s="21">
        <f>IF($A34="","",_xll.BDP($A34&amp;" Corp","PX_LAST"))</f>
        <v/>
      </c>
      <c r="O34" s="21">
        <f>IF($A34="","",_xll.BDP($A34&amp;" Corp","YAS_BOND_YLD","YAS_YLD_FLAG=15"))</f>
        <v/>
      </c>
      <c r="P34" s="21">
        <f>IF($A34="","",_xll.BDP($A34&amp;" Corp","YAS_MOD_DUR"))</f>
        <v/>
      </c>
      <c r="Q34" s="22">
        <f>IF($A34="","",_xll.BDP($A34&amp;" Corp","YAS_OAS_SPRD"))</f>
        <v/>
      </c>
      <c r="R34" s="22">
        <f>IF($A34="","",_xll.BDP($A34&amp;" Corp","YAS_OAS_SPRD","SETTLE_DT",$B$2))</f>
        <v/>
      </c>
      <c r="S34" s="23">
        <f>IF($A34="","",IF(OR(NOT(ISNUMBER($Q34)),NOT(ISNUMBER($R34))),"",$Q34-$R34))</f>
        <v/>
      </c>
      <c r="T34" s="21">
        <f>IF($A34="","",_xll.BDP($A34&amp;" Corp","YAS_BOND_YLD","YAS_YLD_FLAG=15","SETTLE_DT",$B$2))</f>
        <v/>
      </c>
      <c r="U34" s="24">
        <f>IF($A34="","",IF(OR(NOT(ISNUMBER($O34)),NOT(ISNUMBER($T34))),"",$O34-$T34))</f>
        <v/>
      </c>
      <c r="V34" s="22">
        <f>IF(NOT(ISNUMBER($S34)),"",COUNTIFS($G$7:$G$850,$G34,$S$7:$S$850,"&gt;"&amp;$S34)+COUNTIFS($G$7:$G34,$G34,$S$7:$S34,$S34))</f>
        <v/>
      </c>
      <c r="W34" s="22">
        <f>IF(NOT(ISNUMBER($S34)),"",COUNTIFS($G$7:$G$850,$G34,$S$7:$S$850,"&lt;"&amp;$S34)+COUNTIFS($G$7:$G34,$G34,$S$7:$S34,$S34))</f>
        <v/>
      </c>
      <c r="X34" s="17">
        <f>IF($V34="","",$G34&amp;"|"&amp;$V34)</f>
        <v/>
      </c>
      <c r="Y34" s="17">
        <f>IF($W34="","",$G34&amp;"|"&amp;$W34)</f>
        <v/>
      </c>
    </row>
    <row r="35">
      <c r="A35" s="7" t="inlineStr">
        <is>
          <t>XS2854423386</t>
        </is>
      </c>
      <c r="B35" s="8">
        <f>IF($A35="","",PROPER(_xll.BDP($A35&amp;" Corp","NAME")))</f>
        <v/>
      </c>
      <c r="C35" s="8">
        <f>IF($A35="","",IFERROR(INDEX(Company_desc!$B$2:$B$1144,MATCH($A35,Company_desc!$A$2:$A$1144,0)),IFERROR(INDEX(SYZ_static!$Q$2:$Q$806,MATCH($A35,SYZ_static!$A$2:$A$806,0)),"")))</f>
        <v/>
      </c>
      <c r="D35" s="8">
        <f>IF($A35="","",IFERROR(INDEX(SYZ_static!$B$2:$B$806,MATCH($A35,SYZ_static!$A$2:$A$806,0)),""))</f>
        <v/>
      </c>
      <c r="E35" s="8">
        <f>IF($A35="","",_xll.BDP($A35&amp;" Corp","INDUSTRY_SECTOR"))</f>
        <v/>
      </c>
      <c r="F35" s="8">
        <f>IF($A35="","",PROPER(_xll.BDP($A35&amp;" Corp","COUNTRY_FULL_NAME")))</f>
        <v/>
      </c>
      <c r="G35" s="8">
        <f>IF($A35="","",_xll.BDP($A35&amp;" Corp","CRNCY"))</f>
        <v/>
      </c>
      <c r="H35" s="8">
        <f>IF($A35="","",IFERROR(INDEX(SYZ_static!$T$2:$T$806,MATCH($A35,SYZ_static!$A$2:$A$806,0)),_xll.BDP($A35&amp;" Corp","RTG_SP")))</f>
        <v/>
      </c>
      <c r="I35" s="8">
        <f>IF($A35="","",IFERROR(INDEX(SYZ_static!$S$2:$S$806,MATCH($A35,SYZ_static!$A$2:$A$806,0)),""))</f>
        <v/>
      </c>
      <c r="J35" s="8">
        <f>IF($A35="","",_xll.BDP($A35&amp;" Corp","PAYMENT_RANK"))</f>
        <v/>
      </c>
      <c r="K35" s="9">
        <f>IF($A35="","",_xll.BDP($A35&amp;" Corp","CPN"))</f>
        <v/>
      </c>
      <c r="L35" s="10">
        <f>IF($A35="","",_xll.BDP($A35&amp;" Corp","MATURITY"))</f>
        <v/>
      </c>
      <c r="M35" s="11">
        <f>IF($A35="","",IFERROR(_xll.BDP($A35&amp;" Corp","MIN_PIECE")/1000,""))</f>
        <v/>
      </c>
      <c r="N35" s="12">
        <f>IF($A35="","",_xll.BDP($A35&amp;" Corp","PX_LAST"))</f>
        <v/>
      </c>
      <c r="O35" s="12">
        <f>IF($A35="","",_xll.BDP($A35&amp;" Corp","YAS_BOND_YLD","YAS_YLD_FLAG=15"))</f>
        <v/>
      </c>
      <c r="P35" s="12">
        <f>IF($A35="","",_xll.BDP($A35&amp;" Corp","YAS_MOD_DUR"))</f>
        <v/>
      </c>
      <c r="Q35" s="13">
        <f>IF($A35="","",_xll.BDP($A35&amp;" Corp","YAS_OAS_SPRD"))</f>
        <v/>
      </c>
      <c r="R35" s="13">
        <f>IF($A35="","",_xll.BDP($A35&amp;" Corp","YAS_OAS_SPRD","SETTLE_DT",$B$2))</f>
        <v/>
      </c>
      <c r="S35" s="14">
        <f>IF($A35="","",IF(OR(NOT(ISNUMBER($Q35)),NOT(ISNUMBER($R35))),"",$Q35-$R35))</f>
        <v/>
      </c>
      <c r="T35" s="12">
        <f>IF($A35="","",_xll.BDP($A35&amp;" Corp","YAS_BOND_YLD","YAS_YLD_FLAG=15","SETTLE_DT",$B$2))</f>
        <v/>
      </c>
      <c r="U35" s="15">
        <f>IF($A35="","",IF(OR(NOT(ISNUMBER($O35)),NOT(ISNUMBER($T35))),"",$O35-$T35))</f>
        <v/>
      </c>
      <c r="V35" s="13">
        <f>IF(NOT(ISNUMBER($S35)),"",COUNTIFS($G$7:$G$850,$G35,$S$7:$S$850,"&gt;"&amp;$S35)+COUNTIFS($G$7:$G35,$G35,$S$7:$S35,$S35))</f>
        <v/>
      </c>
      <c r="W35" s="13">
        <f>IF(NOT(ISNUMBER($S35)),"",COUNTIFS($G$7:$G$850,$G35,$S$7:$S$850,"&lt;"&amp;$S35)+COUNTIFS($G$7:$G35,$G35,$S$7:$S35,$S35))</f>
        <v/>
      </c>
      <c r="X35" s="8">
        <f>IF($V35="","",$G35&amp;"|"&amp;$V35)</f>
        <v/>
      </c>
      <c r="Y35" s="8">
        <f>IF($W35="","",$G35&amp;"|"&amp;$W35)</f>
        <v/>
      </c>
    </row>
    <row r="36">
      <c r="A36" s="16" t="inlineStr">
        <is>
          <t>XS2320779213</t>
        </is>
      </c>
      <c r="B36" s="17">
        <f>IF($A36="","",PROPER(_xll.BDP($A36&amp;" Corp","NAME")))</f>
        <v/>
      </c>
      <c r="C36" s="17">
        <f>IF($A36="","",IFERROR(INDEX(Company_desc!$B$2:$B$1144,MATCH($A36,Company_desc!$A$2:$A$1144,0)),IFERROR(INDEX(SYZ_static!$Q$2:$Q$806,MATCH($A36,SYZ_static!$A$2:$A$806,0)),"")))</f>
        <v/>
      </c>
      <c r="D36" s="17">
        <f>IF($A36="","",IFERROR(INDEX(SYZ_static!$B$2:$B$806,MATCH($A36,SYZ_static!$A$2:$A$806,0)),""))</f>
        <v/>
      </c>
      <c r="E36" s="17">
        <f>IF($A36="","",_xll.BDP($A36&amp;" Corp","INDUSTRY_SECTOR"))</f>
        <v/>
      </c>
      <c r="F36" s="17">
        <f>IF($A36="","",PROPER(_xll.BDP($A36&amp;" Corp","COUNTRY_FULL_NAME")))</f>
        <v/>
      </c>
      <c r="G36" s="17">
        <f>IF($A36="","",_xll.BDP($A36&amp;" Corp","CRNCY"))</f>
        <v/>
      </c>
      <c r="H36" s="17">
        <f>IF($A36="","",IFERROR(INDEX(SYZ_static!$T$2:$T$806,MATCH($A36,SYZ_static!$A$2:$A$806,0)),_xll.BDP($A36&amp;" Corp","RTG_SP")))</f>
        <v/>
      </c>
      <c r="I36" s="17">
        <f>IF($A36="","",IFERROR(INDEX(SYZ_static!$S$2:$S$806,MATCH($A36,SYZ_static!$A$2:$A$806,0)),""))</f>
        <v/>
      </c>
      <c r="J36" s="17">
        <f>IF($A36="","",_xll.BDP($A36&amp;" Corp","PAYMENT_RANK"))</f>
        <v/>
      </c>
      <c r="K36" s="18">
        <f>IF($A36="","",_xll.BDP($A36&amp;" Corp","CPN"))</f>
        <v/>
      </c>
      <c r="L36" s="19">
        <f>IF($A36="","",_xll.BDP($A36&amp;" Corp","MATURITY"))</f>
        <v/>
      </c>
      <c r="M36" s="20">
        <f>IF($A36="","",IFERROR(_xll.BDP($A36&amp;" Corp","MIN_PIECE")/1000,""))</f>
        <v/>
      </c>
      <c r="N36" s="21">
        <f>IF($A36="","",_xll.BDP($A36&amp;" Corp","PX_LAST"))</f>
        <v/>
      </c>
      <c r="O36" s="21">
        <f>IF($A36="","",_xll.BDP($A36&amp;" Corp","YAS_BOND_YLD","YAS_YLD_FLAG=15"))</f>
        <v/>
      </c>
      <c r="P36" s="21">
        <f>IF($A36="","",_xll.BDP($A36&amp;" Corp","YAS_MOD_DUR"))</f>
        <v/>
      </c>
      <c r="Q36" s="22">
        <f>IF($A36="","",_xll.BDP($A36&amp;" Corp","YAS_OAS_SPRD"))</f>
        <v/>
      </c>
      <c r="R36" s="22">
        <f>IF($A36="","",_xll.BDP($A36&amp;" Corp","YAS_OAS_SPRD","SETTLE_DT",$B$2))</f>
        <v/>
      </c>
      <c r="S36" s="23">
        <f>IF($A36="","",IF(OR(NOT(ISNUMBER($Q36)),NOT(ISNUMBER($R36))),"",$Q36-$R36))</f>
        <v/>
      </c>
      <c r="T36" s="21">
        <f>IF($A36="","",_xll.BDP($A36&amp;" Corp","YAS_BOND_YLD","YAS_YLD_FLAG=15","SETTLE_DT",$B$2))</f>
        <v/>
      </c>
      <c r="U36" s="24">
        <f>IF($A36="","",IF(OR(NOT(ISNUMBER($O36)),NOT(ISNUMBER($T36))),"",$O36-$T36))</f>
        <v/>
      </c>
      <c r="V36" s="22">
        <f>IF(NOT(ISNUMBER($S36)),"",COUNTIFS($G$7:$G$850,$G36,$S$7:$S$850,"&gt;"&amp;$S36)+COUNTIFS($G$7:$G36,$G36,$S$7:$S36,$S36))</f>
        <v/>
      </c>
      <c r="W36" s="22">
        <f>IF(NOT(ISNUMBER($S36)),"",COUNTIFS($G$7:$G$850,$G36,$S$7:$S$850,"&lt;"&amp;$S36)+COUNTIFS($G$7:$G36,$G36,$S$7:$S36,$S36))</f>
        <v/>
      </c>
      <c r="X36" s="17">
        <f>IF($V36="","",$G36&amp;"|"&amp;$V36)</f>
        <v/>
      </c>
      <c r="Y36" s="17">
        <f>IF($W36="","",$G36&amp;"|"&amp;$W36)</f>
        <v/>
      </c>
    </row>
    <row r="37">
      <c r="A37" s="7" t="inlineStr">
        <is>
          <t>US279158AT64</t>
        </is>
      </c>
      <c r="B37" s="8">
        <f>IF($A37="","",PROPER(_xll.BDP($A37&amp;" Corp","NAME")))</f>
        <v/>
      </c>
      <c r="C37" s="8">
        <f>IF($A37="","",IFERROR(INDEX(Company_desc!$B$2:$B$1144,MATCH($A37,Company_desc!$A$2:$A$1144,0)),IFERROR(INDEX(SYZ_static!$Q$2:$Q$806,MATCH($A37,SYZ_static!$A$2:$A$806,0)),"")))</f>
        <v/>
      </c>
      <c r="D37" s="8">
        <f>IF($A37="","",IFERROR(INDEX(SYZ_static!$B$2:$B$806,MATCH($A37,SYZ_static!$A$2:$A$806,0)),""))</f>
        <v/>
      </c>
      <c r="E37" s="8">
        <f>IF($A37="","",_xll.BDP($A37&amp;" Corp","INDUSTRY_SECTOR"))</f>
        <v/>
      </c>
      <c r="F37" s="8">
        <f>IF($A37="","",PROPER(_xll.BDP($A37&amp;" Corp","COUNTRY_FULL_NAME")))</f>
        <v/>
      </c>
      <c r="G37" s="8">
        <f>IF($A37="","",_xll.BDP($A37&amp;" Corp","CRNCY"))</f>
        <v/>
      </c>
      <c r="H37" s="8">
        <f>IF($A37="","",IFERROR(INDEX(SYZ_static!$T$2:$T$806,MATCH($A37,SYZ_static!$A$2:$A$806,0)),_xll.BDP($A37&amp;" Corp","RTG_SP")))</f>
        <v/>
      </c>
      <c r="I37" s="8">
        <f>IF($A37="","",IFERROR(INDEX(SYZ_static!$S$2:$S$806,MATCH($A37,SYZ_static!$A$2:$A$806,0)),""))</f>
        <v/>
      </c>
      <c r="J37" s="8">
        <f>IF($A37="","",_xll.BDP($A37&amp;" Corp","PAYMENT_RANK"))</f>
        <v/>
      </c>
      <c r="K37" s="9">
        <f>IF($A37="","",_xll.BDP($A37&amp;" Corp","CPN"))</f>
        <v/>
      </c>
      <c r="L37" s="10">
        <f>IF($A37="","",_xll.BDP($A37&amp;" Corp","MATURITY"))</f>
        <v/>
      </c>
      <c r="M37" s="11">
        <f>IF($A37="","",IFERROR(_xll.BDP($A37&amp;" Corp","MIN_PIECE")/1000,""))</f>
        <v/>
      </c>
      <c r="N37" s="12">
        <f>IF($A37="","",_xll.BDP($A37&amp;" Corp","PX_LAST"))</f>
        <v/>
      </c>
      <c r="O37" s="12">
        <f>IF($A37="","",_xll.BDP($A37&amp;" Corp","YAS_BOND_YLD","YAS_YLD_FLAG=15"))</f>
        <v/>
      </c>
      <c r="P37" s="12">
        <f>IF($A37="","",_xll.BDP($A37&amp;" Corp","YAS_MOD_DUR"))</f>
        <v/>
      </c>
      <c r="Q37" s="13">
        <f>IF($A37="","",_xll.BDP($A37&amp;" Corp","YAS_OAS_SPRD"))</f>
        <v/>
      </c>
      <c r="R37" s="13">
        <f>IF($A37="","",_xll.BDP($A37&amp;" Corp","YAS_OAS_SPRD","SETTLE_DT",$B$2))</f>
        <v/>
      </c>
      <c r="S37" s="14">
        <f>IF($A37="","",IF(OR(NOT(ISNUMBER($Q37)),NOT(ISNUMBER($R37))),"",$Q37-$R37))</f>
        <v/>
      </c>
      <c r="T37" s="12">
        <f>IF($A37="","",_xll.BDP($A37&amp;" Corp","YAS_BOND_YLD","YAS_YLD_FLAG=15","SETTLE_DT",$B$2))</f>
        <v/>
      </c>
      <c r="U37" s="15">
        <f>IF($A37="","",IF(OR(NOT(ISNUMBER($O37)),NOT(ISNUMBER($T37))),"",$O37-$T37))</f>
        <v/>
      </c>
      <c r="V37" s="13">
        <f>IF(NOT(ISNUMBER($S37)),"",COUNTIFS($G$7:$G$850,$G37,$S$7:$S$850,"&gt;"&amp;$S37)+COUNTIFS($G$7:$G37,$G37,$S$7:$S37,$S37))</f>
        <v/>
      </c>
      <c r="W37" s="13">
        <f>IF(NOT(ISNUMBER($S37)),"",COUNTIFS($G$7:$G$850,$G37,$S$7:$S$850,"&lt;"&amp;$S37)+COUNTIFS($G$7:$G37,$G37,$S$7:$S37,$S37))</f>
        <v/>
      </c>
      <c r="X37" s="8">
        <f>IF($V37="","",$G37&amp;"|"&amp;$V37)</f>
        <v/>
      </c>
      <c r="Y37" s="8">
        <f>IF($W37="","",$G37&amp;"|"&amp;$W37)</f>
        <v/>
      </c>
    </row>
    <row r="38">
      <c r="A38" s="16" t="inlineStr">
        <is>
          <t>USV3855MAA54</t>
        </is>
      </c>
      <c r="B38" s="17">
        <f>IF($A38="","",PROPER(_xll.BDP($A38&amp;" Corp","NAME")))</f>
        <v/>
      </c>
      <c r="C38" s="17">
        <f>IF($A38="","",IFERROR(INDEX(Company_desc!$B$2:$B$1144,MATCH($A38,Company_desc!$A$2:$A$1144,0)),IFERROR(INDEX(SYZ_static!$Q$2:$Q$806,MATCH($A38,SYZ_static!$A$2:$A$806,0)),"")))</f>
        <v/>
      </c>
      <c r="D38" s="17">
        <f>IF($A38="","",IFERROR(INDEX(SYZ_static!$B$2:$B$806,MATCH($A38,SYZ_static!$A$2:$A$806,0)),""))</f>
        <v/>
      </c>
      <c r="E38" s="17">
        <f>IF($A38="","",_xll.BDP($A38&amp;" Corp","INDUSTRY_SECTOR"))</f>
        <v/>
      </c>
      <c r="F38" s="17">
        <f>IF($A38="","",PROPER(_xll.BDP($A38&amp;" Corp","COUNTRY_FULL_NAME")))</f>
        <v/>
      </c>
      <c r="G38" s="17">
        <f>IF($A38="","",_xll.BDP($A38&amp;" Corp","CRNCY"))</f>
        <v/>
      </c>
      <c r="H38" s="17">
        <f>IF($A38="","",IFERROR(INDEX(SYZ_static!$T$2:$T$806,MATCH($A38,SYZ_static!$A$2:$A$806,0)),_xll.BDP($A38&amp;" Corp","RTG_SP")))</f>
        <v/>
      </c>
      <c r="I38" s="17">
        <f>IF($A38="","",IFERROR(INDEX(SYZ_static!$S$2:$S$806,MATCH($A38,SYZ_static!$A$2:$A$806,0)),""))</f>
        <v/>
      </c>
      <c r="J38" s="17">
        <f>IF($A38="","",_xll.BDP($A38&amp;" Corp","PAYMENT_RANK"))</f>
        <v/>
      </c>
      <c r="K38" s="18">
        <f>IF($A38="","",_xll.BDP($A38&amp;" Corp","CPN"))</f>
        <v/>
      </c>
      <c r="L38" s="19">
        <f>IF($A38="","",_xll.BDP($A38&amp;" Corp","MATURITY"))</f>
        <v/>
      </c>
      <c r="M38" s="20">
        <f>IF($A38="","",IFERROR(_xll.BDP($A38&amp;" Corp","MIN_PIECE")/1000,""))</f>
        <v/>
      </c>
      <c r="N38" s="21">
        <f>IF($A38="","",_xll.BDP($A38&amp;" Corp","PX_LAST"))</f>
        <v/>
      </c>
      <c r="O38" s="21">
        <f>IF($A38="","",_xll.BDP($A38&amp;" Corp","YAS_BOND_YLD","YAS_YLD_FLAG=15"))</f>
        <v/>
      </c>
      <c r="P38" s="21">
        <f>IF($A38="","",_xll.BDP($A38&amp;" Corp","YAS_MOD_DUR"))</f>
        <v/>
      </c>
      <c r="Q38" s="22">
        <f>IF($A38="","",_xll.BDP($A38&amp;" Corp","YAS_OAS_SPRD"))</f>
        <v/>
      </c>
      <c r="R38" s="22">
        <f>IF($A38="","",_xll.BDP($A38&amp;" Corp","YAS_OAS_SPRD","SETTLE_DT",$B$2))</f>
        <v/>
      </c>
      <c r="S38" s="23">
        <f>IF($A38="","",IF(OR(NOT(ISNUMBER($Q38)),NOT(ISNUMBER($R38))),"",$Q38-$R38))</f>
        <v/>
      </c>
      <c r="T38" s="21">
        <f>IF($A38="","",_xll.BDP($A38&amp;" Corp","YAS_BOND_YLD","YAS_YLD_FLAG=15","SETTLE_DT",$B$2))</f>
        <v/>
      </c>
      <c r="U38" s="24">
        <f>IF($A38="","",IF(OR(NOT(ISNUMBER($O38)),NOT(ISNUMBER($T38))),"",$O38-$T38))</f>
        <v/>
      </c>
      <c r="V38" s="22">
        <f>IF(NOT(ISNUMBER($S38)),"",COUNTIFS($G$7:$G$850,$G38,$S$7:$S$850,"&gt;"&amp;$S38)+COUNTIFS($G$7:$G38,$G38,$S$7:$S38,$S38))</f>
        <v/>
      </c>
      <c r="W38" s="22">
        <f>IF(NOT(ISNUMBER($S38)),"",COUNTIFS($G$7:$G$850,$G38,$S$7:$S$850,"&lt;"&amp;$S38)+COUNTIFS($G$7:$G38,$G38,$S$7:$S38,$S38))</f>
        <v/>
      </c>
      <c r="X38" s="17">
        <f>IF($V38="","",$G38&amp;"|"&amp;$V38)</f>
        <v/>
      </c>
      <c r="Y38" s="17">
        <f>IF($W38="","",$G38&amp;"|"&amp;$W38)</f>
        <v/>
      </c>
    </row>
    <row r="39">
      <c r="A39" s="7" t="inlineStr">
        <is>
          <t>XS1138359663</t>
        </is>
      </c>
      <c r="B39" s="8">
        <f>IF($A39="","",PROPER(_xll.BDP($A39&amp;" Corp","NAME")))</f>
        <v/>
      </c>
      <c r="C39" s="8">
        <f>IF($A39="","",IFERROR(INDEX(Company_desc!$B$2:$B$1144,MATCH($A39,Company_desc!$A$2:$A$1144,0)),IFERROR(INDEX(SYZ_static!$Q$2:$Q$806,MATCH($A39,SYZ_static!$A$2:$A$806,0)),"")))</f>
        <v/>
      </c>
      <c r="D39" s="8">
        <f>IF($A39="","",IFERROR(INDEX(SYZ_static!$B$2:$B$806,MATCH($A39,SYZ_static!$A$2:$A$806,0)),""))</f>
        <v/>
      </c>
      <c r="E39" s="8">
        <f>IF($A39="","",_xll.BDP($A39&amp;" Corp","INDUSTRY_SECTOR"))</f>
        <v/>
      </c>
      <c r="F39" s="8">
        <f>IF($A39="","",PROPER(_xll.BDP($A39&amp;" Corp","COUNTRY_FULL_NAME")))</f>
        <v/>
      </c>
      <c r="G39" s="8">
        <f>IF($A39="","",_xll.BDP($A39&amp;" Corp","CRNCY"))</f>
        <v/>
      </c>
      <c r="H39" s="8">
        <f>IF($A39="","",IFERROR(INDEX(SYZ_static!$T$2:$T$806,MATCH($A39,SYZ_static!$A$2:$A$806,0)),_xll.BDP($A39&amp;" Corp","RTG_SP")))</f>
        <v/>
      </c>
      <c r="I39" s="8">
        <f>IF($A39="","",IFERROR(INDEX(SYZ_static!$S$2:$S$806,MATCH($A39,SYZ_static!$A$2:$A$806,0)),""))</f>
        <v/>
      </c>
      <c r="J39" s="8">
        <f>IF($A39="","",_xll.BDP($A39&amp;" Corp","PAYMENT_RANK"))</f>
        <v/>
      </c>
      <c r="K39" s="9">
        <f>IF($A39="","",_xll.BDP($A39&amp;" Corp","CPN"))</f>
        <v/>
      </c>
      <c r="L39" s="10">
        <f>IF($A39="","",_xll.BDP($A39&amp;" Corp","MATURITY"))</f>
        <v/>
      </c>
      <c r="M39" s="11">
        <f>IF($A39="","",IFERROR(_xll.BDP($A39&amp;" Corp","MIN_PIECE")/1000,""))</f>
        <v/>
      </c>
      <c r="N39" s="12">
        <f>IF($A39="","",_xll.BDP($A39&amp;" Corp","PX_LAST"))</f>
        <v/>
      </c>
      <c r="O39" s="12">
        <f>IF($A39="","",_xll.BDP($A39&amp;" Corp","YAS_BOND_YLD","YAS_YLD_FLAG=15"))</f>
        <v/>
      </c>
      <c r="P39" s="12">
        <f>IF($A39="","",_xll.BDP($A39&amp;" Corp","YAS_MOD_DUR"))</f>
        <v/>
      </c>
      <c r="Q39" s="13">
        <f>IF($A39="","",_xll.BDP($A39&amp;" Corp","YAS_OAS_SPRD"))</f>
        <v/>
      </c>
      <c r="R39" s="13">
        <f>IF($A39="","",_xll.BDP($A39&amp;" Corp","YAS_OAS_SPRD","SETTLE_DT",$B$2))</f>
        <v/>
      </c>
      <c r="S39" s="14">
        <f>IF($A39="","",IF(OR(NOT(ISNUMBER($Q39)),NOT(ISNUMBER($R39))),"",$Q39-$R39))</f>
        <v/>
      </c>
      <c r="T39" s="12">
        <f>IF($A39="","",_xll.BDP($A39&amp;" Corp","YAS_BOND_YLD","YAS_YLD_FLAG=15","SETTLE_DT",$B$2))</f>
        <v/>
      </c>
      <c r="U39" s="15">
        <f>IF($A39="","",IF(OR(NOT(ISNUMBER($O39)),NOT(ISNUMBER($T39))),"",$O39-$T39))</f>
        <v/>
      </c>
      <c r="V39" s="13">
        <f>IF(NOT(ISNUMBER($S39)),"",COUNTIFS($G$7:$G$850,$G39,$S$7:$S$850,"&gt;"&amp;$S39)+COUNTIFS($G$7:$G39,$G39,$S$7:$S39,$S39))</f>
        <v/>
      </c>
      <c r="W39" s="13">
        <f>IF(NOT(ISNUMBER($S39)),"",COUNTIFS($G$7:$G$850,$G39,$S$7:$S$850,"&lt;"&amp;$S39)+COUNTIFS($G$7:$G39,$G39,$S$7:$S39,$S39))</f>
        <v/>
      </c>
      <c r="X39" s="8">
        <f>IF($V39="","",$G39&amp;"|"&amp;$V39)</f>
        <v/>
      </c>
      <c r="Y39" s="8">
        <f>IF($W39="","",$G39&amp;"|"&amp;$W39)</f>
        <v/>
      </c>
    </row>
    <row r="40">
      <c r="A40" s="16" t="inlineStr">
        <is>
          <t>USP47777AC43</t>
        </is>
      </c>
      <c r="B40" s="17">
        <f>IF($A40="","",PROPER(_xll.BDP($A40&amp;" Corp","NAME")))</f>
        <v/>
      </c>
      <c r="C40" s="17">
        <f>IF($A40="","",IFERROR(INDEX(Company_desc!$B$2:$B$1144,MATCH($A40,Company_desc!$A$2:$A$1144,0)),IFERROR(INDEX(SYZ_static!$Q$2:$Q$806,MATCH($A40,SYZ_static!$A$2:$A$806,0)),"")))</f>
        <v/>
      </c>
      <c r="D40" s="17">
        <f>IF($A40="","",IFERROR(INDEX(SYZ_static!$B$2:$B$806,MATCH($A40,SYZ_static!$A$2:$A$806,0)),""))</f>
        <v/>
      </c>
      <c r="E40" s="17">
        <f>IF($A40="","",_xll.BDP($A40&amp;" Corp","INDUSTRY_SECTOR"))</f>
        <v/>
      </c>
      <c r="F40" s="17">
        <f>IF($A40="","",PROPER(_xll.BDP($A40&amp;" Corp","COUNTRY_FULL_NAME")))</f>
        <v/>
      </c>
      <c r="G40" s="17">
        <f>IF($A40="","",_xll.BDP($A40&amp;" Corp","CRNCY"))</f>
        <v/>
      </c>
      <c r="H40" s="17">
        <f>IF($A40="","",IFERROR(INDEX(SYZ_static!$T$2:$T$806,MATCH($A40,SYZ_static!$A$2:$A$806,0)),_xll.BDP($A40&amp;" Corp","RTG_SP")))</f>
        <v/>
      </c>
      <c r="I40" s="17">
        <f>IF($A40="","",IFERROR(INDEX(SYZ_static!$S$2:$S$806,MATCH($A40,SYZ_static!$A$2:$A$806,0)),""))</f>
        <v/>
      </c>
      <c r="J40" s="17">
        <f>IF($A40="","",_xll.BDP($A40&amp;" Corp","PAYMENT_RANK"))</f>
        <v/>
      </c>
      <c r="K40" s="18">
        <f>IF($A40="","",_xll.BDP($A40&amp;" Corp","CPN"))</f>
        <v/>
      </c>
      <c r="L40" s="19">
        <f>IF($A40="","",_xll.BDP($A40&amp;" Corp","MATURITY"))</f>
        <v/>
      </c>
      <c r="M40" s="20">
        <f>IF($A40="","",IFERROR(_xll.BDP($A40&amp;" Corp","MIN_PIECE")/1000,""))</f>
        <v/>
      </c>
      <c r="N40" s="21">
        <f>IF($A40="","",_xll.BDP($A40&amp;" Corp","PX_LAST"))</f>
        <v/>
      </c>
      <c r="O40" s="21">
        <f>IF($A40="","",_xll.BDP($A40&amp;" Corp","YAS_BOND_YLD","YAS_YLD_FLAG=15"))</f>
        <v/>
      </c>
      <c r="P40" s="21">
        <f>IF($A40="","",_xll.BDP($A40&amp;" Corp","YAS_MOD_DUR"))</f>
        <v/>
      </c>
      <c r="Q40" s="22">
        <f>IF($A40="","",_xll.BDP($A40&amp;" Corp","YAS_OAS_SPRD"))</f>
        <v/>
      </c>
      <c r="R40" s="22">
        <f>IF($A40="","",_xll.BDP($A40&amp;" Corp","YAS_OAS_SPRD","SETTLE_DT",$B$2))</f>
        <v/>
      </c>
      <c r="S40" s="23">
        <f>IF($A40="","",IF(OR(NOT(ISNUMBER($Q40)),NOT(ISNUMBER($R40))),"",$Q40-$R40))</f>
        <v/>
      </c>
      <c r="T40" s="21">
        <f>IF($A40="","",_xll.BDP($A40&amp;" Corp","YAS_BOND_YLD","YAS_YLD_FLAG=15","SETTLE_DT",$B$2))</f>
        <v/>
      </c>
      <c r="U40" s="24">
        <f>IF($A40="","",IF(OR(NOT(ISNUMBER($O40)),NOT(ISNUMBER($T40))),"",$O40-$T40))</f>
        <v/>
      </c>
      <c r="V40" s="22">
        <f>IF(NOT(ISNUMBER($S40)),"",COUNTIFS($G$7:$G$850,$G40,$S$7:$S$850,"&gt;"&amp;$S40)+COUNTIFS($G$7:$G40,$G40,$S$7:$S40,$S40))</f>
        <v/>
      </c>
      <c r="W40" s="22">
        <f>IF(NOT(ISNUMBER($S40)),"",COUNTIFS($G$7:$G$850,$G40,$S$7:$S$850,"&lt;"&amp;$S40)+COUNTIFS($G$7:$G40,$G40,$S$7:$S40,$S40))</f>
        <v/>
      </c>
      <c r="X40" s="17">
        <f>IF($V40="","",$G40&amp;"|"&amp;$V40)</f>
        <v/>
      </c>
      <c r="Y40" s="17">
        <f>IF($W40="","",$G40&amp;"|"&amp;$W40)</f>
        <v/>
      </c>
    </row>
    <row r="41">
      <c r="A41" s="7" t="inlineStr">
        <is>
          <t>USP3713CAB48</t>
        </is>
      </c>
      <c r="B41" s="8">
        <f>IF($A41="","",PROPER(_xll.BDP($A41&amp;" Corp","NAME")))</f>
        <v/>
      </c>
      <c r="C41" s="8">
        <f>IF($A41="","",IFERROR(INDEX(Company_desc!$B$2:$B$1144,MATCH($A41,Company_desc!$A$2:$A$1144,0)),IFERROR(INDEX(SYZ_static!$Q$2:$Q$806,MATCH($A41,SYZ_static!$A$2:$A$806,0)),"")))</f>
        <v/>
      </c>
      <c r="D41" s="8">
        <f>IF($A41="","",IFERROR(INDEX(SYZ_static!$B$2:$B$806,MATCH($A41,SYZ_static!$A$2:$A$806,0)),""))</f>
        <v/>
      </c>
      <c r="E41" s="8">
        <f>IF($A41="","",_xll.BDP($A41&amp;" Corp","INDUSTRY_SECTOR"))</f>
        <v/>
      </c>
      <c r="F41" s="8">
        <f>IF($A41="","",PROPER(_xll.BDP($A41&amp;" Corp","COUNTRY_FULL_NAME")))</f>
        <v/>
      </c>
      <c r="G41" s="8">
        <f>IF($A41="","",_xll.BDP($A41&amp;" Corp","CRNCY"))</f>
        <v/>
      </c>
      <c r="H41" s="8">
        <f>IF($A41="","",IFERROR(INDEX(SYZ_static!$T$2:$T$806,MATCH($A41,SYZ_static!$A$2:$A$806,0)),_xll.BDP($A41&amp;" Corp","RTG_SP")))</f>
        <v/>
      </c>
      <c r="I41" s="8">
        <f>IF($A41="","",IFERROR(INDEX(SYZ_static!$S$2:$S$806,MATCH($A41,SYZ_static!$A$2:$A$806,0)),""))</f>
        <v/>
      </c>
      <c r="J41" s="8">
        <f>IF($A41="","",_xll.BDP($A41&amp;" Corp","PAYMENT_RANK"))</f>
        <v/>
      </c>
      <c r="K41" s="9">
        <f>IF($A41="","",_xll.BDP($A41&amp;" Corp","CPN"))</f>
        <v/>
      </c>
      <c r="L41" s="10">
        <f>IF($A41="","",_xll.BDP($A41&amp;" Corp","MATURITY"))</f>
        <v/>
      </c>
      <c r="M41" s="11">
        <f>IF($A41="","",IFERROR(_xll.BDP($A41&amp;" Corp","MIN_PIECE")/1000,""))</f>
        <v/>
      </c>
      <c r="N41" s="12">
        <f>IF($A41="","",_xll.BDP($A41&amp;" Corp","PX_LAST"))</f>
        <v/>
      </c>
      <c r="O41" s="12">
        <f>IF($A41="","",_xll.BDP($A41&amp;" Corp","YAS_BOND_YLD","YAS_YLD_FLAG=15"))</f>
        <v/>
      </c>
      <c r="P41" s="12">
        <f>IF($A41="","",_xll.BDP($A41&amp;" Corp","YAS_MOD_DUR"))</f>
        <v/>
      </c>
      <c r="Q41" s="13">
        <f>IF($A41="","",_xll.BDP($A41&amp;" Corp","YAS_OAS_SPRD"))</f>
        <v/>
      </c>
      <c r="R41" s="13">
        <f>IF($A41="","",_xll.BDP($A41&amp;" Corp","YAS_OAS_SPRD","SETTLE_DT",$B$2))</f>
        <v/>
      </c>
      <c r="S41" s="14">
        <f>IF($A41="","",IF(OR(NOT(ISNUMBER($Q41)),NOT(ISNUMBER($R41))),"",$Q41-$R41))</f>
        <v/>
      </c>
      <c r="T41" s="12">
        <f>IF($A41="","",_xll.BDP($A41&amp;" Corp","YAS_BOND_YLD","YAS_YLD_FLAG=15","SETTLE_DT",$B$2))</f>
        <v/>
      </c>
      <c r="U41" s="15">
        <f>IF($A41="","",IF(OR(NOT(ISNUMBER($O41)),NOT(ISNUMBER($T41))),"",$O41-$T41))</f>
        <v/>
      </c>
      <c r="V41" s="13">
        <f>IF(NOT(ISNUMBER($S41)),"",COUNTIFS($G$7:$G$850,$G41,$S$7:$S$850,"&gt;"&amp;$S41)+COUNTIFS($G$7:$G41,$G41,$S$7:$S41,$S41))</f>
        <v/>
      </c>
      <c r="W41" s="13">
        <f>IF(NOT(ISNUMBER($S41)),"",COUNTIFS($G$7:$G$850,$G41,$S$7:$S$850,"&lt;"&amp;$S41)+COUNTIFS($G$7:$G41,$G41,$S$7:$S41,$S41))</f>
        <v/>
      </c>
      <c r="X41" s="8">
        <f>IF($V41="","",$G41&amp;"|"&amp;$V41)</f>
        <v/>
      </c>
      <c r="Y41" s="8">
        <f>IF($W41="","",$G41&amp;"|"&amp;$W41)</f>
        <v/>
      </c>
    </row>
    <row r="42">
      <c r="A42" s="16" t="inlineStr">
        <is>
          <t>XS2109438205</t>
        </is>
      </c>
      <c r="B42" s="17">
        <f>IF($A42="","",PROPER(_xll.BDP($A42&amp;" Corp","NAME")))</f>
        <v/>
      </c>
      <c r="C42" s="17">
        <f>IF($A42="","",IFERROR(INDEX(Company_desc!$B$2:$B$1144,MATCH($A42,Company_desc!$A$2:$A$1144,0)),IFERROR(INDEX(SYZ_static!$Q$2:$Q$806,MATCH($A42,SYZ_static!$A$2:$A$806,0)),"")))</f>
        <v/>
      </c>
      <c r="D42" s="17">
        <f>IF($A42="","",IFERROR(INDEX(SYZ_static!$B$2:$B$806,MATCH($A42,SYZ_static!$A$2:$A$806,0)),""))</f>
        <v/>
      </c>
      <c r="E42" s="17">
        <f>IF($A42="","",_xll.BDP($A42&amp;" Corp","INDUSTRY_SECTOR"))</f>
        <v/>
      </c>
      <c r="F42" s="17">
        <f>IF($A42="","",PROPER(_xll.BDP($A42&amp;" Corp","COUNTRY_FULL_NAME")))</f>
        <v/>
      </c>
      <c r="G42" s="17">
        <f>IF($A42="","",_xll.BDP($A42&amp;" Corp","CRNCY"))</f>
        <v/>
      </c>
      <c r="H42" s="17">
        <f>IF($A42="","",IFERROR(INDEX(SYZ_static!$T$2:$T$806,MATCH($A42,SYZ_static!$A$2:$A$806,0)),_xll.BDP($A42&amp;" Corp","RTG_SP")))</f>
        <v/>
      </c>
      <c r="I42" s="17">
        <f>IF($A42="","",IFERROR(INDEX(SYZ_static!$S$2:$S$806,MATCH($A42,SYZ_static!$A$2:$A$806,0)),""))</f>
        <v/>
      </c>
      <c r="J42" s="17">
        <f>IF($A42="","",_xll.BDP($A42&amp;" Corp","PAYMENT_RANK"))</f>
        <v/>
      </c>
      <c r="K42" s="18">
        <f>IF($A42="","",_xll.BDP($A42&amp;" Corp","CPN"))</f>
        <v/>
      </c>
      <c r="L42" s="19">
        <f>IF($A42="","",_xll.BDP($A42&amp;" Corp","MATURITY"))</f>
        <v/>
      </c>
      <c r="M42" s="20">
        <f>IF($A42="","",IFERROR(_xll.BDP($A42&amp;" Corp","MIN_PIECE")/1000,""))</f>
        <v/>
      </c>
      <c r="N42" s="21">
        <f>IF($A42="","",_xll.BDP($A42&amp;" Corp","PX_LAST"))</f>
        <v/>
      </c>
      <c r="O42" s="21">
        <f>IF($A42="","",_xll.BDP($A42&amp;" Corp","YAS_BOND_YLD","YAS_YLD_FLAG=15"))</f>
        <v/>
      </c>
      <c r="P42" s="21">
        <f>IF($A42="","",_xll.BDP($A42&amp;" Corp","YAS_MOD_DUR"))</f>
        <v/>
      </c>
      <c r="Q42" s="22">
        <f>IF($A42="","",_xll.BDP($A42&amp;" Corp","YAS_OAS_SPRD"))</f>
        <v/>
      </c>
      <c r="R42" s="22">
        <f>IF($A42="","",_xll.BDP($A42&amp;" Corp","YAS_OAS_SPRD","SETTLE_DT",$B$2))</f>
        <v/>
      </c>
      <c r="S42" s="23">
        <f>IF($A42="","",IF(OR(NOT(ISNUMBER($Q42)),NOT(ISNUMBER($R42))),"",$Q42-$R42))</f>
        <v/>
      </c>
      <c r="T42" s="21">
        <f>IF($A42="","",_xll.BDP($A42&amp;" Corp","YAS_BOND_YLD","YAS_YLD_FLAG=15","SETTLE_DT",$B$2))</f>
        <v/>
      </c>
      <c r="U42" s="24">
        <f>IF($A42="","",IF(OR(NOT(ISNUMBER($O42)),NOT(ISNUMBER($T42))),"",$O42-$T42))</f>
        <v/>
      </c>
      <c r="V42" s="22">
        <f>IF(NOT(ISNUMBER($S42)),"",COUNTIFS($G$7:$G$850,$G42,$S$7:$S$850,"&gt;"&amp;$S42)+COUNTIFS($G$7:$G42,$G42,$S$7:$S42,$S42))</f>
        <v/>
      </c>
      <c r="W42" s="22">
        <f>IF(NOT(ISNUMBER($S42)),"",COUNTIFS($G$7:$G$850,$G42,$S$7:$S$850,"&lt;"&amp;$S42)+COUNTIFS($G$7:$G42,$G42,$S$7:$S42,$S42))</f>
        <v/>
      </c>
      <c r="X42" s="17">
        <f>IF($V42="","",$G42&amp;"|"&amp;$V42)</f>
        <v/>
      </c>
      <c r="Y42" s="17">
        <f>IF($W42="","",$G42&amp;"|"&amp;$W42)</f>
        <v/>
      </c>
    </row>
    <row r="43">
      <c r="A43" s="7" t="inlineStr">
        <is>
          <t>USL95806AB88</t>
        </is>
      </c>
      <c r="B43" s="8">
        <f>IF($A43="","",PROPER(_xll.BDP($A43&amp;" Corp","NAME")))</f>
        <v/>
      </c>
      <c r="C43" s="8">
        <f>IF($A43="","",IFERROR(INDEX(Company_desc!$B$2:$B$1144,MATCH($A43,Company_desc!$A$2:$A$1144,0)),IFERROR(INDEX(SYZ_static!$Q$2:$Q$806,MATCH($A43,SYZ_static!$A$2:$A$806,0)),"")))</f>
        <v/>
      </c>
      <c r="D43" s="8">
        <f>IF($A43="","",IFERROR(INDEX(SYZ_static!$B$2:$B$806,MATCH($A43,SYZ_static!$A$2:$A$806,0)),""))</f>
        <v/>
      </c>
      <c r="E43" s="8">
        <f>IF($A43="","",_xll.BDP($A43&amp;" Corp","INDUSTRY_SECTOR"))</f>
        <v/>
      </c>
      <c r="F43" s="8">
        <f>IF($A43="","",PROPER(_xll.BDP($A43&amp;" Corp","COUNTRY_FULL_NAME")))</f>
        <v/>
      </c>
      <c r="G43" s="8">
        <f>IF($A43="","",_xll.BDP($A43&amp;" Corp","CRNCY"))</f>
        <v/>
      </c>
      <c r="H43" s="8">
        <f>IF($A43="","",IFERROR(INDEX(SYZ_static!$T$2:$T$806,MATCH($A43,SYZ_static!$A$2:$A$806,0)),_xll.BDP($A43&amp;" Corp","RTG_SP")))</f>
        <v/>
      </c>
      <c r="I43" s="8">
        <f>IF($A43="","",IFERROR(INDEX(SYZ_static!$S$2:$S$806,MATCH($A43,SYZ_static!$A$2:$A$806,0)),""))</f>
        <v/>
      </c>
      <c r="J43" s="8">
        <f>IF($A43="","",_xll.BDP($A43&amp;" Corp","PAYMENT_RANK"))</f>
        <v/>
      </c>
      <c r="K43" s="9">
        <f>IF($A43="","",_xll.BDP($A43&amp;" Corp","CPN"))</f>
        <v/>
      </c>
      <c r="L43" s="10">
        <f>IF($A43="","",_xll.BDP($A43&amp;" Corp","MATURITY"))</f>
        <v/>
      </c>
      <c r="M43" s="11">
        <f>IF($A43="","",IFERROR(_xll.BDP($A43&amp;" Corp","MIN_PIECE")/1000,""))</f>
        <v/>
      </c>
      <c r="N43" s="12">
        <f>IF($A43="","",_xll.BDP($A43&amp;" Corp","PX_LAST"))</f>
        <v/>
      </c>
      <c r="O43" s="12">
        <f>IF($A43="","",_xll.BDP($A43&amp;" Corp","YAS_BOND_YLD","YAS_YLD_FLAG=15"))</f>
        <v/>
      </c>
      <c r="P43" s="12">
        <f>IF($A43="","",_xll.BDP($A43&amp;" Corp","YAS_MOD_DUR"))</f>
        <v/>
      </c>
      <c r="Q43" s="13">
        <f>IF($A43="","",_xll.BDP($A43&amp;" Corp","YAS_OAS_SPRD"))</f>
        <v/>
      </c>
      <c r="R43" s="13">
        <f>IF($A43="","",_xll.BDP($A43&amp;" Corp","YAS_OAS_SPRD","SETTLE_DT",$B$2))</f>
        <v/>
      </c>
      <c r="S43" s="14">
        <f>IF($A43="","",IF(OR(NOT(ISNUMBER($Q43)),NOT(ISNUMBER($R43))),"",$Q43-$R43))</f>
        <v/>
      </c>
      <c r="T43" s="12">
        <f>IF($A43="","",_xll.BDP($A43&amp;" Corp","YAS_BOND_YLD","YAS_YLD_FLAG=15","SETTLE_DT",$B$2))</f>
        <v/>
      </c>
      <c r="U43" s="15">
        <f>IF($A43="","",IF(OR(NOT(ISNUMBER($O43)),NOT(ISNUMBER($T43))),"",$O43-$T43))</f>
        <v/>
      </c>
      <c r="V43" s="13">
        <f>IF(NOT(ISNUMBER($S43)),"",COUNTIFS($G$7:$G$850,$G43,$S$7:$S$850,"&gt;"&amp;$S43)+COUNTIFS($G$7:$G43,$G43,$S$7:$S43,$S43))</f>
        <v/>
      </c>
      <c r="W43" s="13">
        <f>IF(NOT(ISNUMBER($S43)),"",COUNTIFS($G$7:$G$850,$G43,$S$7:$S$850,"&lt;"&amp;$S43)+COUNTIFS($G$7:$G43,$G43,$S$7:$S43,$S43))</f>
        <v/>
      </c>
      <c r="X43" s="8">
        <f>IF($V43="","",$G43&amp;"|"&amp;$V43)</f>
        <v/>
      </c>
      <c r="Y43" s="8">
        <f>IF($W43="","",$G43&amp;"|"&amp;$W43)</f>
        <v/>
      </c>
    </row>
    <row r="44">
      <c r="A44" s="16" t="inlineStr">
        <is>
          <t>USY00130YU53</t>
        </is>
      </c>
      <c r="B44" s="17">
        <f>IF($A44="","",PROPER(_xll.BDP($A44&amp;" Corp","NAME")))</f>
        <v/>
      </c>
      <c r="C44" s="17">
        <f>IF($A44="","",IFERROR(INDEX(Company_desc!$B$2:$B$1144,MATCH($A44,Company_desc!$A$2:$A$1144,0)),IFERROR(INDEX(SYZ_static!$Q$2:$Q$806,MATCH($A44,SYZ_static!$A$2:$A$806,0)),"")))</f>
        <v/>
      </c>
      <c r="D44" s="17">
        <f>IF($A44="","",IFERROR(INDEX(SYZ_static!$B$2:$B$806,MATCH($A44,SYZ_static!$A$2:$A$806,0)),""))</f>
        <v/>
      </c>
      <c r="E44" s="17">
        <f>IF($A44="","",_xll.BDP($A44&amp;" Corp","INDUSTRY_SECTOR"))</f>
        <v/>
      </c>
      <c r="F44" s="17">
        <f>IF($A44="","",PROPER(_xll.BDP($A44&amp;" Corp","COUNTRY_FULL_NAME")))</f>
        <v/>
      </c>
      <c r="G44" s="17">
        <f>IF($A44="","",_xll.BDP($A44&amp;" Corp","CRNCY"))</f>
        <v/>
      </c>
      <c r="H44" s="17">
        <f>IF($A44="","",IFERROR(INDEX(SYZ_static!$T$2:$T$806,MATCH($A44,SYZ_static!$A$2:$A$806,0)),_xll.BDP($A44&amp;" Corp","RTG_SP")))</f>
        <v/>
      </c>
      <c r="I44" s="17">
        <f>IF($A44="","",IFERROR(INDEX(SYZ_static!$S$2:$S$806,MATCH($A44,SYZ_static!$A$2:$A$806,0)),""))</f>
        <v/>
      </c>
      <c r="J44" s="17">
        <f>IF($A44="","",_xll.BDP($A44&amp;" Corp","PAYMENT_RANK"))</f>
        <v/>
      </c>
      <c r="K44" s="18">
        <f>IF($A44="","",_xll.BDP($A44&amp;" Corp","CPN"))</f>
        <v/>
      </c>
      <c r="L44" s="19">
        <f>IF($A44="","",_xll.BDP($A44&amp;" Corp","MATURITY"))</f>
        <v/>
      </c>
      <c r="M44" s="20">
        <f>IF($A44="","",IFERROR(_xll.BDP($A44&amp;" Corp","MIN_PIECE")/1000,""))</f>
        <v/>
      </c>
      <c r="N44" s="21">
        <f>IF($A44="","",_xll.BDP($A44&amp;" Corp","PX_LAST"))</f>
        <v/>
      </c>
      <c r="O44" s="21">
        <f>IF($A44="","",_xll.BDP($A44&amp;" Corp","YAS_BOND_YLD","YAS_YLD_FLAG=15"))</f>
        <v/>
      </c>
      <c r="P44" s="21">
        <f>IF($A44="","",_xll.BDP($A44&amp;" Corp","YAS_MOD_DUR"))</f>
        <v/>
      </c>
      <c r="Q44" s="22">
        <f>IF($A44="","",_xll.BDP($A44&amp;" Corp","YAS_OAS_SPRD"))</f>
        <v/>
      </c>
      <c r="R44" s="22">
        <f>IF($A44="","",_xll.BDP($A44&amp;" Corp","YAS_OAS_SPRD","SETTLE_DT",$B$2))</f>
        <v/>
      </c>
      <c r="S44" s="23">
        <f>IF($A44="","",IF(OR(NOT(ISNUMBER($Q44)),NOT(ISNUMBER($R44))),"",$Q44-$R44))</f>
        <v/>
      </c>
      <c r="T44" s="21">
        <f>IF($A44="","",_xll.BDP($A44&amp;" Corp","YAS_BOND_YLD","YAS_YLD_FLAG=15","SETTLE_DT",$B$2))</f>
        <v/>
      </c>
      <c r="U44" s="24">
        <f>IF($A44="","",IF(OR(NOT(ISNUMBER($O44)),NOT(ISNUMBER($T44))),"",$O44-$T44))</f>
        <v/>
      </c>
      <c r="V44" s="22">
        <f>IF(NOT(ISNUMBER($S44)),"",COUNTIFS($G$7:$G$850,$G44,$S$7:$S$850,"&gt;"&amp;$S44)+COUNTIFS($G$7:$G44,$G44,$S$7:$S44,$S44))</f>
        <v/>
      </c>
      <c r="W44" s="22">
        <f>IF(NOT(ISNUMBER($S44)),"",COUNTIFS($G$7:$G$850,$G44,$S$7:$S$850,"&lt;"&amp;$S44)+COUNTIFS($G$7:$G44,$G44,$S$7:$S44,$S44))</f>
        <v/>
      </c>
      <c r="X44" s="17">
        <f>IF($V44="","",$G44&amp;"|"&amp;$V44)</f>
        <v/>
      </c>
      <c r="Y44" s="17">
        <f>IF($W44="","",$G44&amp;"|"&amp;$W44)</f>
        <v/>
      </c>
    </row>
    <row r="45">
      <c r="A45" s="7" t="inlineStr">
        <is>
          <t>XS2926264529</t>
        </is>
      </c>
      <c r="B45" s="8">
        <f>IF($A45="","",PROPER(_xll.BDP($A45&amp;" Corp","NAME")))</f>
        <v/>
      </c>
      <c r="C45" s="8">
        <f>IF($A45="","",IFERROR(INDEX(Company_desc!$B$2:$B$1144,MATCH($A45,Company_desc!$A$2:$A$1144,0)),IFERROR(INDEX(SYZ_static!$Q$2:$Q$806,MATCH($A45,SYZ_static!$A$2:$A$806,0)),"")))</f>
        <v/>
      </c>
      <c r="D45" s="8">
        <f>IF($A45="","",IFERROR(INDEX(SYZ_static!$B$2:$B$806,MATCH($A45,SYZ_static!$A$2:$A$806,0)),""))</f>
        <v/>
      </c>
      <c r="E45" s="8">
        <f>IF($A45="","",_xll.BDP($A45&amp;" Corp","INDUSTRY_SECTOR"))</f>
        <v/>
      </c>
      <c r="F45" s="8">
        <f>IF($A45="","",PROPER(_xll.BDP($A45&amp;" Corp","COUNTRY_FULL_NAME")))</f>
        <v/>
      </c>
      <c r="G45" s="8">
        <f>IF($A45="","",_xll.BDP($A45&amp;" Corp","CRNCY"))</f>
        <v/>
      </c>
      <c r="H45" s="8">
        <f>IF($A45="","",IFERROR(INDEX(SYZ_static!$T$2:$T$806,MATCH($A45,SYZ_static!$A$2:$A$806,0)),_xll.BDP($A45&amp;" Corp","RTG_SP")))</f>
        <v/>
      </c>
      <c r="I45" s="8">
        <f>IF($A45="","",IFERROR(INDEX(SYZ_static!$S$2:$S$806,MATCH($A45,SYZ_static!$A$2:$A$806,0)),""))</f>
        <v/>
      </c>
      <c r="J45" s="8">
        <f>IF($A45="","",_xll.BDP($A45&amp;" Corp","PAYMENT_RANK"))</f>
        <v/>
      </c>
      <c r="K45" s="9">
        <f>IF($A45="","",_xll.BDP($A45&amp;" Corp","CPN"))</f>
        <v/>
      </c>
      <c r="L45" s="10">
        <f>IF($A45="","",_xll.BDP($A45&amp;" Corp","MATURITY"))</f>
        <v/>
      </c>
      <c r="M45" s="11">
        <f>IF($A45="","",IFERROR(_xll.BDP($A45&amp;" Corp","MIN_PIECE")/1000,""))</f>
        <v/>
      </c>
      <c r="N45" s="12">
        <f>IF($A45="","",_xll.BDP($A45&amp;" Corp","PX_LAST"))</f>
        <v/>
      </c>
      <c r="O45" s="12">
        <f>IF($A45="","",_xll.BDP($A45&amp;" Corp","YAS_BOND_YLD","YAS_YLD_FLAG=15"))</f>
        <v/>
      </c>
      <c r="P45" s="12">
        <f>IF($A45="","",_xll.BDP($A45&amp;" Corp","YAS_MOD_DUR"))</f>
        <v/>
      </c>
      <c r="Q45" s="13">
        <f>IF($A45="","",_xll.BDP($A45&amp;" Corp","YAS_OAS_SPRD"))</f>
        <v/>
      </c>
      <c r="R45" s="13">
        <f>IF($A45="","",_xll.BDP($A45&amp;" Corp","YAS_OAS_SPRD","SETTLE_DT",$B$2))</f>
        <v/>
      </c>
      <c r="S45" s="14">
        <f>IF($A45="","",IF(OR(NOT(ISNUMBER($Q45)),NOT(ISNUMBER($R45))),"",$Q45-$R45))</f>
        <v/>
      </c>
      <c r="T45" s="12">
        <f>IF($A45="","",_xll.BDP($A45&amp;" Corp","YAS_BOND_YLD","YAS_YLD_FLAG=15","SETTLE_DT",$B$2))</f>
        <v/>
      </c>
      <c r="U45" s="15">
        <f>IF($A45="","",IF(OR(NOT(ISNUMBER($O45)),NOT(ISNUMBER($T45))),"",$O45-$T45))</f>
        <v/>
      </c>
      <c r="V45" s="13">
        <f>IF(NOT(ISNUMBER($S45)),"",COUNTIFS($G$7:$G$850,$G45,$S$7:$S$850,"&gt;"&amp;$S45)+COUNTIFS($G$7:$G45,$G45,$S$7:$S45,$S45))</f>
        <v/>
      </c>
      <c r="W45" s="13">
        <f>IF(NOT(ISNUMBER($S45)),"",COUNTIFS($G$7:$G$850,$G45,$S$7:$S$850,"&lt;"&amp;$S45)+COUNTIFS($G$7:$G45,$G45,$S$7:$S45,$S45))</f>
        <v/>
      </c>
      <c r="X45" s="8">
        <f>IF($V45="","",$G45&amp;"|"&amp;$V45)</f>
        <v/>
      </c>
      <c r="Y45" s="8">
        <f>IF($W45="","",$G45&amp;"|"&amp;$W45)</f>
        <v/>
      </c>
    </row>
    <row r="46">
      <c r="A46" s="16" t="inlineStr">
        <is>
          <t>XS0149581935</t>
        </is>
      </c>
      <c r="B46" s="17">
        <f>IF($A46="","",PROPER(_xll.BDP($A46&amp;" Corp","NAME")))</f>
        <v/>
      </c>
      <c r="C46" s="17">
        <f>IF($A46="","",IFERROR(INDEX(Company_desc!$B$2:$B$1144,MATCH($A46,Company_desc!$A$2:$A$1144,0)),IFERROR(INDEX(SYZ_static!$Q$2:$Q$806,MATCH($A46,SYZ_static!$A$2:$A$806,0)),"")))</f>
        <v/>
      </c>
      <c r="D46" s="17">
        <f>IF($A46="","",IFERROR(INDEX(SYZ_static!$B$2:$B$806,MATCH($A46,SYZ_static!$A$2:$A$806,0)),""))</f>
        <v/>
      </c>
      <c r="E46" s="17">
        <f>IF($A46="","",_xll.BDP($A46&amp;" Corp","INDUSTRY_SECTOR"))</f>
        <v/>
      </c>
      <c r="F46" s="17">
        <f>IF($A46="","",PROPER(_xll.BDP($A46&amp;" Corp","COUNTRY_FULL_NAME")))</f>
        <v/>
      </c>
      <c r="G46" s="17">
        <f>IF($A46="","",_xll.BDP($A46&amp;" Corp","CRNCY"))</f>
        <v/>
      </c>
      <c r="H46" s="17">
        <f>IF($A46="","",IFERROR(INDEX(SYZ_static!$T$2:$T$806,MATCH($A46,SYZ_static!$A$2:$A$806,0)),_xll.BDP($A46&amp;" Corp","RTG_SP")))</f>
        <v/>
      </c>
      <c r="I46" s="17">
        <f>IF($A46="","",IFERROR(INDEX(SYZ_static!$S$2:$S$806,MATCH($A46,SYZ_static!$A$2:$A$806,0)),""))</f>
        <v/>
      </c>
      <c r="J46" s="17">
        <f>IF($A46="","",_xll.BDP($A46&amp;" Corp","PAYMENT_RANK"))</f>
        <v/>
      </c>
      <c r="K46" s="18">
        <f>IF($A46="","",_xll.BDP($A46&amp;" Corp","CPN"))</f>
        <v/>
      </c>
      <c r="L46" s="19">
        <f>IF($A46="","",_xll.BDP($A46&amp;" Corp","MATURITY"))</f>
        <v/>
      </c>
      <c r="M46" s="20">
        <f>IF($A46="","",IFERROR(_xll.BDP($A46&amp;" Corp","MIN_PIECE")/1000,""))</f>
        <v/>
      </c>
      <c r="N46" s="21">
        <f>IF($A46="","",_xll.BDP($A46&amp;" Corp","PX_LAST"))</f>
        <v/>
      </c>
      <c r="O46" s="21">
        <f>IF($A46="","",_xll.BDP($A46&amp;" Corp","YAS_BOND_YLD","YAS_YLD_FLAG=15"))</f>
        <v/>
      </c>
      <c r="P46" s="21">
        <f>IF($A46="","",_xll.BDP($A46&amp;" Corp","YAS_MOD_DUR"))</f>
        <v/>
      </c>
      <c r="Q46" s="22">
        <f>IF($A46="","",_xll.BDP($A46&amp;" Corp","YAS_OAS_SPRD"))</f>
        <v/>
      </c>
      <c r="R46" s="22">
        <f>IF($A46="","",_xll.BDP($A46&amp;" Corp","YAS_OAS_SPRD","SETTLE_DT",$B$2))</f>
        <v/>
      </c>
      <c r="S46" s="23">
        <f>IF($A46="","",IF(OR(NOT(ISNUMBER($Q46)),NOT(ISNUMBER($R46))),"",$Q46-$R46))</f>
        <v/>
      </c>
      <c r="T46" s="21">
        <f>IF($A46="","",_xll.BDP($A46&amp;" Corp","YAS_BOND_YLD","YAS_YLD_FLAG=15","SETTLE_DT",$B$2))</f>
        <v/>
      </c>
      <c r="U46" s="24">
        <f>IF($A46="","",IF(OR(NOT(ISNUMBER($O46)),NOT(ISNUMBER($T46))),"",$O46-$T46))</f>
        <v/>
      </c>
      <c r="V46" s="22">
        <f>IF(NOT(ISNUMBER($S46)),"",COUNTIFS($G$7:$G$850,$G46,$S$7:$S$850,"&gt;"&amp;$S46)+COUNTIFS($G$7:$G46,$G46,$S$7:$S46,$S46))</f>
        <v/>
      </c>
      <c r="W46" s="22">
        <f>IF(NOT(ISNUMBER($S46)),"",COUNTIFS($G$7:$G$850,$G46,$S$7:$S$850,"&lt;"&amp;$S46)+COUNTIFS($G$7:$G46,$G46,$S$7:$S46,$S46))</f>
        <v/>
      </c>
      <c r="X46" s="17">
        <f>IF($V46="","",$G46&amp;"|"&amp;$V46)</f>
        <v/>
      </c>
      <c r="Y46" s="17">
        <f>IF($W46="","",$G46&amp;"|"&amp;$W46)</f>
        <v/>
      </c>
    </row>
    <row r="47">
      <c r="A47" s="7" t="inlineStr">
        <is>
          <t>USP0608AAB28</t>
        </is>
      </c>
      <c r="B47" s="8">
        <f>IF($A47="","",PROPER(_xll.BDP($A47&amp;" Corp","NAME")))</f>
        <v/>
      </c>
      <c r="C47" s="8">
        <f>IF($A47="","",IFERROR(INDEX(Company_desc!$B$2:$B$1144,MATCH($A47,Company_desc!$A$2:$A$1144,0)),IFERROR(INDEX(SYZ_static!$Q$2:$Q$806,MATCH($A47,SYZ_static!$A$2:$A$806,0)),"")))</f>
        <v/>
      </c>
      <c r="D47" s="8">
        <f>IF($A47="","",IFERROR(INDEX(SYZ_static!$B$2:$B$806,MATCH($A47,SYZ_static!$A$2:$A$806,0)),""))</f>
        <v/>
      </c>
      <c r="E47" s="8">
        <f>IF($A47="","",_xll.BDP($A47&amp;" Corp","INDUSTRY_SECTOR"))</f>
        <v/>
      </c>
      <c r="F47" s="8">
        <f>IF($A47="","",PROPER(_xll.BDP($A47&amp;" Corp","COUNTRY_FULL_NAME")))</f>
        <v/>
      </c>
      <c r="G47" s="8">
        <f>IF($A47="","",_xll.BDP($A47&amp;" Corp","CRNCY"))</f>
        <v/>
      </c>
      <c r="H47" s="8">
        <f>IF($A47="","",IFERROR(INDEX(SYZ_static!$T$2:$T$806,MATCH($A47,SYZ_static!$A$2:$A$806,0)),_xll.BDP($A47&amp;" Corp","RTG_SP")))</f>
        <v/>
      </c>
      <c r="I47" s="8">
        <f>IF($A47="","",IFERROR(INDEX(SYZ_static!$S$2:$S$806,MATCH($A47,SYZ_static!$A$2:$A$806,0)),""))</f>
        <v/>
      </c>
      <c r="J47" s="8">
        <f>IF($A47="","",_xll.BDP($A47&amp;" Corp","PAYMENT_RANK"))</f>
        <v/>
      </c>
      <c r="K47" s="9">
        <f>IF($A47="","",_xll.BDP($A47&amp;" Corp","CPN"))</f>
        <v/>
      </c>
      <c r="L47" s="10">
        <f>IF($A47="","",_xll.BDP($A47&amp;" Corp","MATURITY"))</f>
        <v/>
      </c>
      <c r="M47" s="11">
        <f>IF($A47="","",IFERROR(_xll.BDP($A47&amp;" Corp","MIN_PIECE")/1000,""))</f>
        <v/>
      </c>
      <c r="N47" s="12">
        <f>IF($A47="","",_xll.BDP($A47&amp;" Corp","PX_LAST"))</f>
        <v/>
      </c>
      <c r="O47" s="12">
        <f>IF($A47="","",_xll.BDP($A47&amp;" Corp","YAS_BOND_YLD","YAS_YLD_FLAG=15"))</f>
        <v/>
      </c>
      <c r="P47" s="12">
        <f>IF($A47="","",_xll.BDP($A47&amp;" Corp","YAS_MOD_DUR"))</f>
        <v/>
      </c>
      <c r="Q47" s="13">
        <f>IF($A47="","",_xll.BDP($A47&amp;" Corp","YAS_OAS_SPRD"))</f>
        <v/>
      </c>
      <c r="R47" s="13">
        <f>IF($A47="","",_xll.BDP($A47&amp;" Corp","YAS_OAS_SPRD","SETTLE_DT",$B$2))</f>
        <v/>
      </c>
      <c r="S47" s="14">
        <f>IF($A47="","",IF(OR(NOT(ISNUMBER($Q47)),NOT(ISNUMBER($R47))),"",$Q47-$R47))</f>
        <v/>
      </c>
      <c r="T47" s="12">
        <f>IF($A47="","",_xll.BDP($A47&amp;" Corp","YAS_BOND_YLD","YAS_YLD_FLAG=15","SETTLE_DT",$B$2))</f>
        <v/>
      </c>
      <c r="U47" s="15">
        <f>IF($A47="","",IF(OR(NOT(ISNUMBER($O47)),NOT(ISNUMBER($T47))),"",$O47-$T47))</f>
        <v/>
      </c>
      <c r="V47" s="13">
        <f>IF(NOT(ISNUMBER($S47)),"",COUNTIFS($G$7:$G$850,$G47,$S$7:$S$850,"&gt;"&amp;$S47)+COUNTIFS($G$7:$G47,$G47,$S$7:$S47,$S47))</f>
        <v/>
      </c>
      <c r="W47" s="13">
        <f>IF(NOT(ISNUMBER($S47)),"",COUNTIFS($G$7:$G$850,$G47,$S$7:$S$850,"&lt;"&amp;$S47)+COUNTIFS($G$7:$G47,$G47,$S$7:$S47,$S47))</f>
        <v/>
      </c>
      <c r="X47" s="8">
        <f>IF($V47="","",$G47&amp;"|"&amp;$V47)</f>
        <v/>
      </c>
      <c r="Y47" s="8">
        <f>IF($W47="","",$G47&amp;"|"&amp;$W47)</f>
        <v/>
      </c>
    </row>
    <row r="48">
      <c r="A48" s="16" t="inlineStr">
        <is>
          <t>XS2571924070</t>
        </is>
      </c>
      <c r="B48" s="17">
        <f>IF($A48="","",PROPER(_xll.BDP($A48&amp;" Corp","NAME")))</f>
        <v/>
      </c>
      <c r="C48" s="17">
        <f>IF($A48="","",IFERROR(INDEX(Company_desc!$B$2:$B$1144,MATCH($A48,Company_desc!$A$2:$A$1144,0)),IFERROR(INDEX(SYZ_static!$Q$2:$Q$806,MATCH($A48,SYZ_static!$A$2:$A$806,0)),"")))</f>
        <v/>
      </c>
      <c r="D48" s="17">
        <f>IF($A48="","",IFERROR(INDEX(SYZ_static!$B$2:$B$806,MATCH($A48,SYZ_static!$A$2:$A$806,0)),""))</f>
        <v/>
      </c>
      <c r="E48" s="17">
        <f>IF($A48="","",_xll.BDP($A48&amp;" Corp","INDUSTRY_SECTOR"))</f>
        <v/>
      </c>
      <c r="F48" s="17">
        <f>IF($A48="","",PROPER(_xll.BDP($A48&amp;" Corp","COUNTRY_FULL_NAME")))</f>
        <v/>
      </c>
      <c r="G48" s="17">
        <f>IF($A48="","",_xll.BDP($A48&amp;" Corp","CRNCY"))</f>
        <v/>
      </c>
      <c r="H48" s="17">
        <f>IF($A48="","",IFERROR(INDEX(SYZ_static!$T$2:$T$806,MATCH($A48,SYZ_static!$A$2:$A$806,0)),_xll.BDP($A48&amp;" Corp","RTG_SP")))</f>
        <v/>
      </c>
      <c r="I48" s="17">
        <f>IF($A48="","",IFERROR(INDEX(SYZ_static!$S$2:$S$806,MATCH($A48,SYZ_static!$A$2:$A$806,0)),""))</f>
        <v/>
      </c>
      <c r="J48" s="17">
        <f>IF($A48="","",_xll.BDP($A48&amp;" Corp","PAYMENT_RANK"))</f>
        <v/>
      </c>
      <c r="K48" s="18">
        <f>IF($A48="","",_xll.BDP($A48&amp;" Corp","CPN"))</f>
        <v/>
      </c>
      <c r="L48" s="19">
        <f>IF($A48="","",_xll.BDP($A48&amp;" Corp","MATURITY"))</f>
        <v/>
      </c>
      <c r="M48" s="20">
        <f>IF($A48="","",IFERROR(_xll.BDP($A48&amp;" Corp","MIN_PIECE")/1000,""))</f>
        <v/>
      </c>
      <c r="N48" s="21">
        <f>IF($A48="","",_xll.BDP($A48&amp;" Corp","PX_LAST"))</f>
        <v/>
      </c>
      <c r="O48" s="21">
        <f>IF($A48="","",_xll.BDP($A48&amp;" Corp","YAS_BOND_YLD","YAS_YLD_FLAG=15"))</f>
        <v/>
      </c>
      <c r="P48" s="21">
        <f>IF($A48="","",_xll.BDP($A48&amp;" Corp","YAS_MOD_DUR"))</f>
        <v/>
      </c>
      <c r="Q48" s="22">
        <f>IF($A48="","",_xll.BDP($A48&amp;" Corp","YAS_OAS_SPRD"))</f>
        <v/>
      </c>
      <c r="R48" s="22">
        <f>IF($A48="","",_xll.BDP($A48&amp;" Corp","YAS_OAS_SPRD","SETTLE_DT",$B$2))</f>
        <v/>
      </c>
      <c r="S48" s="23">
        <f>IF($A48="","",IF(OR(NOT(ISNUMBER($Q48)),NOT(ISNUMBER($R48))),"",$Q48-$R48))</f>
        <v/>
      </c>
      <c r="T48" s="21">
        <f>IF($A48="","",_xll.BDP($A48&amp;" Corp","YAS_BOND_YLD","YAS_YLD_FLAG=15","SETTLE_DT",$B$2))</f>
        <v/>
      </c>
      <c r="U48" s="24">
        <f>IF($A48="","",IF(OR(NOT(ISNUMBER($O48)),NOT(ISNUMBER($T48))),"",$O48-$T48))</f>
        <v/>
      </c>
      <c r="V48" s="22">
        <f>IF(NOT(ISNUMBER($S48)),"",COUNTIFS($G$7:$G$850,$G48,$S$7:$S$850,"&gt;"&amp;$S48)+COUNTIFS($G$7:$G48,$G48,$S$7:$S48,$S48))</f>
        <v/>
      </c>
      <c r="W48" s="22">
        <f>IF(NOT(ISNUMBER($S48)),"",COUNTIFS($G$7:$G$850,$G48,$S$7:$S$850,"&lt;"&amp;$S48)+COUNTIFS($G$7:$G48,$G48,$S$7:$S48,$S48))</f>
        <v/>
      </c>
      <c r="X48" s="17">
        <f>IF($V48="","",$G48&amp;"|"&amp;$V48)</f>
        <v/>
      </c>
      <c r="Y48" s="17">
        <f>IF($W48="","",$G48&amp;"|"&amp;$W48)</f>
        <v/>
      </c>
    </row>
    <row r="49">
      <c r="A49" s="7" t="inlineStr">
        <is>
          <t>XS2854422578</t>
        </is>
      </c>
      <c r="B49" s="8">
        <f>IF($A49="","",PROPER(_xll.BDP($A49&amp;" Corp","NAME")))</f>
        <v/>
      </c>
      <c r="C49" s="8">
        <f>IF($A49="","",IFERROR(INDEX(Company_desc!$B$2:$B$1144,MATCH($A49,Company_desc!$A$2:$A$1144,0)),IFERROR(INDEX(SYZ_static!$Q$2:$Q$806,MATCH($A49,SYZ_static!$A$2:$A$806,0)),"")))</f>
        <v/>
      </c>
      <c r="D49" s="8">
        <f>IF($A49="","",IFERROR(INDEX(SYZ_static!$B$2:$B$806,MATCH($A49,SYZ_static!$A$2:$A$806,0)),""))</f>
        <v/>
      </c>
      <c r="E49" s="8">
        <f>IF($A49="","",_xll.BDP($A49&amp;" Corp","INDUSTRY_SECTOR"))</f>
        <v/>
      </c>
      <c r="F49" s="8">
        <f>IF($A49="","",PROPER(_xll.BDP($A49&amp;" Corp","COUNTRY_FULL_NAME")))</f>
        <v/>
      </c>
      <c r="G49" s="8">
        <f>IF($A49="","",_xll.BDP($A49&amp;" Corp","CRNCY"))</f>
        <v/>
      </c>
      <c r="H49" s="8">
        <f>IF($A49="","",IFERROR(INDEX(SYZ_static!$T$2:$T$806,MATCH($A49,SYZ_static!$A$2:$A$806,0)),_xll.BDP($A49&amp;" Corp","RTG_SP")))</f>
        <v/>
      </c>
      <c r="I49" s="8">
        <f>IF($A49="","",IFERROR(INDEX(SYZ_static!$S$2:$S$806,MATCH($A49,SYZ_static!$A$2:$A$806,0)),""))</f>
        <v/>
      </c>
      <c r="J49" s="8">
        <f>IF($A49="","",_xll.BDP($A49&amp;" Corp","PAYMENT_RANK"))</f>
        <v/>
      </c>
      <c r="K49" s="9">
        <f>IF($A49="","",_xll.BDP($A49&amp;" Corp","CPN"))</f>
        <v/>
      </c>
      <c r="L49" s="10">
        <f>IF($A49="","",_xll.BDP($A49&amp;" Corp","MATURITY"))</f>
        <v/>
      </c>
      <c r="M49" s="11">
        <f>IF($A49="","",IFERROR(_xll.BDP($A49&amp;" Corp","MIN_PIECE")/1000,""))</f>
        <v/>
      </c>
      <c r="N49" s="12">
        <f>IF($A49="","",_xll.BDP($A49&amp;" Corp","PX_LAST"))</f>
        <v/>
      </c>
      <c r="O49" s="12">
        <f>IF($A49="","",_xll.BDP($A49&amp;" Corp","YAS_BOND_YLD","YAS_YLD_FLAG=15"))</f>
        <v/>
      </c>
      <c r="P49" s="12">
        <f>IF($A49="","",_xll.BDP($A49&amp;" Corp","YAS_MOD_DUR"))</f>
        <v/>
      </c>
      <c r="Q49" s="13">
        <f>IF($A49="","",_xll.BDP($A49&amp;" Corp","YAS_OAS_SPRD"))</f>
        <v/>
      </c>
      <c r="R49" s="13">
        <f>IF($A49="","",_xll.BDP($A49&amp;" Corp","YAS_OAS_SPRD","SETTLE_DT",$B$2))</f>
        <v/>
      </c>
      <c r="S49" s="14">
        <f>IF($A49="","",IF(OR(NOT(ISNUMBER($Q49)),NOT(ISNUMBER($R49))),"",$Q49-$R49))</f>
        <v/>
      </c>
      <c r="T49" s="12">
        <f>IF($A49="","",_xll.BDP($A49&amp;" Corp","YAS_BOND_YLD","YAS_YLD_FLAG=15","SETTLE_DT",$B$2))</f>
        <v/>
      </c>
      <c r="U49" s="15">
        <f>IF($A49="","",IF(OR(NOT(ISNUMBER($O49)),NOT(ISNUMBER($T49))),"",$O49-$T49))</f>
        <v/>
      </c>
      <c r="V49" s="13">
        <f>IF(NOT(ISNUMBER($S49)),"",COUNTIFS($G$7:$G$850,$G49,$S$7:$S$850,"&gt;"&amp;$S49)+COUNTIFS($G$7:$G49,$G49,$S$7:$S49,$S49))</f>
        <v/>
      </c>
      <c r="W49" s="13">
        <f>IF(NOT(ISNUMBER($S49)),"",COUNTIFS($G$7:$G$850,$G49,$S$7:$S$850,"&lt;"&amp;$S49)+COUNTIFS($G$7:$G49,$G49,$S$7:$S49,$S49))</f>
        <v/>
      </c>
      <c r="X49" s="8">
        <f>IF($V49="","",$G49&amp;"|"&amp;$V49)</f>
        <v/>
      </c>
      <c r="Y49" s="8">
        <f>IF($W49="","",$G49&amp;"|"&amp;$W49)</f>
        <v/>
      </c>
    </row>
    <row r="50">
      <c r="A50" s="16" t="inlineStr">
        <is>
          <t>USU6547TAG59</t>
        </is>
      </c>
      <c r="B50" s="17">
        <f>IF($A50="","",PROPER(_xll.BDP($A50&amp;" Corp","NAME")))</f>
        <v/>
      </c>
      <c r="C50" s="17">
        <f>IF($A50="","",IFERROR(INDEX(Company_desc!$B$2:$B$1144,MATCH($A50,Company_desc!$A$2:$A$1144,0)),IFERROR(INDEX(SYZ_static!$Q$2:$Q$806,MATCH($A50,SYZ_static!$A$2:$A$806,0)),"")))</f>
        <v/>
      </c>
      <c r="D50" s="17">
        <f>IF($A50="","",IFERROR(INDEX(SYZ_static!$B$2:$B$806,MATCH($A50,SYZ_static!$A$2:$A$806,0)),""))</f>
        <v/>
      </c>
      <c r="E50" s="17">
        <f>IF($A50="","",_xll.BDP($A50&amp;" Corp","INDUSTRY_SECTOR"))</f>
        <v/>
      </c>
      <c r="F50" s="17">
        <f>IF($A50="","",PROPER(_xll.BDP($A50&amp;" Corp","COUNTRY_FULL_NAME")))</f>
        <v/>
      </c>
      <c r="G50" s="17">
        <f>IF($A50="","",_xll.BDP($A50&amp;" Corp","CRNCY"))</f>
        <v/>
      </c>
      <c r="H50" s="17">
        <f>IF($A50="","",IFERROR(INDEX(SYZ_static!$T$2:$T$806,MATCH($A50,SYZ_static!$A$2:$A$806,0)),_xll.BDP($A50&amp;" Corp","RTG_SP")))</f>
        <v/>
      </c>
      <c r="I50" s="17">
        <f>IF($A50="","",IFERROR(INDEX(SYZ_static!$S$2:$S$806,MATCH($A50,SYZ_static!$A$2:$A$806,0)),""))</f>
        <v/>
      </c>
      <c r="J50" s="17">
        <f>IF($A50="","",_xll.BDP($A50&amp;" Corp","PAYMENT_RANK"))</f>
        <v/>
      </c>
      <c r="K50" s="18">
        <f>IF($A50="","",_xll.BDP($A50&amp;" Corp","CPN"))</f>
        <v/>
      </c>
      <c r="L50" s="19">
        <f>IF($A50="","",_xll.BDP($A50&amp;" Corp","MATURITY"))</f>
        <v/>
      </c>
      <c r="M50" s="20">
        <f>IF($A50="","",IFERROR(_xll.BDP($A50&amp;" Corp","MIN_PIECE")/1000,""))</f>
        <v/>
      </c>
      <c r="N50" s="21">
        <f>IF($A50="","",_xll.BDP($A50&amp;" Corp","PX_LAST"))</f>
        <v/>
      </c>
      <c r="O50" s="21">
        <f>IF($A50="","",_xll.BDP($A50&amp;" Corp","YAS_BOND_YLD","YAS_YLD_FLAG=15"))</f>
        <v/>
      </c>
      <c r="P50" s="21">
        <f>IF($A50="","",_xll.BDP($A50&amp;" Corp","YAS_MOD_DUR"))</f>
        <v/>
      </c>
      <c r="Q50" s="22">
        <f>IF($A50="","",_xll.BDP($A50&amp;" Corp","YAS_OAS_SPRD"))</f>
        <v/>
      </c>
      <c r="R50" s="22">
        <f>IF($A50="","",_xll.BDP($A50&amp;" Corp","YAS_OAS_SPRD","SETTLE_DT",$B$2))</f>
        <v/>
      </c>
      <c r="S50" s="23">
        <f>IF($A50="","",IF(OR(NOT(ISNUMBER($Q50)),NOT(ISNUMBER($R50))),"",$Q50-$R50))</f>
        <v/>
      </c>
      <c r="T50" s="21">
        <f>IF($A50="","",_xll.BDP($A50&amp;" Corp","YAS_BOND_YLD","YAS_YLD_FLAG=15","SETTLE_DT",$B$2))</f>
        <v/>
      </c>
      <c r="U50" s="24">
        <f>IF($A50="","",IF(OR(NOT(ISNUMBER($O50)),NOT(ISNUMBER($T50))),"",$O50-$T50))</f>
        <v/>
      </c>
      <c r="V50" s="22">
        <f>IF(NOT(ISNUMBER($S50)),"",COUNTIFS($G$7:$G$850,$G50,$S$7:$S$850,"&gt;"&amp;$S50)+COUNTIFS($G$7:$G50,$G50,$S$7:$S50,$S50))</f>
        <v/>
      </c>
      <c r="W50" s="22">
        <f>IF(NOT(ISNUMBER($S50)),"",COUNTIFS($G$7:$G$850,$G50,$S$7:$S$850,"&lt;"&amp;$S50)+COUNTIFS($G$7:$G50,$G50,$S$7:$S50,$S50))</f>
        <v/>
      </c>
      <c r="X50" s="17">
        <f>IF($V50="","",$G50&amp;"|"&amp;$V50)</f>
        <v/>
      </c>
      <c r="Y50" s="17">
        <f>IF($W50="","",$G50&amp;"|"&amp;$W50)</f>
        <v/>
      </c>
    </row>
    <row r="51">
      <c r="A51" s="7" t="inlineStr">
        <is>
          <t>USP3R26HAA81</t>
        </is>
      </c>
      <c r="B51" s="8">
        <f>IF($A51="","",PROPER(_xll.BDP($A51&amp;" Corp","NAME")))</f>
        <v/>
      </c>
      <c r="C51" s="8">
        <f>IF($A51="","",IFERROR(INDEX(Company_desc!$B$2:$B$1144,MATCH($A51,Company_desc!$A$2:$A$1144,0)),IFERROR(INDEX(SYZ_static!$Q$2:$Q$806,MATCH($A51,SYZ_static!$A$2:$A$806,0)),"")))</f>
        <v/>
      </c>
      <c r="D51" s="8">
        <f>IF($A51="","",IFERROR(INDEX(SYZ_static!$B$2:$B$806,MATCH($A51,SYZ_static!$A$2:$A$806,0)),""))</f>
        <v/>
      </c>
      <c r="E51" s="8">
        <f>IF($A51="","",_xll.BDP($A51&amp;" Corp","INDUSTRY_SECTOR"))</f>
        <v/>
      </c>
      <c r="F51" s="8">
        <f>IF($A51="","",PROPER(_xll.BDP($A51&amp;" Corp","COUNTRY_FULL_NAME")))</f>
        <v/>
      </c>
      <c r="G51" s="8">
        <f>IF($A51="","",_xll.BDP($A51&amp;" Corp","CRNCY"))</f>
        <v/>
      </c>
      <c r="H51" s="8">
        <f>IF($A51="","",IFERROR(INDEX(SYZ_static!$T$2:$T$806,MATCH($A51,SYZ_static!$A$2:$A$806,0)),_xll.BDP($A51&amp;" Corp","RTG_SP")))</f>
        <v/>
      </c>
      <c r="I51" s="8">
        <f>IF($A51="","",IFERROR(INDEX(SYZ_static!$S$2:$S$806,MATCH($A51,SYZ_static!$A$2:$A$806,0)),""))</f>
        <v/>
      </c>
      <c r="J51" s="8">
        <f>IF($A51="","",_xll.BDP($A51&amp;" Corp","PAYMENT_RANK"))</f>
        <v/>
      </c>
      <c r="K51" s="9">
        <f>IF($A51="","",_xll.BDP($A51&amp;" Corp","CPN"))</f>
        <v/>
      </c>
      <c r="L51" s="10">
        <f>IF($A51="","",_xll.BDP($A51&amp;" Corp","MATURITY"))</f>
        <v/>
      </c>
      <c r="M51" s="11">
        <f>IF($A51="","",IFERROR(_xll.BDP($A51&amp;" Corp","MIN_PIECE")/1000,""))</f>
        <v/>
      </c>
      <c r="N51" s="12">
        <f>IF($A51="","",_xll.BDP($A51&amp;" Corp","PX_LAST"))</f>
        <v/>
      </c>
      <c r="O51" s="12">
        <f>IF($A51="","",_xll.BDP($A51&amp;" Corp","YAS_BOND_YLD","YAS_YLD_FLAG=15"))</f>
        <v/>
      </c>
      <c r="P51" s="12">
        <f>IF($A51="","",_xll.BDP($A51&amp;" Corp","YAS_MOD_DUR"))</f>
        <v/>
      </c>
      <c r="Q51" s="13">
        <f>IF($A51="","",_xll.BDP($A51&amp;" Corp","YAS_OAS_SPRD"))</f>
        <v/>
      </c>
      <c r="R51" s="13">
        <f>IF($A51="","",_xll.BDP($A51&amp;" Corp","YAS_OAS_SPRD","SETTLE_DT",$B$2))</f>
        <v/>
      </c>
      <c r="S51" s="14">
        <f>IF($A51="","",IF(OR(NOT(ISNUMBER($Q51)),NOT(ISNUMBER($R51))),"",$Q51-$R51))</f>
        <v/>
      </c>
      <c r="T51" s="12">
        <f>IF($A51="","",_xll.BDP($A51&amp;" Corp","YAS_BOND_YLD","YAS_YLD_FLAG=15","SETTLE_DT",$B$2))</f>
        <v/>
      </c>
      <c r="U51" s="15">
        <f>IF($A51="","",IF(OR(NOT(ISNUMBER($O51)),NOT(ISNUMBER($T51))),"",$O51-$T51))</f>
        <v/>
      </c>
      <c r="V51" s="13">
        <f>IF(NOT(ISNUMBER($S51)),"",COUNTIFS($G$7:$G$850,$G51,$S$7:$S$850,"&gt;"&amp;$S51)+COUNTIFS($G$7:$G51,$G51,$S$7:$S51,$S51))</f>
        <v/>
      </c>
      <c r="W51" s="13">
        <f>IF(NOT(ISNUMBER($S51)),"",COUNTIFS($G$7:$G$850,$G51,$S$7:$S$850,"&lt;"&amp;$S51)+COUNTIFS($G$7:$G51,$G51,$S$7:$S51,$S51))</f>
        <v/>
      </c>
      <c r="X51" s="8">
        <f>IF($V51="","",$G51&amp;"|"&amp;$V51)</f>
        <v/>
      </c>
      <c r="Y51" s="8">
        <f>IF($W51="","",$G51&amp;"|"&amp;$W51)</f>
        <v/>
      </c>
    </row>
    <row r="52">
      <c r="A52" s="16" t="inlineStr">
        <is>
          <t>USP4954BAF33</t>
        </is>
      </c>
      <c r="B52" s="17">
        <f>IF($A52="","",PROPER(_xll.BDP($A52&amp;" Corp","NAME")))</f>
        <v/>
      </c>
      <c r="C52" s="17">
        <f>IF($A52="","",IFERROR(INDEX(Company_desc!$B$2:$B$1144,MATCH($A52,Company_desc!$A$2:$A$1144,0)),IFERROR(INDEX(SYZ_static!$Q$2:$Q$806,MATCH($A52,SYZ_static!$A$2:$A$806,0)),"")))</f>
        <v/>
      </c>
      <c r="D52" s="17">
        <f>IF($A52="","",IFERROR(INDEX(SYZ_static!$B$2:$B$806,MATCH($A52,SYZ_static!$A$2:$A$806,0)),""))</f>
        <v/>
      </c>
      <c r="E52" s="17">
        <f>IF($A52="","",_xll.BDP($A52&amp;" Corp","INDUSTRY_SECTOR"))</f>
        <v/>
      </c>
      <c r="F52" s="17">
        <f>IF($A52="","",PROPER(_xll.BDP($A52&amp;" Corp","COUNTRY_FULL_NAME")))</f>
        <v/>
      </c>
      <c r="G52" s="17">
        <f>IF($A52="","",_xll.BDP($A52&amp;" Corp","CRNCY"))</f>
        <v/>
      </c>
      <c r="H52" s="17">
        <f>IF($A52="","",IFERROR(INDEX(SYZ_static!$T$2:$T$806,MATCH($A52,SYZ_static!$A$2:$A$806,0)),_xll.BDP($A52&amp;" Corp","RTG_SP")))</f>
        <v/>
      </c>
      <c r="I52" s="17">
        <f>IF($A52="","",IFERROR(INDEX(SYZ_static!$S$2:$S$806,MATCH($A52,SYZ_static!$A$2:$A$806,0)),""))</f>
        <v/>
      </c>
      <c r="J52" s="17">
        <f>IF($A52="","",_xll.BDP($A52&amp;" Corp","PAYMENT_RANK"))</f>
        <v/>
      </c>
      <c r="K52" s="18">
        <f>IF($A52="","",_xll.BDP($A52&amp;" Corp","CPN"))</f>
        <v/>
      </c>
      <c r="L52" s="19">
        <f>IF($A52="","",_xll.BDP($A52&amp;" Corp","MATURITY"))</f>
        <v/>
      </c>
      <c r="M52" s="20">
        <f>IF($A52="","",IFERROR(_xll.BDP($A52&amp;" Corp","MIN_PIECE")/1000,""))</f>
        <v/>
      </c>
      <c r="N52" s="21">
        <f>IF($A52="","",_xll.BDP($A52&amp;" Corp","PX_LAST"))</f>
        <v/>
      </c>
      <c r="O52" s="21">
        <f>IF($A52="","",_xll.BDP($A52&amp;" Corp","YAS_BOND_YLD","YAS_YLD_FLAG=15"))</f>
        <v/>
      </c>
      <c r="P52" s="21">
        <f>IF($A52="","",_xll.BDP($A52&amp;" Corp","YAS_MOD_DUR"))</f>
        <v/>
      </c>
      <c r="Q52" s="22">
        <f>IF($A52="","",_xll.BDP($A52&amp;" Corp","YAS_OAS_SPRD"))</f>
        <v/>
      </c>
      <c r="R52" s="22">
        <f>IF($A52="","",_xll.BDP($A52&amp;" Corp","YAS_OAS_SPRD","SETTLE_DT",$B$2))</f>
        <v/>
      </c>
      <c r="S52" s="23">
        <f>IF($A52="","",IF(OR(NOT(ISNUMBER($Q52)),NOT(ISNUMBER($R52))),"",$Q52-$R52))</f>
        <v/>
      </c>
      <c r="T52" s="21">
        <f>IF($A52="","",_xll.BDP($A52&amp;" Corp","YAS_BOND_YLD","YAS_YLD_FLAG=15","SETTLE_DT",$B$2))</f>
        <v/>
      </c>
      <c r="U52" s="24">
        <f>IF($A52="","",IF(OR(NOT(ISNUMBER($O52)),NOT(ISNUMBER($T52))),"",$O52-$T52))</f>
        <v/>
      </c>
      <c r="V52" s="22">
        <f>IF(NOT(ISNUMBER($S52)),"",COUNTIFS($G$7:$G$850,$G52,$S$7:$S$850,"&gt;"&amp;$S52)+COUNTIFS($G$7:$G52,$G52,$S$7:$S52,$S52))</f>
        <v/>
      </c>
      <c r="W52" s="22">
        <f>IF(NOT(ISNUMBER($S52)),"",COUNTIFS($G$7:$G$850,$G52,$S$7:$S$850,"&lt;"&amp;$S52)+COUNTIFS($G$7:$G52,$G52,$S$7:$S52,$S52))</f>
        <v/>
      </c>
      <c r="X52" s="17">
        <f>IF($V52="","",$G52&amp;"|"&amp;$V52)</f>
        <v/>
      </c>
      <c r="Y52" s="17">
        <f>IF($W52="","",$G52&amp;"|"&amp;$W52)</f>
        <v/>
      </c>
    </row>
    <row r="53">
      <c r="A53" s="7" t="inlineStr">
        <is>
          <t>US105756BW95</t>
        </is>
      </c>
      <c r="B53" s="8">
        <f>IF($A53="","",PROPER(_xll.BDP($A53&amp;" Corp","NAME")))</f>
        <v/>
      </c>
      <c r="C53" s="8">
        <f>IF($A53="","",IFERROR(INDEX(Company_desc!$B$2:$B$1144,MATCH($A53,Company_desc!$A$2:$A$1144,0)),IFERROR(INDEX(SYZ_static!$Q$2:$Q$806,MATCH($A53,SYZ_static!$A$2:$A$806,0)),"")))</f>
        <v/>
      </c>
      <c r="D53" s="8">
        <f>IF($A53="","",IFERROR(INDEX(SYZ_static!$B$2:$B$806,MATCH($A53,SYZ_static!$A$2:$A$806,0)),""))</f>
        <v/>
      </c>
      <c r="E53" s="8">
        <f>IF($A53="","",_xll.BDP($A53&amp;" Corp","INDUSTRY_SECTOR"))</f>
        <v/>
      </c>
      <c r="F53" s="8">
        <f>IF($A53="","",PROPER(_xll.BDP($A53&amp;" Corp","COUNTRY_FULL_NAME")))</f>
        <v/>
      </c>
      <c r="G53" s="8">
        <f>IF($A53="","",_xll.BDP($A53&amp;" Corp","CRNCY"))</f>
        <v/>
      </c>
      <c r="H53" s="8">
        <f>IF($A53="","",IFERROR(INDEX(SYZ_static!$T$2:$T$806,MATCH($A53,SYZ_static!$A$2:$A$806,0)),_xll.BDP($A53&amp;" Corp","RTG_SP")))</f>
        <v/>
      </c>
      <c r="I53" s="8">
        <f>IF($A53="","",IFERROR(INDEX(SYZ_static!$S$2:$S$806,MATCH($A53,SYZ_static!$A$2:$A$806,0)),""))</f>
        <v/>
      </c>
      <c r="J53" s="8">
        <f>IF($A53="","",_xll.BDP($A53&amp;" Corp","PAYMENT_RANK"))</f>
        <v/>
      </c>
      <c r="K53" s="9">
        <f>IF($A53="","",_xll.BDP($A53&amp;" Corp","CPN"))</f>
        <v/>
      </c>
      <c r="L53" s="10">
        <f>IF($A53="","",_xll.BDP($A53&amp;" Corp","MATURITY"))</f>
        <v/>
      </c>
      <c r="M53" s="11">
        <f>IF($A53="","",IFERROR(_xll.BDP($A53&amp;" Corp","MIN_PIECE")/1000,""))</f>
        <v/>
      </c>
      <c r="N53" s="12">
        <f>IF($A53="","",_xll.BDP($A53&amp;" Corp","PX_LAST"))</f>
        <v/>
      </c>
      <c r="O53" s="12">
        <f>IF($A53="","",_xll.BDP($A53&amp;" Corp","YAS_BOND_YLD","YAS_YLD_FLAG=15"))</f>
        <v/>
      </c>
      <c r="P53" s="12">
        <f>IF($A53="","",_xll.BDP($A53&amp;" Corp","YAS_MOD_DUR"))</f>
        <v/>
      </c>
      <c r="Q53" s="13">
        <f>IF($A53="","",_xll.BDP($A53&amp;" Corp","YAS_OAS_SPRD"))</f>
        <v/>
      </c>
      <c r="R53" s="13">
        <f>IF($A53="","",_xll.BDP($A53&amp;" Corp","YAS_OAS_SPRD","SETTLE_DT",$B$2))</f>
        <v/>
      </c>
      <c r="S53" s="14">
        <f>IF($A53="","",IF(OR(NOT(ISNUMBER($Q53)),NOT(ISNUMBER($R53))),"",$Q53-$R53))</f>
        <v/>
      </c>
      <c r="T53" s="12">
        <f>IF($A53="","",_xll.BDP($A53&amp;" Corp","YAS_BOND_YLD","YAS_YLD_FLAG=15","SETTLE_DT",$B$2))</f>
        <v/>
      </c>
      <c r="U53" s="15">
        <f>IF($A53="","",IF(OR(NOT(ISNUMBER($O53)),NOT(ISNUMBER($T53))),"",$O53-$T53))</f>
        <v/>
      </c>
      <c r="V53" s="13">
        <f>IF(NOT(ISNUMBER($S53)),"",COUNTIFS($G$7:$G$850,$G53,$S$7:$S$850,"&gt;"&amp;$S53)+COUNTIFS($G$7:$G53,$G53,$S$7:$S53,$S53))</f>
        <v/>
      </c>
      <c r="W53" s="13">
        <f>IF(NOT(ISNUMBER($S53)),"",COUNTIFS($G$7:$G$850,$G53,$S$7:$S$850,"&lt;"&amp;$S53)+COUNTIFS($G$7:$G53,$G53,$S$7:$S53,$S53))</f>
        <v/>
      </c>
      <c r="X53" s="8">
        <f>IF($V53="","",$G53&amp;"|"&amp;$V53)</f>
        <v/>
      </c>
      <c r="Y53" s="8">
        <f>IF($W53="","",$G53&amp;"|"&amp;$W53)</f>
        <v/>
      </c>
    </row>
    <row r="54">
      <c r="A54" s="16" t="inlineStr">
        <is>
          <t>USY00130XS17</t>
        </is>
      </c>
      <c r="B54" s="17">
        <f>IF($A54="","",PROPER(_xll.BDP($A54&amp;" Corp","NAME")))</f>
        <v/>
      </c>
      <c r="C54" s="17">
        <f>IF($A54="","",IFERROR(INDEX(Company_desc!$B$2:$B$1144,MATCH($A54,Company_desc!$A$2:$A$1144,0)),IFERROR(INDEX(SYZ_static!$Q$2:$Q$806,MATCH($A54,SYZ_static!$A$2:$A$806,0)),"")))</f>
        <v/>
      </c>
      <c r="D54" s="17">
        <f>IF($A54="","",IFERROR(INDEX(SYZ_static!$B$2:$B$806,MATCH($A54,SYZ_static!$A$2:$A$806,0)),""))</f>
        <v/>
      </c>
      <c r="E54" s="17">
        <f>IF($A54="","",_xll.BDP($A54&amp;" Corp","INDUSTRY_SECTOR"))</f>
        <v/>
      </c>
      <c r="F54" s="17">
        <f>IF($A54="","",PROPER(_xll.BDP($A54&amp;" Corp","COUNTRY_FULL_NAME")))</f>
        <v/>
      </c>
      <c r="G54" s="17">
        <f>IF($A54="","",_xll.BDP($A54&amp;" Corp","CRNCY"))</f>
        <v/>
      </c>
      <c r="H54" s="17">
        <f>IF($A54="","",IFERROR(INDEX(SYZ_static!$T$2:$T$806,MATCH($A54,SYZ_static!$A$2:$A$806,0)),_xll.BDP($A54&amp;" Corp","RTG_SP")))</f>
        <v/>
      </c>
      <c r="I54" s="17">
        <f>IF($A54="","",IFERROR(INDEX(SYZ_static!$S$2:$S$806,MATCH($A54,SYZ_static!$A$2:$A$806,0)),""))</f>
        <v/>
      </c>
      <c r="J54" s="17">
        <f>IF($A54="","",_xll.BDP($A54&amp;" Corp","PAYMENT_RANK"))</f>
        <v/>
      </c>
      <c r="K54" s="18">
        <f>IF($A54="","",_xll.BDP($A54&amp;" Corp","CPN"))</f>
        <v/>
      </c>
      <c r="L54" s="19">
        <f>IF($A54="","",_xll.BDP($A54&amp;" Corp","MATURITY"))</f>
        <v/>
      </c>
      <c r="M54" s="20">
        <f>IF($A54="","",IFERROR(_xll.BDP($A54&amp;" Corp","MIN_PIECE")/1000,""))</f>
        <v/>
      </c>
      <c r="N54" s="21">
        <f>IF($A54="","",_xll.BDP($A54&amp;" Corp","PX_LAST"))</f>
        <v/>
      </c>
      <c r="O54" s="21">
        <f>IF($A54="","",_xll.BDP($A54&amp;" Corp","YAS_BOND_YLD","YAS_YLD_FLAG=15"))</f>
        <v/>
      </c>
      <c r="P54" s="21">
        <f>IF($A54="","",_xll.BDP($A54&amp;" Corp","YAS_MOD_DUR"))</f>
        <v/>
      </c>
      <c r="Q54" s="22">
        <f>IF($A54="","",_xll.BDP($A54&amp;" Corp","YAS_OAS_SPRD"))</f>
        <v/>
      </c>
      <c r="R54" s="22">
        <f>IF($A54="","",_xll.BDP($A54&amp;" Corp","YAS_OAS_SPRD","SETTLE_DT",$B$2))</f>
        <v/>
      </c>
      <c r="S54" s="23">
        <f>IF($A54="","",IF(OR(NOT(ISNUMBER($Q54)),NOT(ISNUMBER($R54))),"",$Q54-$R54))</f>
        <v/>
      </c>
      <c r="T54" s="21">
        <f>IF($A54="","",_xll.BDP($A54&amp;" Corp","YAS_BOND_YLD","YAS_YLD_FLAG=15","SETTLE_DT",$B$2))</f>
        <v/>
      </c>
      <c r="U54" s="24">
        <f>IF($A54="","",IF(OR(NOT(ISNUMBER($O54)),NOT(ISNUMBER($T54))),"",$O54-$T54))</f>
        <v/>
      </c>
      <c r="V54" s="22">
        <f>IF(NOT(ISNUMBER($S54)),"",COUNTIFS($G$7:$G$850,$G54,$S$7:$S$850,"&gt;"&amp;$S54)+COUNTIFS($G$7:$G54,$G54,$S$7:$S54,$S54))</f>
        <v/>
      </c>
      <c r="W54" s="22">
        <f>IF(NOT(ISNUMBER($S54)),"",COUNTIFS($G$7:$G$850,$G54,$S$7:$S$850,"&lt;"&amp;$S54)+COUNTIFS($G$7:$G54,$G54,$S$7:$S54,$S54))</f>
        <v/>
      </c>
      <c r="X54" s="17">
        <f>IF($V54="","",$G54&amp;"|"&amp;$V54)</f>
        <v/>
      </c>
      <c r="Y54" s="17">
        <f>IF($W54="","",$G54&amp;"|"&amp;$W54)</f>
        <v/>
      </c>
    </row>
    <row r="55">
      <c r="A55" s="7" t="inlineStr">
        <is>
          <t>XS2941359288</t>
        </is>
      </c>
      <c r="B55" s="8">
        <f>IF($A55="","",PROPER(_xll.BDP($A55&amp;" Corp","NAME")))</f>
        <v/>
      </c>
      <c r="C55" s="8">
        <f>IF($A55="","",IFERROR(INDEX(Company_desc!$B$2:$B$1144,MATCH($A55,Company_desc!$A$2:$A$1144,0)),IFERROR(INDEX(SYZ_static!$Q$2:$Q$806,MATCH($A55,SYZ_static!$A$2:$A$806,0)),"")))</f>
        <v/>
      </c>
      <c r="D55" s="8">
        <f>IF($A55="","",IFERROR(INDEX(SYZ_static!$B$2:$B$806,MATCH($A55,SYZ_static!$A$2:$A$806,0)),""))</f>
        <v/>
      </c>
      <c r="E55" s="8">
        <f>IF($A55="","",_xll.BDP($A55&amp;" Corp","INDUSTRY_SECTOR"))</f>
        <v/>
      </c>
      <c r="F55" s="8">
        <f>IF($A55="","",PROPER(_xll.BDP($A55&amp;" Corp","COUNTRY_FULL_NAME")))</f>
        <v/>
      </c>
      <c r="G55" s="8">
        <f>IF($A55="","",_xll.BDP($A55&amp;" Corp","CRNCY"))</f>
        <v/>
      </c>
      <c r="H55" s="8">
        <f>IF($A55="","",IFERROR(INDEX(SYZ_static!$T$2:$T$806,MATCH($A55,SYZ_static!$A$2:$A$806,0)),_xll.BDP($A55&amp;" Corp","RTG_SP")))</f>
        <v/>
      </c>
      <c r="I55" s="8">
        <f>IF($A55="","",IFERROR(INDEX(SYZ_static!$S$2:$S$806,MATCH($A55,SYZ_static!$A$2:$A$806,0)),""))</f>
        <v/>
      </c>
      <c r="J55" s="8">
        <f>IF($A55="","",_xll.BDP($A55&amp;" Corp","PAYMENT_RANK"))</f>
        <v/>
      </c>
      <c r="K55" s="9">
        <f>IF($A55="","",_xll.BDP($A55&amp;" Corp","CPN"))</f>
        <v/>
      </c>
      <c r="L55" s="10">
        <f>IF($A55="","",_xll.BDP($A55&amp;" Corp","MATURITY"))</f>
        <v/>
      </c>
      <c r="M55" s="11">
        <f>IF($A55="","",IFERROR(_xll.BDP($A55&amp;" Corp","MIN_PIECE")/1000,""))</f>
        <v/>
      </c>
      <c r="N55" s="12">
        <f>IF($A55="","",_xll.BDP($A55&amp;" Corp","PX_LAST"))</f>
        <v/>
      </c>
      <c r="O55" s="12">
        <f>IF($A55="","",_xll.BDP($A55&amp;" Corp","YAS_BOND_YLD","YAS_YLD_FLAG=15"))</f>
        <v/>
      </c>
      <c r="P55" s="12">
        <f>IF($A55="","",_xll.BDP($A55&amp;" Corp","YAS_MOD_DUR"))</f>
        <v/>
      </c>
      <c r="Q55" s="13">
        <f>IF($A55="","",_xll.BDP($A55&amp;" Corp","YAS_OAS_SPRD"))</f>
        <v/>
      </c>
      <c r="R55" s="13">
        <f>IF($A55="","",_xll.BDP($A55&amp;" Corp","YAS_OAS_SPRD","SETTLE_DT",$B$2))</f>
        <v/>
      </c>
      <c r="S55" s="14">
        <f>IF($A55="","",IF(OR(NOT(ISNUMBER($Q55)),NOT(ISNUMBER($R55))),"",$Q55-$R55))</f>
        <v/>
      </c>
      <c r="T55" s="12">
        <f>IF($A55="","",_xll.BDP($A55&amp;" Corp","YAS_BOND_YLD","YAS_YLD_FLAG=15","SETTLE_DT",$B$2))</f>
        <v/>
      </c>
      <c r="U55" s="15">
        <f>IF($A55="","",IF(OR(NOT(ISNUMBER($O55)),NOT(ISNUMBER($T55))),"",$O55-$T55))</f>
        <v/>
      </c>
      <c r="V55" s="13">
        <f>IF(NOT(ISNUMBER($S55)),"",COUNTIFS($G$7:$G$850,$G55,$S$7:$S$850,"&gt;"&amp;$S55)+COUNTIFS($G$7:$G55,$G55,$S$7:$S55,$S55))</f>
        <v/>
      </c>
      <c r="W55" s="13">
        <f>IF(NOT(ISNUMBER($S55)),"",COUNTIFS($G$7:$G$850,$G55,$S$7:$S$850,"&lt;"&amp;$S55)+COUNTIFS($G$7:$G55,$G55,$S$7:$S55,$S55))</f>
        <v/>
      </c>
      <c r="X55" s="8">
        <f>IF($V55="","",$G55&amp;"|"&amp;$V55)</f>
        <v/>
      </c>
      <c r="Y55" s="8">
        <f>IF($W55="","",$G55&amp;"|"&amp;$W55)</f>
        <v/>
      </c>
    </row>
    <row r="56">
      <c r="A56" s="16" t="inlineStr">
        <is>
          <t>XS2910536452</t>
        </is>
      </c>
      <c r="B56" s="17">
        <f>IF($A56="","",PROPER(_xll.BDP($A56&amp;" Corp","NAME")))</f>
        <v/>
      </c>
      <c r="C56" s="17">
        <f>IF($A56="","",IFERROR(INDEX(Company_desc!$B$2:$B$1144,MATCH($A56,Company_desc!$A$2:$A$1144,0)),IFERROR(INDEX(SYZ_static!$Q$2:$Q$806,MATCH($A56,SYZ_static!$A$2:$A$806,0)),"")))</f>
        <v/>
      </c>
      <c r="D56" s="17">
        <f>IF($A56="","",IFERROR(INDEX(SYZ_static!$B$2:$B$806,MATCH($A56,SYZ_static!$A$2:$A$806,0)),""))</f>
        <v/>
      </c>
      <c r="E56" s="17">
        <f>IF($A56="","",_xll.BDP($A56&amp;" Corp","INDUSTRY_SECTOR"))</f>
        <v/>
      </c>
      <c r="F56" s="17">
        <f>IF($A56="","",PROPER(_xll.BDP($A56&amp;" Corp","COUNTRY_FULL_NAME")))</f>
        <v/>
      </c>
      <c r="G56" s="17">
        <f>IF($A56="","",_xll.BDP($A56&amp;" Corp","CRNCY"))</f>
        <v/>
      </c>
      <c r="H56" s="17">
        <f>IF($A56="","",IFERROR(INDEX(SYZ_static!$T$2:$T$806,MATCH($A56,SYZ_static!$A$2:$A$806,0)),_xll.BDP($A56&amp;" Corp","RTG_SP")))</f>
        <v/>
      </c>
      <c r="I56" s="17">
        <f>IF($A56="","",IFERROR(INDEX(SYZ_static!$S$2:$S$806,MATCH($A56,SYZ_static!$A$2:$A$806,0)),""))</f>
        <v/>
      </c>
      <c r="J56" s="17">
        <f>IF($A56="","",_xll.BDP($A56&amp;" Corp","PAYMENT_RANK"))</f>
        <v/>
      </c>
      <c r="K56" s="18">
        <f>IF($A56="","",_xll.BDP($A56&amp;" Corp","CPN"))</f>
        <v/>
      </c>
      <c r="L56" s="19">
        <f>IF($A56="","",_xll.BDP($A56&amp;" Corp","MATURITY"))</f>
        <v/>
      </c>
      <c r="M56" s="20">
        <f>IF($A56="","",IFERROR(_xll.BDP($A56&amp;" Corp","MIN_PIECE")/1000,""))</f>
        <v/>
      </c>
      <c r="N56" s="21">
        <f>IF($A56="","",_xll.BDP($A56&amp;" Corp","PX_LAST"))</f>
        <v/>
      </c>
      <c r="O56" s="21">
        <f>IF($A56="","",_xll.BDP($A56&amp;" Corp","YAS_BOND_YLD","YAS_YLD_FLAG=15"))</f>
        <v/>
      </c>
      <c r="P56" s="21">
        <f>IF($A56="","",_xll.BDP($A56&amp;" Corp","YAS_MOD_DUR"))</f>
        <v/>
      </c>
      <c r="Q56" s="22">
        <f>IF($A56="","",_xll.BDP($A56&amp;" Corp","YAS_OAS_SPRD"))</f>
        <v/>
      </c>
      <c r="R56" s="22">
        <f>IF($A56="","",_xll.BDP($A56&amp;" Corp","YAS_OAS_SPRD","SETTLE_DT",$B$2))</f>
        <v/>
      </c>
      <c r="S56" s="23">
        <f>IF($A56="","",IF(OR(NOT(ISNUMBER($Q56)),NOT(ISNUMBER($R56))),"",$Q56-$R56))</f>
        <v/>
      </c>
      <c r="T56" s="21">
        <f>IF($A56="","",_xll.BDP($A56&amp;" Corp","YAS_BOND_YLD","YAS_YLD_FLAG=15","SETTLE_DT",$B$2))</f>
        <v/>
      </c>
      <c r="U56" s="24">
        <f>IF($A56="","",IF(OR(NOT(ISNUMBER($O56)),NOT(ISNUMBER($T56))),"",$O56-$T56))</f>
        <v/>
      </c>
      <c r="V56" s="22">
        <f>IF(NOT(ISNUMBER($S56)),"",COUNTIFS($G$7:$G$850,$G56,$S$7:$S$850,"&gt;"&amp;$S56)+COUNTIFS($G$7:$G56,$G56,$S$7:$S56,$S56))</f>
        <v/>
      </c>
      <c r="W56" s="22">
        <f>IF(NOT(ISNUMBER($S56)),"",COUNTIFS($G$7:$G$850,$G56,$S$7:$S$850,"&lt;"&amp;$S56)+COUNTIFS($G$7:$G56,$G56,$S$7:$S56,$S56))</f>
        <v/>
      </c>
      <c r="X56" s="17">
        <f>IF($V56="","",$G56&amp;"|"&amp;$V56)</f>
        <v/>
      </c>
      <c r="Y56" s="17">
        <f>IF($W56="","",$G56&amp;"|"&amp;$W56)</f>
        <v/>
      </c>
    </row>
    <row r="57">
      <c r="A57" s="7" t="inlineStr">
        <is>
          <t>XS1793255941</t>
        </is>
      </c>
      <c r="B57" s="8">
        <f>IF($A57="","",PROPER(_xll.BDP($A57&amp;" Corp","NAME")))</f>
        <v/>
      </c>
      <c r="C57" s="8">
        <f>IF($A57="","",IFERROR(INDEX(Company_desc!$B$2:$B$1144,MATCH($A57,Company_desc!$A$2:$A$1144,0)),IFERROR(INDEX(SYZ_static!$Q$2:$Q$806,MATCH($A57,SYZ_static!$A$2:$A$806,0)),"")))</f>
        <v/>
      </c>
      <c r="D57" s="8">
        <f>IF($A57="","",IFERROR(INDEX(SYZ_static!$B$2:$B$806,MATCH($A57,SYZ_static!$A$2:$A$806,0)),""))</f>
        <v/>
      </c>
      <c r="E57" s="8">
        <f>IF($A57="","",_xll.BDP($A57&amp;" Corp","INDUSTRY_SECTOR"))</f>
        <v/>
      </c>
      <c r="F57" s="8">
        <f>IF($A57="","",PROPER(_xll.BDP($A57&amp;" Corp","COUNTRY_FULL_NAME")))</f>
        <v/>
      </c>
      <c r="G57" s="8">
        <f>IF($A57="","",_xll.BDP($A57&amp;" Corp","CRNCY"))</f>
        <v/>
      </c>
      <c r="H57" s="8">
        <f>IF($A57="","",IFERROR(INDEX(SYZ_static!$T$2:$T$806,MATCH($A57,SYZ_static!$A$2:$A$806,0)),_xll.BDP($A57&amp;" Corp","RTG_SP")))</f>
        <v/>
      </c>
      <c r="I57" s="8">
        <f>IF($A57="","",IFERROR(INDEX(SYZ_static!$S$2:$S$806,MATCH($A57,SYZ_static!$A$2:$A$806,0)),""))</f>
        <v/>
      </c>
      <c r="J57" s="8">
        <f>IF($A57="","",_xll.BDP($A57&amp;" Corp","PAYMENT_RANK"))</f>
        <v/>
      </c>
      <c r="K57" s="9">
        <f>IF($A57="","",_xll.BDP($A57&amp;" Corp","CPN"))</f>
        <v/>
      </c>
      <c r="L57" s="10">
        <f>IF($A57="","",_xll.BDP($A57&amp;" Corp","MATURITY"))</f>
        <v/>
      </c>
      <c r="M57" s="11">
        <f>IF($A57="","",IFERROR(_xll.BDP($A57&amp;" Corp","MIN_PIECE")/1000,""))</f>
        <v/>
      </c>
      <c r="N57" s="12">
        <f>IF($A57="","",_xll.BDP($A57&amp;" Corp","PX_LAST"))</f>
        <v/>
      </c>
      <c r="O57" s="12">
        <f>IF($A57="","",_xll.BDP($A57&amp;" Corp","YAS_BOND_YLD","YAS_YLD_FLAG=15"))</f>
        <v/>
      </c>
      <c r="P57" s="12">
        <f>IF($A57="","",_xll.BDP($A57&amp;" Corp","YAS_MOD_DUR"))</f>
        <v/>
      </c>
      <c r="Q57" s="13">
        <f>IF($A57="","",_xll.BDP($A57&amp;" Corp","YAS_OAS_SPRD"))</f>
        <v/>
      </c>
      <c r="R57" s="13">
        <f>IF($A57="","",_xll.BDP($A57&amp;" Corp","YAS_OAS_SPRD","SETTLE_DT",$B$2))</f>
        <v/>
      </c>
      <c r="S57" s="14">
        <f>IF($A57="","",IF(OR(NOT(ISNUMBER($Q57)),NOT(ISNUMBER($R57))),"",$Q57-$R57))</f>
        <v/>
      </c>
      <c r="T57" s="12">
        <f>IF($A57="","",_xll.BDP($A57&amp;" Corp","YAS_BOND_YLD","YAS_YLD_FLAG=15","SETTLE_DT",$B$2))</f>
        <v/>
      </c>
      <c r="U57" s="15">
        <f>IF($A57="","",IF(OR(NOT(ISNUMBER($O57)),NOT(ISNUMBER($T57))),"",$O57-$T57))</f>
        <v/>
      </c>
      <c r="V57" s="13">
        <f>IF(NOT(ISNUMBER($S57)),"",COUNTIFS($G$7:$G$850,$G57,$S$7:$S$850,"&gt;"&amp;$S57)+COUNTIFS($G$7:$G57,$G57,$S$7:$S57,$S57))</f>
        <v/>
      </c>
      <c r="W57" s="13">
        <f>IF(NOT(ISNUMBER($S57)),"",COUNTIFS($G$7:$G$850,$G57,$S$7:$S$850,"&lt;"&amp;$S57)+COUNTIFS($G$7:$G57,$G57,$S$7:$S57,$S57))</f>
        <v/>
      </c>
      <c r="X57" s="8">
        <f>IF($V57="","",$G57&amp;"|"&amp;$V57)</f>
        <v/>
      </c>
      <c r="Y57" s="8">
        <f>IF($W57="","",$G57&amp;"|"&amp;$W57)</f>
        <v/>
      </c>
    </row>
    <row r="58">
      <c r="A58" s="16" t="inlineStr">
        <is>
          <t>XS2362994068</t>
        </is>
      </c>
      <c r="B58" s="17">
        <f>IF($A58="","",PROPER(_xll.BDP($A58&amp;" Corp","NAME")))</f>
        <v/>
      </c>
      <c r="C58" s="17">
        <f>IF($A58="","",IFERROR(INDEX(Company_desc!$B$2:$B$1144,MATCH($A58,Company_desc!$A$2:$A$1144,0)),IFERROR(INDEX(SYZ_static!$Q$2:$Q$806,MATCH($A58,SYZ_static!$A$2:$A$806,0)),"")))</f>
        <v/>
      </c>
      <c r="D58" s="17">
        <f>IF($A58="","",IFERROR(INDEX(SYZ_static!$B$2:$B$806,MATCH($A58,SYZ_static!$A$2:$A$806,0)),""))</f>
        <v/>
      </c>
      <c r="E58" s="17">
        <f>IF($A58="","",_xll.BDP($A58&amp;" Corp","INDUSTRY_SECTOR"))</f>
        <v/>
      </c>
      <c r="F58" s="17">
        <f>IF($A58="","",PROPER(_xll.BDP($A58&amp;" Corp","COUNTRY_FULL_NAME")))</f>
        <v/>
      </c>
      <c r="G58" s="17">
        <f>IF($A58="","",_xll.BDP($A58&amp;" Corp","CRNCY"))</f>
        <v/>
      </c>
      <c r="H58" s="17">
        <f>IF($A58="","",IFERROR(INDEX(SYZ_static!$T$2:$T$806,MATCH($A58,SYZ_static!$A$2:$A$806,0)),_xll.BDP($A58&amp;" Corp","RTG_SP")))</f>
        <v/>
      </c>
      <c r="I58" s="17">
        <f>IF($A58="","",IFERROR(INDEX(SYZ_static!$S$2:$S$806,MATCH($A58,SYZ_static!$A$2:$A$806,0)),""))</f>
        <v/>
      </c>
      <c r="J58" s="17">
        <f>IF($A58="","",_xll.BDP($A58&amp;" Corp","PAYMENT_RANK"))</f>
        <v/>
      </c>
      <c r="K58" s="18">
        <f>IF($A58="","",_xll.BDP($A58&amp;" Corp","CPN"))</f>
        <v/>
      </c>
      <c r="L58" s="19">
        <f>IF($A58="","",_xll.BDP($A58&amp;" Corp","MATURITY"))</f>
        <v/>
      </c>
      <c r="M58" s="20">
        <f>IF($A58="","",IFERROR(_xll.BDP($A58&amp;" Corp","MIN_PIECE")/1000,""))</f>
        <v/>
      </c>
      <c r="N58" s="21">
        <f>IF($A58="","",_xll.BDP($A58&amp;" Corp","PX_LAST"))</f>
        <v/>
      </c>
      <c r="O58" s="21">
        <f>IF($A58="","",_xll.BDP($A58&amp;" Corp","YAS_BOND_YLD","YAS_YLD_FLAG=15"))</f>
        <v/>
      </c>
      <c r="P58" s="21">
        <f>IF($A58="","",_xll.BDP($A58&amp;" Corp","YAS_MOD_DUR"))</f>
        <v/>
      </c>
      <c r="Q58" s="22">
        <f>IF($A58="","",_xll.BDP($A58&amp;" Corp","YAS_OAS_SPRD"))</f>
        <v/>
      </c>
      <c r="R58" s="22">
        <f>IF($A58="","",_xll.BDP($A58&amp;" Corp","YAS_OAS_SPRD","SETTLE_DT",$B$2))</f>
        <v/>
      </c>
      <c r="S58" s="23">
        <f>IF($A58="","",IF(OR(NOT(ISNUMBER($Q58)),NOT(ISNUMBER($R58))),"",$Q58-$R58))</f>
        <v/>
      </c>
      <c r="T58" s="21">
        <f>IF($A58="","",_xll.BDP($A58&amp;" Corp","YAS_BOND_YLD","YAS_YLD_FLAG=15","SETTLE_DT",$B$2))</f>
        <v/>
      </c>
      <c r="U58" s="24">
        <f>IF($A58="","",IF(OR(NOT(ISNUMBER($O58)),NOT(ISNUMBER($T58))),"",$O58-$T58))</f>
        <v/>
      </c>
      <c r="V58" s="22">
        <f>IF(NOT(ISNUMBER($S58)),"",COUNTIFS($G$7:$G$850,$G58,$S$7:$S$850,"&gt;"&amp;$S58)+COUNTIFS($G$7:$G58,$G58,$S$7:$S58,$S58))</f>
        <v/>
      </c>
      <c r="W58" s="22">
        <f>IF(NOT(ISNUMBER($S58)),"",COUNTIFS($G$7:$G$850,$G58,$S$7:$S$850,"&lt;"&amp;$S58)+COUNTIFS($G$7:$G58,$G58,$S$7:$S58,$S58))</f>
        <v/>
      </c>
      <c r="X58" s="17">
        <f>IF($V58="","",$G58&amp;"|"&amp;$V58)</f>
        <v/>
      </c>
      <c r="Y58" s="17">
        <f>IF($W58="","",$G58&amp;"|"&amp;$W58)</f>
        <v/>
      </c>
    </row>
    <row r="59">
      <c r="A59" s="7" t="inlineStr">
        <is>
          <t>USY6142NAG35</t>
        </is>
      </c>
      <c r="B59" s="8">
        <f>IF($A59="","",PROPER(_xll.BDP($A59&amp;" Corp","NAME")))</f>
        <v/>
      </c>
      <c r="C59" s="8">
        <f>IF($A59="","",IFERROR(INDEX(Company_desc!$B$2:$B$1144,MATCH($A59,Company_desc!$A$2:$A$1144,0)),IFERROR(INDEX(SYZ_static!$Q$2:$Q$806,MATCH($A59,SYZ_static!$A$2:$A$806,0)),"")))</f>
        <v/>
      </c>
      <c r="D59" s="8">
        <f>IF($A59="","",IFERROR(INDEX(SYZ_static!$B$2:$B$806,MATCH($A59,SYZ_static!$A$2:$A$806,0)),""))</f>
        <v/>
      </c>
      <c r="E59" s="8">
        <f>IF($A59="","",_xll.BDP($A59&amp;" Corp","INDUSTRY_SECTOR"))</f>
        <v/>
      </c>
      <c r="F59" s="8">
        <f>IF($A59="","",PROPER(_xll.BDP($A59&amp;" Corp","COUNTRY_FULL_NAME")))</f>
        <v/>
      </c>
      <c r="G59" s="8">
        <f>IF($A59="","",_xll.BDP($A59&amp;" Corp","CRNCY"))</f>
        <v/>
      </c>
      <c r="H59" s="8">
        <f>IF($A59="","",IFERROR(INDEX(SYZ_static!$T$2:$T$806,MATCH($A59,SYZ_static!$A$2:$A$806,0)),_xll.BDP($A59&amp;" Corp","RTG_SP")))</f>
        <v/>
      </c>
      <c r="I59" s="8">
        <f>IF($A59="","",IFERROR(INDEX(SYZ_static!$S$2:$S$806,MATCH($A59,SYZ_static!$A$2:$A$806,0)),""))</f>
        <v/>
      </c>
      <c r="J59" s="8">
        <f>IF($A59="","",_xll.BDP($A59&amp;" Corp","PAYMENT_RANK"))</f>
        <v/>
      </c>
      <c r="K59" s="9">
        <f>IF($A59="","",_xll.BDP($A59&amp;" Corp","CPN"))</f>
        <v/>
      </c>
      <c r="L59" s="10">
        <f>IF($A59="","",_xll.BDP($A59&amp;" Corp","MATURITY"))</f>
        <v/>
      </c>
      <c r="M59" s="11">
        <f>IF($A59="","",IFERROR(_xll.BDP($A59&amp;" Corp","MIN_PIECE")/1000,""))</f>
        <v/>
      </c>
      <c r="N59" s="12">
        <f>IF($A59="","",_xll.BDP($A59&amp;" Corp","PX_LAST"))</f>
        <v/>
      </c>
      <c r="O59" s="12">
        <f>IF($A59="","",_xll.BDP($A59&amp;" Corp","YAS_BOND_YLD","YAS_YLD_FLAG=15"))</f>
        <v/>
      </c>
      <c r="P59" s="12">
        <f>IF($A59="","",_xll.BDP($A59&amp;" Corp","YAS_MOD_DUR"))</f>
        <v/>
      </c>
      <c r="Q59" s="13">
        <f>IF($A59="","",_xll.BDP($A59&amp;" Corp","YAS_OAS_SPRD"))</f>
        <v/>
      </c>
      <c r="R59" s="13">
        <f>IF($A59="","",_xll.BDP($A59&amp;" Corp","YAS_OAS_SPRD","SETTLE_DT",$B$2))</f>
        <v/>
      </c>
      <c r="S59" s="14">
        <f>IF($A59="","",IF(OR(NOT(ISNUMBER($Q59)),NOT(ISNUMBER($R59))),"",$Q59-$R59))</f>
        <v/>
      </c>
      <c r="T59" s="12">
        <f>IF($A59="","",_xll.BDP($A59&amp;" Corp","YAS_BOND_YLD","YAS_YLD_FLAG=15","SETTLE_DT",$B$2))</f>
        <v/>
      </c>
      <c r="U59" s="15">
        <f>IF($A59="","",IF(OR(NOT(ISNUMBER($O59)),NOT(ISNUMBER($T59))),"",$O59-$T59))</f>
        <v/>
      </c>
      <c r="V59" s="13">
        <f>IF(NOT(ISNUMBER($S59)),"",COUNTIFS($G$7:$G$850,$G59,$S$7:$S$850,"&gt;"&amp;$S59)+COUNTIFS($G$7:$G59,$G59,$S$7:$S59,$S59))</f>
        <v/>
      </c>
      <c r="W59" s="13">
        <f>IF(NOT(ISNUMBER($S59)),"",COUNTIFS($G$7:$G$850,$G59,$S$7:$S$850,"&lt;"&amp;$S59)+COUNTIFS($G$7:$G59,$G59,$S$7:$S59,$S59))</f>
        <v/>
      </c>
      <c r="X59" s="8">
        <f>IF($V59="","",$G59&amp;"|"&amp;$V59)</f>
        <v/>
      </c>
      <c r="Y59" s="8">
        <f>IF($W59="","",$G59&amp;"|"&amp;$W59)</f>
        <v/>
      </c>
    </row>
    <row r="60">
      <c r="A60" s="16" t="inlineStr">
        <is>
          <t>USP47777AB69</t>
        </is>
      </c>
      <c r="B60" s="17">
        <f>IF($A60="","",PROPER(_xll.BDP($A60&amp;" Corp","NAME")))</f>
        <v/>
      </c>
      <c r="C60" s="17">
        <f>IF($A60="","",IFERROR(INDEX(Company_desc!$B$2:$B$1144,MATCH($A60,Company_desc!$A$2:$A$1144,0)),IFERROR(INDEX(SYZ_static!$Q$2:$Q$806,MATCH($A60,SYZ_static!$A$2:$A$806,0)),"")))</f>
        <v/>
      </c>
      <c r="D60" s="17">
        <f>IF($A60="","",IFERROR(INDEX(SYZ_static!$B$2:$B$806,MATCH($A60,SYZ_static!$A$2:$A$806,0)),""))</f>
        <v/>
      </c>
      <c r="E60" s="17">
        <f>IF($A60="","",_xll.BDP($A60&amp;" Corp","INDUSTRY_SECTOR"))</f>
        <v/>
      </c>
      <c r="F60" s="17">
        <f>IF($A60="","",PROPER(_xll.BDP($A60&amp;" Corp","COUNTRY_FULL_NAME")))</f>
        <v/>
      </c>
      <c r="G60" s="17">
        <f>IF($A60="","",_xll.BDP($A60&amp;" Corp","CRNCY"))</f>
        <v/>
      </c>
      <c r="H60" s="17">
        <f>IF($A60="","",IFERROR(INDEX(SYZ_static!$T$2:$T$806,MATCH($A60,SYZ_static!$A$2:$A$806,0)),_xll.BDP($A60&amp;" Corp","RTG_SP")))</f>
        <v/>
      </c>
      <c r="I60" s="17">
        <f>IF($A60="","",IFERROR(INDEX(SYZ_static!$S$2:$S$806,MATCH($A60,SYZ_static!$A$2:$A$806,0)),""))</f>
        <v/>
      </c>
      <c r="J60" s="17">
        <f>IF($A60="","",_xll.BDP($A60&amp;" Corp","PAYMENT_RANK"))</f>
        <v/>
      </c>
      <c r="K60" s="18">
        <f>IF($A60="","",_xll.BDP($A60&amp;" Corp","CPN"))</f>
        <v/>
      </c>
      <c r="L60" s="19">
        <f>IF($A60="","",_xll.BDP($A60&amp;" Corp","MATURITY"))</f>
        <v/>
      </c>
      <c r="M60" s="20">
        <f>IF($A60="","",IFERROR(_xll.BDP($A60&amp;" Corp","MIN_PIECE")/1000,""))</f>
        <v/>
      </c>
      <c r="N60" s="21">
        <f>IF($A60="","",_xll.BDP($A60&amp;" Corp","PX_LAST"))</f>
        <v/>
      </c>
      <c r="O60" s="21">
        <f>IF($A60="","",_xll.BDP($A60&amp;" Corp","YAS_BOND_YLD","YAS_YLD_FLAG=15"))</f>
        <v/>
      </c>
      <c r="P60" s="21">
        <f>IF($A60="","",_xll.BDP($A60&amp;" Corp","YAS_MOD_DUR"))</f>
        <v/>
      </c>
      <c r="Q60" s="22">
        <f>IF($A60="","",_xll.BDP($A60&amp;" Corp","YAS_OAS_SPRD"))</f>
        <v/>
      </c>
      <c r="R60" s="22">
        <f>IF($A60="","",_xll.BDP($A60&amp;" Corp","YAS_OAS_SPRD","SETTLE_DT",$B$2))</f>
        <v/>
      </c>
      <c r="S60" s="23">
        <f>IF($A60="","",IF(OR(NOT(ISNUMBER($Q60)),NOT(ISNUMBER($R60))),"",$Q60-$R60))</f>
        <v/>
      </c>
      <c r="T60" s="21">
        <f>IF($A60="","",_xll.BDP($A60&amp;" Corp","YAS_BOND_YLD","YAS_YLD_FLAG=15","SETTLE_DT",$B$2))</f>
        <v/>
      </c>
      <c r="U60" s="24">
        <f>IF($A60="","",IF(OR(NOT(ISNUMBER($O60)),NOT(ISNUMBER($T60))),"",$O60-$T60))</f>
        <v/>
      </c>
      <c r="V60" s="22">
        <f>IF(NOT(ISNUMBER($S60)),"",COUNTIFS($G$7:$G$850,$G60,$S$7:$S$850,"&gt;"&amp;$S60)+COUNTIFS($G$7:$G60,$G60,$S$7:$S60,$S60))</f>
        <v/>
      </c>
      <c r="W60" s="22">
        <f>IF(NOT(ISNUMBER($S60)),"",COUNTIFS($G$7:$G$850,$G60,$S$7:$S$850,"&lt;"&amp;$S60)+COUNTIFS($G$7:$G60,$G60,$S$7:$S60,$S60))</f>
        <v/>
      </c>
      <c r="X60" s="17">
        <f>IF($V60="","",$G60&amp;"|"&amp;$V60)</f>
        <v/>
      </c>
      <c r="Y60" s="17">
        <f>IF($W60="","",$G60&amp;"|"&amp;$W60)</f>
        <v/>
      </c>
    </row>
    <row r="61">
      <c r="A61" s="7" t="inlineStr">
        <is>
          <t>XS0982711474</t>
        </is>
      </c>
      <c r="B61" s="8">
        <f>IF($A61="","",PROPER(_xll.BDP($A61&amp;" Corp","NAME")))</f>
        <v/>
      </c>
      <c r="C61" s="8">
        <f>IF($A61="","",IFERROR(INDEX(Company_desc!$B$2:$B$1144,MATCH($A61,Company_desc!$A$2:$A$1144,0)),IFERROR(INDEX(SYZ_static!$Q$2:$Q$806,MATCH($A61,SYZ_static!$A$2:$A$806,0)),"")))</f>
        <v/>
      </c>
      <c r="D61" s="8">
        <f>IF($A61="","",IFERROR(INDEX(SYZ_static!$B$2:$B$806,MATCH($A61,SYZ_static!$A$2:$A$806,0)),""))</f>
        <v/>
      </c>
      <c r="E61" s="8">
        <f>IF($A61="","",_xll.BDP($A61&amp;" Corp","INDUSTRY_SECTOR"))</f>
        <v/>
      </c>
      <c r="F61" s="8">
        <f>IF($A61="","",PROPER(_xll.BDP($A61&amp;" Corp","COUNTRY_FULL_NAME")))</f>
        <v/>
      </c>
      <c r="G61" s="8">
        <f>IF($A61="","",_xll.BDP($A61&amp;" Corp","CRNCY"))</f>
        <v/>
      </c>
      <c r="H61" s="8">
        <f>IF($A61="","",IFERROR(INDEX(SYZ_static!$T$2:$T$806,MATCH($A61,SYZ_static!$A$2:$A$806,0)),_xll.BDP($A61&amp;" Corp","RTG_SP")))</f>
        <v/>
      </c>
      <c r="I61" s="8">
        <f>IF($A61="","",IFERROR(INDEX(SYZ_static!$S$2:$S$806,MATCH($A61,SYZ_static!$A$2:$A$806,0)),""))</f>
        <v/>
      </c>
      <c r="J61" s="8">
        <f>IF($A61="","",_xll.BDP($A61&amp;" Corp","PAYMENT_RANK"))</f>
        <v/>
      </c>
      <c r="K61" s="9">
        <f>IF($A61="","",_xll.BDP($A61&amp;" Corp","CPN"))</f>
        <v/>
      </c>
      <c r="L61" s="10">
        <f>IF($A61="","",_xll.BDP($A61&amp;" Corp","MATURITY"))</f>
        <v/>
      </c>
      <c r="M61" s="11">
        <f>IF($A61="","",IFERROR(_xll.BDP($A61&amp;" Corp","MIN_PIECE")/1000,""))</f>
        <v/>
      </c>
      <c r="N61" s="12">
        <f>IF($A61="","",_xll.BDP($A61&amp;" Corp","PX_LAST"))</f>
        <v/>
      </c>
      <c r="O61" s="12">
        <f>IF($A61="","",_xll.BDP($A61&amp;" Corp","YAS_BOND_YLD","YAS_YLD_FLAG=15"))</f>
        <v/>
      </c>
      <c r="P61" s="12">
        <f>IF($A61="","",_xll.BDP($A61&amp;" Corp","YAS_MOD_DUR"))</f>
        <v/>
      </c>
      <c r="Q61" s="13">
        <f>IF($A61="","",_xll.BDP($A61&amp;" Corp","YAS_OAS_SPRD"))</f>
        <v/>
      </c>
      <c r="R61" s="13">
        <f>IF($A61="","",_xll.BDP($A61&amp;" Corp","YAS_OAS_SPRD","SETTLE_DT",$B$2))</f>
        <v/>
      </c>
      <c r="S61" s="14">
        <f>IF($A61="","",IF(OR(NOT(ISNUMBER($Q61)),NOT(ISNUMBER($R61))),"",$Q61-$R61))</f>
        <v/>
      </c>
      <c r="T61" s="12">
        <f>IF($A61="","",_xll.BDP($A61&amp;" Corp","YAS_BOND_YLD","YAS_YLD_FLAG=15","SETTLE_DT",$B$2))</f>
        <v/>
      </c>
      <c r="U61" s="15">
        <f>IF($A61="","",IF(OR(NOT(ISNUMBER($O61)),NOT(ISNUMBER($T61))),"",$O61-$T61))</f>
        <v/>
      </c>
      <c r="V61" s="13">
        <f>IF(NOT(ISNUMBER($S61)),"",COUNTIFS($G$7:$G$850,$G61,$S$7:$S$850,"&gt;"&amp;$S61)+COUNTIFS($G$7:$G61,$G61,$S$7:$S61,$S61))</f>
        <v/>
      </c>
      <c r="W61" s="13">
        <f>IF(NOT(ISNUMBER($S61)),"",COUNTIFS($G$7:$G$850,$G61,$S$7:$S$850,"&lt;"&amp;$S61)+COUNTIFS($G$7:$G61,$G61,$S$7:$S61,$S61))</f>
        <v/>
      </c>
      <c r="X61" s="8">
        <f>IF($V61="","",$G61&amp;"|"&amp;$V61)</f>
        <v/>
      </c>
      <c r="Y61" s="8">
        <f>IF($W61="","",$G61&amp;"|"&amp;$W61)</f>
        <v/>
      </c>
    </row>
    <row r="62">
      <c r="A62" s="16" t="inlineStr">
        <is>
          <t>XS2900445375</t>
        </is>
      </c>
      <c r="B62" s="17">
        <f>IF($A62="","",PROPER(_xll.BDP($A62&amp;" Corp","NAME")))</f>
        <v/>
      </c>
      <c r="C62" s="17">
        <f>IF($A62="","",IFERROR(INDEX(Company_desc!$B$2:$B$1144,MATCH($A62,Company_desc!$A$2:$A$1144,0)),IFERROR(INDEX(SYZ_static!$Q$2:$Q$806,MATCH($A62,SYZ_static!$A$2:$A$806,0)),"")))</f>
        <v/>
      </c>
      <c r="D62" s="17">
        <f>IF($A62="","",IFERROR(INDEX(SYZ_static!$B$2:$B$806,MATCH($A62,SYZ_static!$A$2:$A$806,0)),""))</f>
        <v/>
      </c>
      <c r="E62" s="17">
        <f>IF($A62="","",_xll.BDP($A62&amp;" Corp","INDUSTRY_SECTOR"))</f>
        <v/>
      </c>
      <c r="F62" s="17">
        <f>IF($A62="","",PROPER(_xll.BDP($A62&amp;" Corp","COUNTRY_FULL_NAME")))</f>
        <v/>
      </c>
      <c r="G62" s="17">
        <f>IF($A62="","",_xll.BDP($A62&amp;" Corp","CRNCY"))</f>
        <v/>
      </c>
      <c r="H62" s="17">
        <f>IF($A62="","",IFERROR(INDEX(SYZ_static!$T$2:$T$806,MATCH($A62,SYZ_static!$A$2:$A$806,0)),_xll.BDP($A62&amp;" Corp","RTG_SP")))</f>
        <v/>
      </c>
      <c r="I62" s="17">
        <f>IF($A62="","",IFERROR(INDEX(SYZ_static!$S$2:$S$806,MATCH($A62,SYZ_static!$A$2:$A$806,0)),""))</f>
        <v/>
      </c>
      <c r="J62" s="17">
        <f>IF($A62="","",_xll.BDP($A62&amp;" Corp","PAYMENT_RANK"))</f>
        <v/>
      </c>
      <c r="K62" s="18">
        <f>IF($A62="","",_xll.BDP($A62&amp;" Corp","CPN"))</f>
        <v/>
      </c>
      <c r="L62" s="19">
        <f>IF($A62="","",_xll.BDP($A62&amp;" Corp","MATURITY"))</f>
        <v/>
      </c>
      <c r="M62" s="20">
        <f>IF($A62="","",IFERROR(_xll.BDP($A62&amp;" Corp","MIN_PIECE")/1000,""))</f>
        <v/>
      </c>
      <c r="N62" s="21">
        <f>IF($A62="","",_xll.BDP($A62&amp;" Corp","PX_LAST"))</f>
        <v/>
      </c>
      <c r="O62" s="21">
        <f>IF($A62="","",_xll.BDP($A62&amp;" Corp","YAS_BOND_YLD","YAS_YLD_FLAG=15"))</f>
        <v/>
      </c>
      <c r="P62" s="21">
        <f>IF($A62="","",_xll.BDP($A62&amp;" Corp","YAS_MOD_DUR"))</f>
        <v/>
      </c>
      <c r="Q62" s="22">
        <f>IF($A62="","",_xll.BDP($A62&amp;" Corp","YAS_OAS_SPRD"))</f>
        <v/>
      </c>
      <c r="R62" s="22">
        <f>IF($A62="","",_xll.BDP($A62&amp;" Corp","YAS_OAS_SPRD","SETTLE_DT",$B$2))</f>
        <v/>
      </c>
      <c r="S62" s="23">
        <f>IF($A62="","",IF(OR(NOT(ISNUMBER($Q62)),NOT(ISNUMBER($R62))),"",$Q62-$R62))</f>
        <v/>
      </c>
      <c r="T62" s="21">
        <f>IF($A62="","",_xll.BDP($A62&amp;" Corp","YAS_BOND_YLD","YAS_YLD_FLAG=15","SETTLE_DT",$B$2))</f>
        <v/>
      </c>
      <c r="U62" s="24">
        <f>IF($A62="","",IF(OR(NOT(ISNUMBER($O62)),NOT(ISNUMBER($T62))),"",$O62-$T62))</f>
        <v/>
      </c>
      <c r="V62" s="22">
        <f>IF(NOT(ISNUMBER($S62)),"",COUNTIFS($G$7:$G$850,$G62,$S$7:$S$850,"&gt;"&amp;$S62)+COUNTIFS($G$7:$G62,$G62,$S$7:$S62,$S62))</f>
        <v/>
      </c>
      <c r="W62" s="22">
        <f>IF(NOT(ISNUMBER($S62)),"",COUNTIFS($G$7:$G$850,$G62,$S$7:$S$850,"&lt;"&amp;$S62)+COUNTIFS($G$7:$G62,$G62,$S$7:$S62,$S62))</f>
        <v/>
      </c>
      <c r="X62" s="17">
        <f>IF($V62="","",$G62&amp;"|"&amp;$V62)</f>
        <v/>
      </c>
      <c r="Y62" s="17">
        <f>IF($W62="","",$G62&amp;"|"&amp;$W62)</f>
        <v/>
      </c>
    </row>
    <row r="63">
      <c r="A63" s="7" t="inlineStr">
        <is>
          <t>XS2826815446</t>
        </is>
      </c>
      <c r="B63" s="8">
        <f>IF($A63="","",PROPER(_xll.BDP($A63&amp;" Corp","NAME")))</f>
        <v/>
      </c>
      <c r="C63" s="8">
        <f>IF($A63="","",IFERROR(INDEX(Company_desc!$B$2:$B$1144,MATCH($A63,Company_desc!$A$2:$A$1144,0)),IFERROR(INDEX(SYZ_static!$Q$2:$Q$806,MATCH($A63,SYZ_static!$A$2:$A$806,0)),"")))</f>
        <v/>
      </c>
      <c r="D63" s="8">
        <f>IF($A63="","",IFERROR(INDEX(SYZ_static!$B$2:$B$806,MATCH($A63,SYZ_static!$A$2:$A$806,0)),""))</f>
        <v/>
      </c>
      <c r="E63" s="8">
        <f>IF($A63="","",_xll.BDP($A63&amp;" Corp","INDUSTRY_SECTOR"))</f>
        <v/>
      </c>
      <c r="F63" s="8">
        <f>IF($A63="","",PROPER(_xll.BDP($A63&amp;" Corp","COUNTRY_FULL_NAME")))</f>
        <v/>
      </c>
      <c r="G63" s="8">
        <f>IF($A63="","",_xll.BDP($A63&amp;" Corp","CRNCY"))</f>
        <v/>
      </c>
      <c r="H63" s="8">
        <f>IF($A63="","",IFERROR(INDEX(SYZ_static!$T$2:$T$806,MATCH($A63,SYZ_static!$A$2:$A$806,0)),_xll.BDP($A63&amp;" Corp","RTG_SP")))</f>
        <v/>
      </c>
      <c r="I63" s="8">
        <f>IF($A63="","",IFERROR(INDEX(SYZ_static!$S$2:$S$806,MATCH($A63,SYZ_static!$A$2:$A$806,0)),""))</f>
        <v/>
      </c>
      <c r="J63" s="8">
        <f>IF($A63="","",_xll.BDP($A63&amp;" Corp","PAYMENT_RANK"))</f>
        <v/>
      </c>
      <c r="K63" s="9">
        <f>IF($A63="","",_xll.BDP($A63&amp;" Corp","CPN"))</f>
        <v/>
      </c>
      <c r="L63" s="10">
        <f>IF($A63="","",_xll.BDP($A63&amp;" Corp","MATURITY"))</f>
        <v/>
      </c>
      <c r="M63" s="11">
        <f>IF($A63="","",IFERROR(_xll.BDP($A63&amp;" Corp","MIN_PIECE")/1000,""))</f>
        <v/>
      </c>
      <c r="N63" s="12">
        <f>IF($A63="","",_xll.BDP($A63&amp;" Corp","PX_LAST"))</f>
        <v/>
      </c>
      <c r="O63" s="12">
        <f>IF($A63="","",_xll.BDP($A63&amp;" Corp","YAS_BOND_YLD","YAS_YLD_FLAG=15"))</f>
        <v/>
      </c>
      <c r="P63" s="12">
        <f>IF($A63="","",_xll.BDP($A63&amp;" Corp","YAS_MOD_DUR"))</f>
        <v/>
      </c>
      <c r="Q63" s="13">
        <f>IF($A63="","",_xll.BDP($A63&amp;" Corp","YAS_OAS_SPRD"))</f>
        <v/>
      </c>
      <c r="R63" s="13">
        <f>IF($A63="","",_xll.BDP($A63&amp;" Corp","YAS_OAS_SPRD","SETTLE_DT",$B$2))</f>
        <v/>
      </c>
      <c r="S63" s="14">
        <f>IF($A63="","",IF(OR(NOT(ISNUMBER($Q63)),NOT(ISNUMBER($R63))),"",$Q63-$R63))</f>
        <v/>
      </c>
      <c r="T63" s="12">
        <f>IF($A63="","",_xll.BDP($A63&amp;" Corp","YAS_BOND_YLD","YAS_YLD_FLAG=15","SETTLE_DT",$B$2))</f>
        <v/>
      </c>
      <c r="U63" s="15">
        <f>IF($A63="","",IF(OR(NOT(ISNUMBER($O63)),NOT(ISNUMBER($T63))),"",$O63-$T63))</f>
        <v/>
      </c>
      <c r="V63" s="13">
        <f>IF(NOT(ISNUMBER($S63)),"",COUNTIFS($G$7:$G$850,$G63,$S$7:$S$850,"&gt;"&amp;$S63)+COUNTIFS($G$7:$G63,$G63,$S$7:$S63,$S63))</f>
        <v/>
      </c>
      <c r="W63" s="13">
        <f>IF(NOT(ISNUMBER($S63)),"",COUNTIFS($G$7:$G$850,$G63,$S$7:$S$850,"&lt;"&amp;$S63)+COUNTIFS($G$7:$G63,$G63,$S$7:$S63,$S63))</f>
        <v/>
      </c>
      <c r="X63" s="8">
        <f>IF($V63="","",$G63&amp;"|"&amp;$V63)</f>
        <v/>
      </c>
      <c r="Y63" s="8">
        <f>IF($W63="","",$G63&amp;"|"&amp;$W63)</f>
        <v/>
      </c>
    </row>
    <row r="64">
      <c r="A64" s="16" t="inlineStr">
        <is>
          <t>US71647NAK54</t>
        </is>
      </c>
      <c r="B64" s="17">
        <f>IF($A64="","",PROPER(_xll.BDP($A64&amp;" Corp","NAME")))</f>
        <v/>
      </c>
      <c r="C64" s="17">
        <f>IF($A64="","",IFERROR(INDEX(Company_desc!$B$2:$B$1144,MATCH($A64,Company_desc!$A$2:$A$1144,0)),IFERROR(INDEX(SYZ_static!$Q$2:$Q$806,MATCH($A64,SYZ_static!$A$2:$A$806,0)),"")))</f>
        <v/>
      </c>
      <c r="D64" s="17">
        <f>IF($A64="","",IFERROR(INDEX(SYZ_static!$B$2:$B$806,MATCH($A64,SYZ_static!$A$2:$A$806,0)),""))</f>
        <v/>
      </c>
      <c r="E64" s="17">
        <f>IF($A64="","",_xll.BDP($A64&amp;" Corp","INDUSTRY_SECTOR"))</f>
        <v/>
      </c>
      <c r="F64" s="17">
        <f>IF($A64="","",PROPER(_xll.BDP($A64&amp;" Corp","COUNTRY_FULL_NAME")))</f>
        <v/>
      </c>
      <c r="G64" s="17">
        <f>IF($A64="","",_xll.BDP($A64&amp;" Corp","CRNCY"))</f>
        <v/>
      </c>
      <c r="H64" s="17">
        <f>IF($A64="","",IFERROR(INDEX(SYZ_static!$T$2:$T$806,MATCH($A64,SYZ_static!$A$2:$A$806,0)),_xll.BDP($A64&amp;" Corp","RTG_SP")))</f>
        <v/>
      </c>
      <c r="I64" s="17">
        <f>IF($A64="","",IFERROR(INDEX(SYZ_static!$S$2:$S$806,MATCH($A64,SYZ_static!$A$2:$A$806,0)),""))</f>
        <v/>
      </c>
      <c r="J64" s="17">
        <f>IF($A64="","",_xll.BDP($A64&amp;" Corp","PAYMENT_RANK"))</f>
        <v/>
      </c>
      <c r="K64" s="18">
        <f>IF($A64="","",_xll.BDP($A64&amp;" Corp","CPN"))</f>
        <v/>
      </c>
      <c r="L64" s="19">
        <f>IF($A64="","",_xll.BDP($A64&amp;" Corp","MATURITY"))</f>
        <v/>
      </c>
      <c r="M64" s="20">
        <f>IF($A64="","",IFERROR(_xll.BDP($A64&amp;" Corp","MIN_PIECE")/1000,""))</f>
        <v/>
      </c>
      <c r="N64" s="21">
        <f>IF($A64="","",_xll.BDP($A64&amp;" Corp","PX_LAST"))</f>
        <v/>
      </c>
      <c r="O64" s="21">
        <f>IF($A64="","",_xll.BDP($A64&amp;" Corp","YAS_BOND_YLD","YAS_YLD_FLAG=15"))</f>
        <v/>
      </c>
      <c r="P64" s="21">
        <f>IF($A64="","",_xll.BDP($A64&amp;" Corp","YAS_MOD_DUR"))</f>
        <v/>
      </c>
      <c r="Q64" s="22">
        <f>IF($A64="","",_xll.BDP($A64&amp;" Corp","YAS_OAS_SPRD"))</f>
        <v/>
      </c>
      <c r="R64" s="22">
        <f>IF($A64="","",_xll.BDP($A64&amp;" Corp","YAS_OAS_SPRD","SETTLE_DT",$B$2))</f>
        <v/>
      </c>
      <c r="S64" s="23">
        <f>IF($A64="","",IF(OR(NOT(ISNUMBER($Q64)),NOT(ISNUMBER($R64))),"",$Q64-$R64))</f>
        <v/>
      </c>
      <c r="T64" s="21">
        <f>IF($A64="","",_xll.BDP($A64&amp;" Corp","YAS_BOND_YLD","YAS_YLD_FLAG=15","SETTLE_DT",$B$2))</f>
        <v/>
      </c>
      <c r="U64" s="24">
        <f>IF($A64="","",IF(OR(NOT(ISNUMBER($O64)),NOT(ISNUMBER($T64))),"",$O64-$T64))</f>
        <v/>
      </c>
      <c r="V64" s="22">
        <f>IF(NOT(ISNUMBER($S64)),"",COUNTIFS($G$7:$G$850,$G64,$S$7:$S$850,"&gt;"&amp;$S64)+COUNTIFS($G$7:$G64,$G64,$S$7:$S64,$S64))</f>
        <v/>
      </c>
      <c r="W64" s="22">
        <f>IF(NOT(ISNUMBER($S64)),"",COUNTIFS($G$7:$G$850,$G64,$S$7:$S$850,"&lt;"&amp;$S64)+COUNTIFS($G$7:$G64,$G64,$S$7:$S64,$S64))</f>
        <v/>
      </c>
      <c r="X64" s="17">
        <f>IF($V64="","",$G64&amp;"|"&amp;$V64)</f>
        <v/>
      </c>
      <c r="Y64" s="17">
        <f>IF($W64="","",$G64&amp;"|"&amp;$W64)</f>
        <v/>
      </c>
    </row>
    <row r="65">
      <c r="A65" s="7" t="inlineStr">
        <is>
          <t>FR001400PAJ8</t>
        </is>
      </c>
      <c r="B65" s="8">
        <f>IF($A65="","",PROPER(_xll.BDP($A65&amp;" Corp","NAME")))</f>
        <v/>
      </c>
      <c r="C65" s="8">
        <f>IF($A65="","",IFERROR(INDEX(Company_desc!$B$2:$B$1144,MATCH($A65,Company_desc!$A$2:$A$1144,0)),IFERROR(INDEX(SYZ_static!$Q$2:$Q$806,MATCH($A65,SYZ_static!$A$2:$A$806,0)),"")))</f>
        <v/>
      </c>
      <c r="D65" s="8">
        <f>IF($A65="","",IFERROR(INDEX(SYZ_static!$B$2:$B$806,MATCH($A65,SYZ_static!$A$2:$A$806,0)),""))</f>
        <v/>
      </c>
      <c r="E65" s="8">
        <f>IF($A65="","",_xll.BDP($A65&amp;" Corp","INDUSTRY_SECTOR"))</f>
        <v/>
      </c>
      <c r="F65" s="8">
        <f>IF($A65="","",PROPER(_xll.BDP($A65&amp;" Corp","COUNTRY_FULL_NAME")))</f>
        <v/>
      </c>
      <c r="G65" s="8">
        <f>IF($A65="","",_xll.BDP($A65&amp;" Corp","CRNCY"))</f>
        <v/>
      </c>
      <c r="H65" s="8">
        <f>IF($A65="","",IFERROR(INDEX(SYZ_static!$T$2:$T$806,MATCH($A65,SYZ_static!$A$2:$A$806,0)),_xll.BDP($A65&amp;" Corp","RTG_SP")))</f>
        <v/>
      </c>
      <c r="I65" s="8">
        <f>IF($A65="","",IFERROR(INDEX(SYZ_static!$S$2:$S$806,MATCH($A65,SYZ_static!$A$2:$A$806,0)),""))</f>
        <v/>
      </c>
      <c r="J65" s="8">
        <f>IF($A65="","",_xll.BDP($A65&amp;" Corp","PAYMENT_RANK"))</f>
        <v/>
      </c>
      <c r="K65" s="9">
        <f>IF($A65="","",_xll.BDP($A65&amp;" Corp","CPN"))</f>
        <v/>
      </c>
      <c r="L65" s="10">
        <f>IF($A65="","",_xll.BDP($A65&amp;" Corp","MATURITY"))</f>
        <v/>
      </c>
      <c r="M65" s="11">
        <f>IF($A65="","",IFERROR(_xll.BDP($A65&amp;" Corp","MIN_PIECE")/1000,""))</f>
        <v/>
      </c>
      <c r="N65" s="12">
        <f>IF($A65="","",_xll.BDP($A65&amp;" Corp","PX_LAST"))</f>
        <v/>
      </c>
      <c r="O65" s="12">
        <f>IF($A65="","",_xll.BDP($A65&amp;" Corp","YAS_BOND_YLD","YAS_YLD_FLAG=15"))</f>
        <v/>
      </c>
      <c r="P65" s="12">
        <f>IF($A65="","",_xll.BDP($A65&amp;" Corp","YAS_MOD_DUR"))</f>
        <v/>
      </c>
      <c r="Q65" s="13">
        <f>IF($A65="","",_xll.BDP($A65&amp;" Corp","YAS_OAS_SPRD"))</f>
        <v/>
      </c>
      <c r="R65" s="13">
        <f>IF($A65="","",_xll.BDP($A65&amp;" Corp","YAS_OAS_SPRD","SETTLE_DT",$B$2))</f>
        <v/>
      </c>
      <c r="S65" s="14">
        <f>IF($A65="","",IF(OR(NOT(ISNUMBER($Q65)),NOT(ISNUMBER($R65))),"",$Q65-$R65))</f>
        <v/>
      </c>
      <c r="T65" s="12">
        <f>IF($A65="","",_xll.BDP($A65&amp;" Corp","YAS_BOND_YLD","YAS_YLD_FLAG=15","SETTLE_DT",$B$2))</f>
        <v/>
      </c>
      <c r="U65" s="15">
        <f>IF($A65="","",IF(OR(NOT(ISNUMBER($O65)),NOT(ISNUMBER($T65))),"",$O65-$T65))</f>
        <v/>
      </c>
      <c r="V65" s="13">
        <f>IF(NOT(ISNUMBER($S65)),"",COUNTIFS($G$7:$G$850,$G65,$S$7:$S$850,"&gt;"&amp;$S65)+COUNTIFS($G$7:$G65,$G65,$S$7:$S65,$S65))</f>
        <v/>
      </c>
      <c r="W65" s="13">
        <f>IF(NOT(ISNUMBER($S65)),"",COUNTIFS($G$7:$G$850,$G65,$S$7:$S$850,"&lt;"&amp;$S65)+COUNTIFS($G$7:$G65,$G65,$S$7:$S65,$S65))</f>
        <v/>
      </c>
      <c r="X65" s="8">
        <f>IF($V65="","",$G65&amp;"|"&amp;$V65)</f>
        <v/>
      </c>
      <c r="Y65" s="8">
        <f>IF($W65="","",$G65&amp;"|"&amp;$W65)</f>
        <v/>
      </c>
    </row>
    <row r="66">
      <c r="A66" s="16" t="inlineStr">
        <is>
          <t>US71645WAS08</t>
        </is>
      </c>
      <c r="B66" s="17">
        <f>IF($A66="","",PROPER(_xll.BDP($A66&amp;" Corp","NAME")))</f>
        <v/>
      </c>
      <c r="C66" s="17">
        <f>IF($A66="","",IFERROR(INDEX(Company_desc!$B$2:$B$1144,MATCH($A66,Company_desc!$A$2:$A$1144,0)),IFERROR(INDEX(SYZ_static!$Q$2:$Q$806,MATCH($A66,SYZ_static!$A$2:$A$806,0)),"")))</f>
        <v/>
      </c>
      <c r="D66" s="17">
        <f>IF($A66="","",IFERROR(INDEX(SYZ_static!$B$2:$B$806,MATCH($A66,SYZ_static!$A$2:$A$806,0)),""))</f>
        <v/>
      </c>
      <c r="E66" s="17">
        <f>IF($A66="","",_xll.BDP($A66&amp;" Corp","INDUSTRY_SECTOR"))</f>
        <v/>
      </c>
      <c r="F66" s="17">
        <f>IF($A66="","",PROPER(_xll.BDP($A66&amp;" Corp","COUNTRY_FULL_NAME")))</f>
        <v/>
      </c>
      <c r="G66" s="17">
        <f>IF($A66="","",_xll.BDP($A66&amp;" Corp","CRNCY"))</f>
        <v/>
      </c>
      <c r="H66" s="17">
        <f>IF($A66="","",IFERROR(INDEX(SYZ_static!$T$2:$T$806,MATCH($A66,SYZ_static!$A$2:$A$806,0)),_xll.BDP($A66&amp;" Corp","RTG_SP")))</f>
        <v/>
      </c>
      <c r="I66" s="17">
        <f>IF($A66="","",IFERROR(INDEX(SYZ_static!$S$2:$S$806,MATCH($A66,SYZ_static!$A$2:$A$806,0)),""))</f>
        <v/>
      </c>
      <c r="J66" s="17">
        <f>IF($A66="","",_xll.BDP($A66&amp;" Corp","PAYMENT_RANK"))</f>
        <v/>
      </c>
      <c r="K66" s="18">
        <f>IF($A66="","",_xll.BDP($A66&amp;" Corp","CPN"))</f>
        <v/>
      </c>
      <c r="L66" s="19">
        <f>IF($A66="","",_xll.BDP($A66&amp;" Corp","MATURITY"))</f>
        <v/>
      </c>
      <c r="M66" s="20">
        <f>IF($A66="","",IFERROR(_xll.BDP($A66&amp;" Corp","MIN_PIECE")/1000,""))</f>
        <v/>
      </c>
      <c r="N66" s="21">
        <f>IF($A66="","",_xll.BDP($A66&amp;" Corp","PX_LAST"))</f>
        <v/>
      </c>
      <c r="O66" s="21">
        <f>IF($A66="","",_xll.BDP($A66&amp;" Corp","YAS_BOND_YLD","YAS_YLD_FLAG=15"))</f>
        <v/>
      </c>
      <c r="P66" s="21">
        <f>IF($A66="","",_xll.BDP($A66&amp;" Corp","YAS_MOD_DUR"))</f>
        <v/>
      </c>
      <c r="Q66" s="22">
        <f>IF($A66="","",_xll.BDP($A66&amp;" Corp","YAS_OAS_SPRD"))</f>
        <v/>
      </c>
      <c r="R66" s="22">
        <f>IF($A66="","",_xll.BDP($A66&amp;" Corp","YAS_OAS_SPRD","SETTLE_DT",$B$2))</f>
        <v/>
      </c>
      <c r="S66" s="23">
        <f>IF($A66="","",IF(OR(NOT(ISNUMBER($Q66)),NOT(ISNUMBER($R66))),"",$Q66-$R66))</f>
        <v/>
      </c>
      <c r="T66" s="21">
        <f>IF($A66="","",_xll.BDP($A66&amp;" Corp","YAS_BOND_YLD","YAS_YLD_FLAG=15","SETTLE_DT",$B$2))</f>
        <v/>
      </c>
      <c r="U66" s="24">
        <f>IF($A66="","",IF(OR(NOT(ISNUMBER($O66)),NOT(ISNUMBER($T66))),"",$O66-$T66))</f>
        <v/>
      </c>
      <c r="V66" s="22">
        <f>IF(NOT(ISNUMBER($S66)),"",COUNTIFS($G$7:$G$850,$G66,$S$7:$S$850,"&gt;"&amp;$S66)+COUNTIFS($G$7:$G66,$G66,$S$7:$S66,$S66))</f>
        <v/>
      </c>
      <c r="W66" s="22">
        <f>IF(NOT(ISNUMBER($S66)),"",COUNTIFS($G$7:$G$850,$G66,$S$7:$S$850,"&lt;"&amp;$S66)+COUNTIFS($G$7:$G66,$G66,$S$7:$S66,$S66))</f>
        <v/>
      </c>
      <c r="X66" s="17">
        <f>IF($V66="","",$G66&amp;"|"&amp;$V66)</f>
        <v/>
      </c>
      <c r="Y66" s="17">
        <f>IF($W66="","",$G66&amp;"|"&amp;$W66)</f>
        <v/>
      </c>
    </row>
    <row r="67">
      <c r="A67" s="7" t="inlineStr">
        <is>
          <t>US71645WAQ42</t>
        </is>
      </c>
      <c r="B67" s="8">
        <f>IF($A67="","",PROPER(_xll.BDP($A67&amp;" Corp","NAME")))</f>
        <v/>
      </c>
      <c r="C67" s="8">
        <f>IF($A67="","",IFERROR(INDEX(Company_desc!$B$2:$B$1144,MATCH($A67,Company_desc!$A$2:$A$1144,0)),IFERROR(INDEX(SYZ_static!$Q$2:$Q$806,MATCH($A67,SYZ_static!$A$2:$A$806,0)),"")))</f>
        <v/>
      </c>
      <c r="D67" s="8">
        <f>IF($A67="","",IFERROR(INDEX(SYZ_static!$B$2:$B$806,MATCH($A67,SYZ_static!$A$2:$A$806,0)),""))</f>
        <v/>
      </c>
      <c r="E67" s="8">
        <f>IF($A67="","",_xll.BDP($A67&amp;" Corp","INDUSTRY_SECTOR"))</f>
        <v/>
      </c>
      <c r="F67" s="8">
        <f>IF($A67="","",PROPER(_xll.BDP($A67&amp;" Corp","COUNTRY_FULL_NAME")))</f>
        <v/>
      </c>
      <c r="G67" s="8">
        <f>IF($A67="","",_xll.BDP($A67&amp;" Corp","CRNCY"))</f>
        <v/>
      </c>
      <c r="H67" s="8">
        <f>IF($A67="","",IFERROR(INDEX(SYZ_static!$T$2:$T$806,MATCH($A67,SYZ_static!$A$2:$A$806,0)),_xll.BDP($A67&amp;" Corp","RTG_SP")))</f>
        <v/>
      </c>
      <c r="I67" s="8">
        <f>IF($A67="","",IFERROR(INDEX(SYZ_static!$S$2:$S$806,MATCH($A67,SYZ_static!$A$2:$A$806,0)),""))</f>
        <v/>
      </c>
      <c r="J67" s="8">
        <f>IF($A67="","",_xll.BDP($A67&amp;" Corp","PAYMENT_RANK"))</f>
        <v/>
      </c>
      <c r="K67" s="9">
        <f>IF($A67="","",_xll.BDP($A67&amp;" Corp","CPN"))</f>
        <v/>
      </c>
      <c r="L67" s="10">
        <f>IF($A67="","",_xll.BDP($A67&amp;" Corp","MATURITY"))</f>
        <v/>
      </c>
      <c r="M67" s="11">
        <f>IF($A67="","",IFERROR(_xll.BDP($A67&amp;" Corp","MIN_PIECE")/1000,""))</f>
        <v/>
      </c>
      <c r="N67" s="12">
        <f>IF($A67="","",_xll.BDP($A67&amp;" Corp","PX_LAST"))</f>
        <v/>
      </c>
      <c r="O67" s="12">
        <f>IF($A67="","",_xll.BDP($A67&amp;" Corp","YAS_BOND_YLD","YAS_YLD_FLAG=15"))</f>
        <v/>
      </c>
      <c r="P67" s="12">
        <f>IF($A67="","",_xll.BDP($A67&amp;" Corp","YAS_MOD_DUR"))</f>
        <v/>
      </c>
      <c r="Q67" s="13">
        <f>IF($A67="","",_xll.BDP($A67&amp;" Corp","YAS_OAS_SPRD"))</f>
        <v/>
      </c>
      <c r="R67" s="13">
        <f>IF($A67="","",_xll.BDP($A67&amp;" Corp","YAS_OAS_SPRD","SETTLE_DT",$B$2))</f>
        <v/>
      </c>
      <c r="S67" s="14">
        <f>IF($A67="","",IF(OR(NOT(ISNUMBER($Q67)),NOT(ISNUMBER($R67))),"",$Q67-$R67))</f>
        <v/>
      </c>
      <c r="T67" s="12">
        <f>IF($A67="","",_xll.BDP($A67&amp;" Corp","YAS_BOND_YLD","YAS_YLD_FLAG=15","SETTLE_DT",$B$2))</f>
        <v/>
      </c>
      <c r="U67" s="15">
        <f>IF($A67="","",IF(OR(NOT(ISNUMBER($O67)),NOT(ISNUMBER($T67))),"",$O67-$T67))</f>
        <v/>
      </c>
      <c r="V67" s="13">
        <f>IF(NOT(ISNUMBER($S67)),"",COUNTIFS($G$7:$G$850,$G67,$S$7:$S$850,"&gt;"&amp;$S67)+COUNTIFS($G$7:$G67,$G67,$S$7:$S67,$S67))</f>
        <v/>
      </c>
      <c r="W67" s="13">
        <f>IF(NOT(ISNUMBER($S67)),"",COUNTIFS($G$7:$G$850,$G67,$S$7:$S$850,"&lt;"&amp;$S67)+COUNTIFS($G$7:$G67,$G67,$S$7:$S67,$S67))</f>
        <v/>
      </c>
      <c r="X67" s="8">
        <f>IF($V67="","",$G67&amp;"|"&amp;$V67)</f>
        <v/>
      </c>
      <c r="Y67" s="8">
        <f>IF($W67="","",$G67&amp;"|"&amp;$W67)</f>
        <v/>
      </c>
    </row>
    <row r="68">
      <c r="A68" s="16" t="inlineStr">
        <is>
          <t>USY00130RP42</t>
        </is>
      </c>
      <c r="B68" s="17">
        <f>IF($A68="","",PROPER(_xll.BDP($A68&amp;" Corp","NAME")))</f>
        <v/>
      </c>
      <c r="C68" s="17">
        <f>IF($A68="","",IFERROR(INDEX(Company_desc!$B$2:$B$1144,MATCH($A68,Company_desc!$A$2:$A$1144,0)),IFERROR(INDEX(SYZ_static!$Q$2:$Q$806,MATCH($A68,SYZ_static!$A$2:$A$806,0)),"")))</f>
        <v/>
      </c>
      <c r="D68" s="17">
        <f>IF($A68="","",IFERROR(INDEX(SYZ_static!$B$2:$B$806,MATCH($A68,SYZ_static!$A$2:$A$806,0)),""))</f>
        <v/>
      </c>
      <c r="E68" s="17">
        <f>IF($A68="","",_xll.BDP($A68&amp;" Corp","INDUSTRY_SECTOR"))</f>
        <v/>
      </c>
      <c r="F68" s="17">
        <f>IF($A68="","",PROPER(_xll.BDP($A68&amp;" Corp","COUNTRY_FULL_NAME")))</f>
        <v/>
      </c>
      <c r="G68" s="17">
        <f>IF($A68="","",_xll.BDP($A68&amp;" Corp","CRNCY"))</f>
        <v/>
      </c>
      <c r="H68" s="17">
        <f>IF($A68="","",IFERROR(INDEX(SYZ_static!$T$2:$T$806,MATCH($A68,SYZ_static!$A$2:$A$806,0)),_xll.BDP($A68&amp;" Corp","RTG_SP")))</f>
        <v/>
      </c>
      <c r="I68" s="17">
        <f>IF($A68="","",IFERROR(INDEX(SYZ_static!$S$2:$S$806,MATCH($A68,SYZ_static!$A$2:$A$806,0)),""))</f>
        <v/>
      </c>
      <c r="J68" s="17">
        <f>IF($A68="","",_xll.BDP($A68&amp;" Corp","PAYMENT_RANK"))</f>
        <v/>
      </c>
      <c r="K68" s="18">
        <f>IF($A68="","",_xll.BDP($A68&amp;" Corp","CPN"))</f>
        <v/>
      </c>
      <c r="L68" s="19">
        <f>IF($A68="","",_xll.BDP($A68&amp;" Corp","MATURITY"))</f>
        <v/>
      </c>
      <c r="M68" s="20">
        <f>IF($A68="","",IFERROR(_xll.BDP($A68&amp;" Corp","MIN_PIECE")/1000,""))</f>
        <v/>
      </c>
      <c r="N68" s="21">
        <f>IF($A68="","",_xll.BDP($A68&amp;" Corp","PX_LAST"))</f>
        <v/>
      </c>
      <c r="O68" s="21">
        <f>IF($A68="","",_xll.BDP($A68&amp;" Corp","YAS_BOND_YLD","YAS_YLD_FLAG=15"))</f>
        <v/>
      </c>
      <c r="P68" s="21">
        <f>IF($A68="","",_xll.BDP($A68&amp;" Corp","YAS_MOD_DUR"))</f>
        <v/>
      </c>
      <c r="Q68" s="22">
        <f>IF($A68="","",_xll.BDP($A68&amp;" Corp","YAS_OAS_SPRD"))</f>
        <v/>
      </c>
      <c r="R68" s="22">
        <f>IF($A68="","",_xll.BDP($A68&amp;" Corp","YAS_OAS_SPRD","SETTLE_DT",$B$2))</f>
        <v/>
      </c>
      <c r="S68" s="23">
        <f>IF($A68="","",IF(OR(NOT(ISNUMBER($Q68)),NOT(ISNUMBER($R68))),"",$Q68-$R68))</f>
        <v/>
      </c>
      <c r="T68" s="21">
        <f>IF($A68="","",_xll.BDP($A68&amp;" Corp","YAS_BOND_YLD","YAS_YLD_FLAG=15","SETTLE_DT",$B$2))</f>
        <v/>
      </c>
      <c r="U68" s="24">
        <f>IF($A68="","",IF(OR(NOT(ISNUMBER($O68)),NOT(ISNUMBER($T68))),"",$O68-$T68))</f>
        <v/>
      </c>
      <c r="V68" s="22">
        <f>IF(NOT(ISNUMBER($S68)),"",COUNTIFS($G$7:$G$850,$G68,$S$7:$S$850,"&gt;"&amp;$S68)+COUNTIFS($G$7:$G68,$G68,$S$7:$S68,$S68))</f>
        <v/>
      </c>
      <c r="W68" s="22">
        <f>IF(NOT(ISNUMBER($S68)),"",COUNTIFS($G$7:$G$850,$G68,$S$7:$S$850,"&lt;"&amp;$S68)+COUNTIFS($G$7:$G68,$G68,$S$7:$S68,$S68))</f>
        <v/>
      </c>
      <c r="X68" s="17">
        <f>IF($V68="","",$G68&amp;"|"&amp;$V68)</f>
        <v/>
      </c>
      <c r="Y68" s="17">
        <f>IF($W68="","",$G68&amp;"|"&amp;$W68)</f>
        <v/>
      </c>
    </row>
    <row r="69">
      <c r="A69" s="7" t="inlineStr">
        <is>
          <t>XS1793255198</t>
        </is>
      </c>
      <c r="B69" s="8">
        <f>IF($A69="","",PROPER(_xll.BDP($A69&amp;" Corp","NAME")))</f>
        <v/>
      </c>
      <c r="C69" s="8">
        <f>IF($A69="","",IFERROR(INDEX(Company_desc!$B$2:$B$1144,MATCH($A69,Company_desc!$A$2:$A$1144,0)),IFERROR(INDEX(SYZ_static!$Q$2:$Q$806,MATCH($A69,SYZ_static!$A$2:$A$806,0)),"")))</f>
        <v/>
      </c>
      <c r="D69" s="8">
        <f>IF($A69="","",IFERROR(INDEX(SYZ_static!$B$2:$B$806,MATCH($A69,SYZ_static!$A$2:$A$806,0)),""))</f>
        <v/>
      </c>
      <c r="E69" s="8">
        <f>IF($A69="","",_xll.BDP($A69&amp;" Corp","INDUSTRY_SECTOR"))</f>
        <v/>
      </c>
      <c r="F69" s="8">
        <f>IF($A69="","",PROPER(_xll.BDP($A69&amp;" Corp","COUNTRY_FULL_NAME")))</f>
        <v/>
      </c>
      <c r="G69" s="8">
        <f>IF($A69="","",_xll.BDP($A69&amp;" Corp","CRNCY"))</f>
        <v/>
      </c>
      <c r="H69" s="8">
        <f>IF($A69="","",IFERROR(INDEX(SYZ_static!$T$2:$T$806,MATCH($A69,SYZ_static!$A$2:$A$806,0)),_xll.BDP($A69&amp;" Corp","RTG_SP")))</f>
        <v/>
      </c>
      <c r="I69" s="8">
        <f>IF($A69="","",IFERROR(INDEX(SYZ_static!$S$2:$S$806,MATCH($A69,SYZ_static!$A$2:$A$806,0)),""))</f>
        <v/>
      </c>
      <c r="J69" s="8">
        <f>IF($A69="","",_xll.BDP($A69&amp;" Corp","PAYMENT_RANK"))</f>
        <v/>
      </c>
      <c r="K69" s="9">
        <f>IF($A69="","",_xll.BDP($A69&amp;" Corp","CPN"))</f>
        <v/>
      </c>
      <c r="L69" s="10">
        <f>IF($A69="","",_xll.BDP($A69&amp;" Corp","MATURITY"))</f>
        <v/>
      </c>
      <c r="M69" s="11">
        <f>IF($A69="","",IFERROR(_xll.BDP($A69&amp;" Corp","MIN_PIECE")/1000,""))</f>
        <v/>
      </c>
      <c r="N69" s="12">
        <f>IF($A69="","",_xll.BDP($A69&amp;" Corp","PX_LAST"))</f>
        <v/>
      </c>
      <c r="O69" s="12">
        <f>IF($A69="","",_xll.BDP($A69&amp;" Corp","YAS_BOND_YLD","YAS_YLD_FLAG=15"))</f>
        <v/>
      </c>
      <c r="P69" s="12">
        <f>IF($A69="","",_xll.BDP($A69&amp;" Corp","YAS_MOD_DUR"))</f>
        <v/>
      </c>
      <c r="Q69" s="13">
        <f>IF($A69="","",_xll.BDP($A69&amp;" Corp","YAS_OAS_SPRD"))</f>
        <v/>
      </c>
      <c r="R69" s="13">
        <f>IF($A69="","",_xll.BDP($A69&amp;" Corp","YAS_OAS_SPRD","SETTLE_DT",$B$2))</f>
        <v/>
      </c>
      <c r="S69" s="14">
        <f>IF($A69="","",IF(OR(NOT(ISNUMBER($Q69)),NOT(ISNUMBER($R69))),"",$Q69-$R69))</f>
        <v/>
      </c>
      <c r="T69" s="12">
        <f>IF($A69="","",_xll.BDP($A69&amp;" Corp","YAS_BOND_YLD","YAS_YLD_FLAG=15","SETTLE_DT",$B$2))</f>
        <v/>
      </c>
      <c r="U69" s="15">
        <f>IF($A69="","",IF(OR(NOT(ISNUMBER($O69)),NOT(ISNUMBER($T69))),"",$O69-$T69))</f>
        <v/>
      </c>
      <c r="V69" s="13">
        <f>IF(NOT(ISNUMBER($S69)),"",COUNTIFS($G$7:$G$850,$G69,$S$7:$S$850,"&gt;"&amp;$S69)+COUNTIFS($G$7:$G69,$G69,$S$7:$S69,$S69))</f>
        <v/>
      </c>
      <c r="W69" s="13">
        <f>IF(NOT(ISNUMBER($S69)),"",COUNTIFS($G$7:$G$850,$G69,$S$7:$S$850,"&lt;"&amp;$S69)+COUNTIFS($G$7:$G69,$G69,$S$7:$S69,$S69))</f>
        <v/>
      </c>
      <c r="X69" s="8">
        <f>IF($V69="","",$G69&amp;"|"&amp;$V69)</f>
        <v/>
      </c>
      <c r="Y69" s="8">
        <f>IF($W69="","",$G69&amp;"|"&amp;$W69)</f>
        <v/>
      </c>
    </row>
    <row r="70">
      <c r="A70" s="16" t="inlineStr">
        <is>
          <t>XS2756521303</t>
        </is>
      </c>
      <c r="B70" s="17">
        <f>IF($A70="","",PROPER(_xll.BDP($A70&amp;" Corp","NAME")))</f>
        <v/>
      </c>
      <c r="C70" s="17">
        <f>IF($A70="","",IFERROR(INDEX(Company_desc!$B$2:$B$1144,MATCH($A70,Company_desc!$A$2:$A$1144,0)),IFERROR(INDEX(SYZ_static!$Q$2:$Q$806,MATCH($A70,SYZ_static!$A$2:$A$806,0)),"")))</f>
        <v/>
      </c>
      <c r="D70" s="17">
        <f>IF($A70="","",IFERROR(INDEX(SYZ_static!$B$2:$B$806,MATCH($A70,SYZ_static!$A$2:$A$806,0)),""))</f>
        <v/>
      </c>
      <c r="E70" s="17">
        <f>IF($A70="","",_xll.BDP($A70&amp;" Corp","INDUSTRY_SECTOR"))</f>
        <v/>
      </c>
      <c r="F70" s="17">
        <f>IF($A70="","",PROPER(_xll.BDP($A70&amp;" Corp","COUNTRY_FULL_NAME")))</f>
        <v/>
      </c>
      <c r="G70" s="17">
        <f>IF($A70="","",_xll.BDP($A70&amp;" Corp","CRNCY"))</f>
        <v/>
      </c>
      <c r="H70" s="17">
        <f>IF($A70="","",IFERROR(INDEX(SYZ_static!$T$2:$T$806,MATCH($A70,SYZ_static!$A$2:$A$806,0)),_xll.BDP($A70&amp;" Corp","RTG_SP")))</f>
        <v/>
      </c>
      <c r="I70" s="17">
        <f>IF($A70="","",IFERROR(INDEX(SYZ_static!$S$2:$S$806,MATCH($A70,SYZ_static!$A$2:$A$806,0)),""))</f>
        <v/>
      </c>
      <c r="J70" s="17">
        <f>IF($A70="","",_xll.BDP($A70&amp;" Corp","PAYMENT_RANK"))</f>
        <v/>
      </c>
      <c r="K70" s="18">
        <f>IF($A70="","",_xll.BDP($A70&amp;" Corp","CPN"))</f>
        <v/>
      </c>
      <c r="L70" s="19">
        <f>IF($A70="","",_xll.BDP($A70&amp;" Corp","MATURITY"))</f>
        <v/>
      </c>
      <c r="M70" s="20">
        <f>IF($A70="","",IFERROR(_xll.BDP($A70&amp;" Corp","MIN_PIECE")/1000,""))</f>
        <v/>
      </c>
      <c r="N70" s="21">
        <f>IF($A70="","",_xll.BDP($A70&amp;" Corp","PX_LAST"))</f>
        <v/>
      </c>
      <c r="O70" s="21">
        <f>IF($A70="","",_xll.BDP($A70&amp;" Corp","YAS_BOND_YLD","YAS_YLD_FLAG=15"))</f>
        <v/>
      </c>
      <c r="P70" s="21">
        <f>IF($A70="","",_xll.BDP($A70&amp;" Corp","YAS_MOD_DUR"))</f>
        <v/>
      </c>
      <c r="Q70" s="22">
        <f>IF($A70="","",_xll.BDP($A70&amp;" Corp","YAS_OAS_SPRD"))</f>
        <v/>
      </c>
      <c r="R70" s="22">
        <f>IF($A70="","",_xll.BDP($A70&amp;" Corp","YAS_OAS_SPRD","SETTLE_DT",$B$2))</f>
        <v/>
      </c>
      <c r="S70" s="23">
        <f>IF($A70="","",IF(OR(NOT(ISNUMBER($Q70)),NOT(ISNUMBER($R70))),"",$Q70-$R70))</f>
        <v/>
      </c>
      <c r="T70" s="21">
        <f>IF($A70="","",_xll.BDP($A70&amp;" Corp","YAS_BOND_YLD","YAS_YLD_FLAG=15","SETTLE_DT",$B$2))</f>
        <v/>
      </c>
      <c r="U70" s="24">
        <f>IF($A70="","",IF(OR(NOT(ISNUMBER($O70)),NOT(ISNUMBER($T70))),"",$O70-$T70))</f>
        <v/>
      </c>
      <c r="V70" s="22">
        <f>IF(NOT(ISNUMBER($S70)),"",COUNTIFS($G$7:$G$850,$G70,$S$7:$S$850,"&gt;"&amp;$S70)+COUNTIFS($G$7:$G70,$G70,$S$7:$S70,$S70))</f>
        <v/>
      </c>
      <c r="W70" s="22">
        <f>IF(NOT(ISNUMBER($S70)),"",COUNTIFS($G$7:$G$850,$G70,$S$7:$S$850,"&lt;"&amp;$S70)+COUNTIFS($G$7:$G70,$G70,$S$7:$S70,$S70))</f>
        <v/>
      </c>
      <c r="X70" s="17">
        <f>IF($V70="","",$G70&amp;"|"&amp;$V70)</f>
        <v/>
      </c>
      <c r="Y70" s="17">
        <f>IF($W70="","",$G70&amp;"|"&amp;$W70)</f>
        <v/>
      </c>
    </row>
    <row r="71">
      <c r="A71" s="7" t="inlineStr">
        <is>
          <t>USN3700LAD75</t>
        </is>
      </c>
      <c r="B71" s="8">
        <f>IF($A71="","",PROPER(_xll.BDP($A71&amp;" Corp","NAME")))</f>
        <v/>
      </c>
      <c r="C71" s="8">
        <f>IF($A71="","",IFERROR(INDEX(Company_desc!$B$2:$B$1144,MATCH($A71,Company_desc!$A$2:$A$1144,0)),IFERROR(INDEX(SYZ_static!$Q$2:$Q$806,MATCH($A71,SYZ_static!$A$2:$A$806,0)),"")))</f>
        <v/>
      </c>
      <c r="D71" s="8">
        <f>IF($A71="","",IFERROR(INDEX(SYZ_static!$B$2:$B$806,MATCH($A71,SYZ_static!$A$2:$A$806,0)),""))</f>
        <v/>
      </c>
      <c r="E71" s="8">
        <f>IF($A71="","",_xll.BDP($A71&amp;" Corp","INDUSTRY_SECTOR"))</f>
        <v/>
      </c>
      <c r="F71" s="8">
        <f>IF($A71="","",PROPER(_xll.BDP($A71&amp;" Corp","COUNTRY_FULL_NAME")))</f>
        <v/>
      </c>
      <c r="G71" s="8">
        <f>IF($A71="","",_xll.BDP($A71&amp;" Corp","CRNCY"))</f>
        <v/>
      </c>
      <c r="H71" s="8">
        <f>IF($A71="","",IFERROR(INDEX(SYZ_static!$T$2:$T$806,MATCH($A71,SYZ_static!$A$2:$A$806,0)),_xll.BDP($A71&amp;" Corp","RTG_SP")))</f>
        <v/>
      </c>
      <c r="I71" s="8">
        <f>IF($A71="","",IFERROR(INDEX(SYZ_static!$S$2:$S$806,MATCH($A71,SYZ_static!$A$2:$A$806,0)),""))</f>
        <v/>
      </c>
      <c r="J71" s="8">
        <f>IF($A71="","",_xll.BDP($A71&amp;" Corp","PAYMENT_RANK"))</f>
        <v/>
      </c>
      <c r="K71" s="9">
        <f>IF($A71="","",_xll.BDP($A71&amp;" Corp","CPN"))</f>
        <v/>
      </c>
      <c r="L71" s="10">
        <f>IF($A71="","",_xll.BDP($A71&amp;" Corp","MATURITY"))</f>
        <v/>
      </c>
      <c r="M71" s="11">
        <f>IF($A71="","",IFERROR(_xll.BDP($A71&amp;" Corp","MIN_PIECE")/1000,""))</f>
        <v/>
      </c>
      <c r="N71" s="12">
        <f>IF($A71="","",_xll.BDP($A71&amp;" Corp","PX_LAST"))</f>
        <v/>
      </c>
      <c r="O71" s="12">
        <f>IF($A71="","",_xll.BDP($A71&amp;" Corp","YAS_BOND_YLD","YAS_YLD_FLAG=15"))</f>
        <v/>
      </c>
      <c r="P71" s="12">
        <f>IF($A71="","",_xll.BDP($A71&amp;" Corp","YAS_MOD_DUR"))</f>
        <v/>
      </c>
      <c r="Q71" s="13">
        <f>IF($A71="","",_xll.BDP($A71&amp;" Corp","YAS_OAS_SPRD"))</f>
        <v/>
      </c>
      <c r="R71" s="13">
        <f>IF($A71="","",_xll.BDP($A71&amp;" Corp","YAS_OAS_SPRD","SETTLE_DT",$B$2))</f>
        <v/>
      </c>
      <c r="S71" s="14">
        <f>IF($A71="","",IF(OR(NOT(ISNUMBER($Q71)),NOT(ISNUMBER($R71))),"",$Q71-$R71))</f>
        <v/>
      </c>
      <c r="T71" s="12">
        <f>IF($A71="","",_xll.BDP($A71&amp;" Corp","YAS_BOND_YLD","YAS_YLD_FLAG=15","SETTLE_DT",$B$2))</f>
        <v/>
      </c>
      <c r="U71" s="15">
        <f>IF($A71="","",IF(OR(NOT(ISNUMBER($O71)),NOT(ISNUMBER($T71))),"",$O71-$T71))</f>
        <v/>
      </c>
      <c r="V71" s="13">
        <f>IF(NOT(ISNUMBER($S71)),"",COUNTIFS($G$7:$G$850,$G71,$S$7:$S$850,"&gt;"&amp;$S71)+COUNTIFS($G$7:$G71,$G71,$S$7:$S71,$S71))</f>
        <v/>
      </c>
      <c r="W71" s="13">
        <f>IF(NOT(ISNUMBER($S71)),"",COUNTIFS($G$7:$G$850,$G71,$S$7:$S$850,"&lt;"&amp;$S71)+COUNTIFS($G$7:$G71,$G71,$S$7:$S71,$S71))</f>
        <v/>
      </c>
      <c r="X71" s="8">
        <f>IF($V71="","",$G71&amp;"|"&amp;$V71)</f>
        <v/>
      </c>
      <c r="Y71" s="8">
        <f>IF($W71="","",$G71&amp;"|"&amp;$W71)</f>
        <v/>
      </c>
    </row>
    <row r="72">
      <c r="A72" s="16" t="inlineStr">
        <is>
          <t>XS2485249523</t>
        </is>
      </c>
      <c r="B72" s="17">
        <f>IF($A72="","",PROPER(_xll.BDP($A72&amp;" Corp","NAME")))</f>
        <v/>
      </c>
      <c r="C72" s="17">
        <f>IF($A72="","",IFERROR(INDEX(Company_desc!$B$2:$B$1144,MATCH($A72,Company_desc!$A$2:$A$1144,0)),IFERROR(INDEX(SYZ_static!$Q$2:$Q$806,MATCH($A72,SYZ_static!$A$2:$A$806,0)),"")))</f>
        <v/>
      </c>
      <c r="D72" s="17">
        <f>IF($A72="","",IFERROR(INDEX(SYZ_static!$B$2:$B$806,MATCH($A72,SYZ_static!$A$2:$A$806,0)),""))</f>
        <v/>
      </c>
      <c r="E72" s="17">
        <f>IF($A72="","",_xll.BDP($A72&amp;" Corp","INDUSTRY_SECTOR"))</f>
        <v/>
      </c>
      <c r="F72" s="17">
        <f>IF($A72="","",PROPER(_xll.BDP($A72&amp;" Corp","COUNTRY_FULL_NAME")))</f>
        <v/>
      </c>
      <c r="G72" s="17">
        <f>IF($A72="","",_xll.BDP($A72&amp;" Corp","CRNCY"))</f>
        <v/>
      </c>
      <c r="H72" s="17">
        <f>IF($A72="","",IFERROR(INDEX(SYZ_static!$T$2:$T$806,MATCH($A72,SYZ_static!$A$2:$A$806,0)),_xll.BDP($A72&amp;" Corp","RTG_SP")))</f>
        <v/>
      </c>
      <c r="I72" s="17">
        <f>IF($A72="","",IFERROR(INDEX(SYZ_static!$S$2:$S$806,MATCH($A72,SYZ_static!$A$2:$A$806,0)),""))</f>
        <v/>
      </c>
      <c r="J72" s="17">
        <f>IF($A72="","",_xll.BDP($A72&amp;" Corp","PAYMENT_RANK"))</f>
        <v/>
      </c>
      <c r="K72" s="18">
        <f>IF($A72="","",_xll.BDP($A72&amp;" Corp","CPN"))</f>
        <v/>
      </c>
      <c r="L72" s="19">
        <f>IF($A72="","",_xll.BDP($A72&amp;" Corp","MATURITY"))</f>
        <v/>
      </c>
      <c r="M72" s="20">
        <f>IF($A72="","",IFERROR(_xll.BDP($A72&amp;" Corp","MIN_PIECE")/1000,""))</f>
        <v/>
      </c>
      <c r="N72" s="21">
        <f>IF($A72="","",_xll.BDP($A72&amp;" Corp","PX_LAST"))</f>
        <v/>
      </c>
      <c r="O72" s="21">
        <f>IF($A72="","",_xll.BDP($A72&amp;" Corp","YAS_BOND_YLD","YAS_YLD_FLAG=15"))</f>
        <v/>
      </c>
      <c r="P72" s="21">
        <f>IF($A72="","",_xll.BDP($A72&amp;" Corp","YAS_MOD_DUR"))</f>
        <v/>
      </c>
      <c r="Q72" s="22">
        <f>IF($A72="","",_xll.BDP($A72&amp;" Corp","YAS_OAS_SPRD"))</f>
        <v/>
      </c>
      <c r="R72" s="22">
        <f>IF($A72="","",_xll.BDP($A72&amp;" Corp","YAS_OAS_SPRD","SETTLE_DT",$B$2))</f>
        <v/>
      </c>
      <c r="S72" s="23">
        <f>IF($A72="","",IF(OR(NOT(ISNUMBER($Q72)),NOT(ISNUMBER($R72))),"",$Q72-$R72))</f>
        <v/>
      </c>
      <c r="T72" s="21">
        <f>IF($A72="","",_xll.BDP($A72&amp;" Corp","YAS_BOND_YLD","YAS_YLD_FLAG=15","SETTLE_DT",$B$2))</f>
        <v/>
      </c>
      <c r="U72" s="24">
        <f>IF($A72="","",IF(OR(NOT(ISNUMBER($O72)),NOT(ISNUMBER($T72))),"",$O72-$T72))</f>
        <v/>
      </c>
      <c r="V72" s="22">
        <f>IF(NOT(ISNUMBER($S72)),"",COUNTIFS($G$7:$G$850,$G72,$S$7:$S$850,"&gt;"&amp;$S72)+COUNTIFS($G$7:$G72,$G72,$S$7:$S72,$S72))</f>
        <v/>
      </c>
      <c r="W72" s="22">
        <f>IF(NOT(ISNUMBER($S72)),"",COUNTIFS($G$7:$G$850,$G72,$S$7:$S$850,"&lt;"&amp;$S72)+COUNTIFS($G$7:$G72,$G72,$S$7:$S72,$S72))</f>
        <v/>
      </c>
      <c r="X72" s="17">
        <f>IF($V72="","",$G72&amp;"|"&amp;$V72)</f>
        <v/>
      </c>
      <c r="Y72" s="17">
        <f>IF($W72="","",$G72&amp;"|"&amp;$W72)</f>
        <v/>
      </c>
    </row>
    <row r="73">
      <c r="A73" s="7" t="inlineStr">
        <is>
          <t>US900123CQ19</t>
        </is>
      </c>
      <c r="B73" s="8">
        <f>IF($A73="","",PROPER(_xll.BDP($A73&amp;" Corp","NAME")))</f>
        <v/>
      </c>
      <c r="C73" s="8">
        <f>IF($A73="","",IFERROR(INDEX(Company_desc!$B$2:$B$1144,MATCH($A73,Company_desc!$A$2:$A$1144,0)),IFERROR(INDEX(SYZ_static!$Q$2:$Q$806,MATCH($A73,SYZ_static!$A$2:$A$806,0)),"")))</f>
        <v/>
      </c>
      <c r="D73" s="8">
        <f>IF($A73="","",IFERROR(INDEX(SYZ_static!$B$2:$B$806,MATCH($A73,SYZ_static!$A$2:$A$806,0)),""))</f>
        <v/>
      </c>
      <c r="E73" s="8">
        <f>IF($A73="","",_xll.BDP($A73&amp;" Corp","INDUSTRY_SECTOR"))</f>
        <v/>
      </c>
      <c r="F73" s="8">
        <f>IF($A73="","",PROPER(_xll.BDP($A73&amp;" Corp","COUNTRY_FULL_NAME")))</f>
        <v/>
      </c>
      <c r="G73" s="8">
        <f>IF($A73="","",_xll.BDP($A73&amp;" Corp","CRNCY"))</f>
        <v/>
      </c>
      <c r="H73" s="8">
        <f>IF($A73="","",IFERROR(INDEX(SYZ_static!$T$2:$T$806,MATCH($A73,SYZ_static!$A$2:$A$806,0)),_xll.BDP($A73&amp;" Corp","RTG_SP")))</f>
        <v/>
      </c>
      <c r="I73" s="8">
        <f>IF($A73="","",IFERROR(INDEX(SYZ_static!$S$2:$S$806,MATCH($A73,SYZ_static!$A$2:$A$806,0)),""))</f>
        <v/>
      </c>
      <c r="J73" s="8">
        <f>IF($A73="","",_xll.BDP($A73&amp;" Corp","PAYMENT_RANK"))</f>
        <v/>
      </c>
      <c r="K73" s="9">
        <f>IF($A73="","",_xll.BDP($A73&amp;" Corp","CPN"))</f>
        <v/>
      </c>
      <c r="L73" s="10">
        <f>IF($A73="","",_xll.BDP($A73&amp;" Corp","MATURITY"))</f>
        <v/>
      </c>
      <c r="M73" s="11">
        <f>IF($A73="","",IFERROR(_xll.BDP($A73&amp;" Corp","MIN_PIECE")/1000,""))</f>
        <v/>
      </c>
      <c r="N73" s="12">
        <f>IF($A73="","",_xll.BDP($A73&amp;" Corp","PX_LAST"))</f>
        <v/>
      </c>
      <c r="O73" s="12">
        <f>IF($A73="","",_xll.BDP($A73&amp;" Corp","YAS_BOND_YLD","YAS_YLD_FLAG=15"))</f>
        <v/>
      </c>
      <c r="P73" s="12">
        <f>IF($A73="","",_xll.BDP($A73&amp;" Corp","YAS_MOD_DUR"))</f>
        <v/>
      </c>
      <c r="Q73" s="13">
        <f>IF($A73="","",_xll.BDP($A73&amp;" Corp","YAS_OAS_SPRD"))</f>
        <v/>
      </c>
      <c r="R73" s="13">
        <f>IF($A73="","",_xll.BDP($A73&amp;" Corp","YAS_OAS_SPRD","SETTLE_DT",$B$2))</f>
        <v/>
      </c>
      <c r="S73" s="14">
        <f>IF($A73="","",IF(OR(NOT(ISNUMBER($Q73)),NOT(ISNUMBER($R73))),"",$Q73-$R73))</f>
        <v/>
      </c>
      <c r="T73" s="12">
        <f>IF($A73="","",_xll.BDP($A73&amp;" Corp","YAS_BOND_YLD","YAS_YLD_FLAG=15","SETTLE_DT",$B$2))</f>
        <v/>
      </c>
      <c r="U73" s="15">
        <f>IF($A73="","",IF(OR(NOT(ISNUMBER($O73)),NOT(ISNUMBER($T73))),"",$O73-$T73))</f>
        <v/>
      </c>
      <c r="V73" s="13">
        <f>IF(NOT(ISNUMBER($S73)),"",COUNTIFS($G$7:$G$850,$G73,$S$7:$S$850,"&gt;"&amp;$S73)+COUNTIFS($G$7:$G73,$G73,$S$7:$S73,$S73))</f>
        <v/>
      </c>
      <c r="W73" s="13">
        <f>IF(NOT(ISNUMBER($S73)),"",COUNTIFS($G$7:$G$850,$G73,$S$7:$S$850,"&lt;"&amp;$S73)+COUNTIFS($G$7:$G73,$G73,$S$7:$S73,$S73))</f>
        <v/>
      </c>
      <c r="X73" s="8">
        <f>IF($V73="","",$G73&amp;"|"&amp;$V73)</f>
        <v/>
      </c>
      <c r="Y73" s="8">
        <f>IF($W73="","",$G73&amp;"|"&amp;$W73)</f>
        <v/>
      </c>
    </row>
    <row r="74">
      <c r="A74" s="16" t="inlineStr">
        <is>
          <t>US345397E250</t>
        </is>
      </c>
      <c r="B74" s="17">
        <f>IF($A74="","",PROPER(_xll.BDP($A74&amp;" Corp","NAME")))</f>
        <v/>
      </c>
      <c r="C74" s="17">
        <f>IF($A74="","",IFERROR(INDEX(Company_desc!$B$2:$B$1144,MATCH($A74,Company_desc!$A$2:$A$1144,0)),IFERROR(INDEX(SYZ_static!$Q$2:$Q$806,MATCH($A74,SYZ_static!$A$2:$A$806,0)),"")))</f>
        <v/>
      </c>
      <c r="D74" s="17">
        <f>IF($A74="","",IFERROR(INDEX(SYZ_static!$B$2:$B$806,MATCH($A74,SYZ_static!$A$2:$A$806,0)),""))</f>
        <v/>
      </c>
      <c r="E74" s="17">
        <f>IF($A74="","",_xll.BDP($A74&amp;" Corp","INDUSTRY_SECTOR"))</f>
        <v/>
      </c>
      <c r="F74" s="17">
        <f>IF($A74="","",PROPER(_xll.BDP($A74&amp;" Corp","COUNTRY_FULL_NAME")))</f>
        <v/>
      </c>
      <c r="G74" s="17">
        <f>IF($A74="","",_xll.BDP($A74&amp;" Corp","CRNCY"))</f>
        <v/>
      </c>
      <c r="H74" s="17">
        <f>IF($A74="","",IFERROR(INDEX(SYZ_static!$T$2:$T$806,MATCH($A74,SYZ_static!$A$2:$A$806,0)),_xll.BDP($A74&amp;" Corp","RTG_SP")))</f>
        <v/>
      </c>
      <c r="I74" s="17">
        <f>IF($A74="","",IFERROR(INDEX(SYZ_static!$S$2:$S$806,MATCH($A74,SYZ_static!$A$2:$A$806,0)),""))</f>
        <v/>
      </c>
      <c r="J74" s="17">
        <f>IF($A74="","",_xll.BDP($A74&amp;" Corp","PAYMENT_RANK"))</f>
        <v/>
      </c>
      <c r="K74" s="18">
        <f>IF($A74="","",_xll.BDP($A74&amp;" Corp","CPN"))</f>
        <v/>
      </c>
      <c r="L74" s="19">
        <f>IF($A74="","",_xll.BDP($A74&amp;" Corp","MATURITY"))</f>
        <v/>
      </c>
      <c r="M74" s="20">
        <f>IF($A74="","",IFERROR(_xll.BDP($A74&amp;" Corp","MIN_PIECE")/1000,""))</f>
        <v/>
      </c>
      <c r="N74" s="21">
        <f>IF($A74="","",_xll.BDP($A74&amp;" Corp","PX_LAST"))</f>
        <v/>
      </c>
      <c r="O74" s="21">
        <f>IF($A74="","",_xll.BDP($A74&amp;" Corp","YAS_BOND_YLD","YAS_YLD_FLAG=15"))</f>
        <v/>
      </c>
      <c r="P74" s="21">
        <f>IF($A74="","",_xll.BDP($A74&amp;" Corp","YAS_MOD_DUR"))</f>
        <v/>
      </c>
      <c r="Q74" s="22">
        <f>IF($A74="","",_xll.BDP($A74&amp;" Corp","YAS_OAS_SPRD"))</f>
        <v/>
      </c>
      <c r="R74" s="22">
        <f>IF($A74="","",_xll.BDP($A74&amp;" Corp","YAS_OAS_SPRD","SETTLE_DT",$B$2))</f>
        <v/>
      </c>
      <c r="S74" s="23">
        <f>IF($A74="","",IF(OR(NOT(ISNUMBER($Q74)),NOT(ISNUMBER($R74))),"",$Q74-$R74))</f>
        <v/>
      </c>
      <c r="T74" s="21">
        <f>IF($A74="","",_xll.BDP($A74&amp;" Corp","YAS_BOND_YLD","YAS_YLD_FLAG=15","SETTLE_DT",$B$2))</f>
        <v/>
      </c>
      <c r="U74" s="24">
        <f>IF($A74="","",IF(OR(NOT(ISNUMBER($O74)),NOT(ISNUMBER($T74))),"",$O74-$T74))</f>
        <v/>
      </c>
      <c r="V74" s="22">
        <f>IF(NOT(ISNUMBER($S74)),"",COUNTIFS($G$7:$G$850,$G74,$S$7:$S$850,"&gt;"&amp;$S74)+COUNTIFS($G$7:$G74,$G74,$S$7:$S74,$S74))</f>
        <v/>
      </c>
      <c r="W74" s="22">
        <f>IF(NOT(ISNUMBER($S74)),"",COUNTIFS($G$7:$G$850,$G74,$S$7:$S$850,"&lt;"&amp;$S74)+COUNTIFS($G$7:$G74,$G74,$S$7:$S74,$S74))</f>
        <v/>
      </c>
      <c r="X74" s="17">
        <f>IF($V74="","",$G74&amp;"|"&amp;$V74)</f>
        <v/>
      </c>
      <c r="Y74" s="17">
        <f>IF($W74="","",$G74&amp;"|"&amp;$W74)</f>
        <v/>
      </c>
    </row>
    <row r="75">
      <c r="A75" s="7" t="inlineStr">
        <is>
          <t>XS2538441598</t>
        </is>
      </c>
      <c r="B75" s="8">
        <f>IF($A75="","",PROPER(_xll.BDP($A75&amp;" Corp","NAME")))</f>
        <v/>
      </c>
      <c r="C75" s="8">
        <f>IF($A75="","",IFERROR(INDEX(Company_desc!$B$2:$B$1144,MATCH($A75,Company_desc!$A$2:$A$1144,0)),IFERROR(INDEX(SYZ_static!$Q$2:$Q$806,MATCH($A75,SYZ_static!$A$2:$A$806,0)),"")))</f>
        <v/>
      </c>
      <c r="D75" s="8">
        <f>IF($A75="","",IFERROR(INDEX(SYZ_static!$B$2:$B$806,MATCH($A75,SYZ_static!$A$2:$A$806,0)),""))</f>
        <v/>
      </c>
      <c r="E75" s="8">
        <f>IF($A75="","",_xll.BDP($A75&amp;" Corp","INDUSTRY_SECTOR"))</f>
        <v/>
      </c>
      <c r="F75" s="8">
        <f>IF($A75="","",PROPER(_xll.BDP($A75&amp;" Corp","COUNTRY_FULL_NAME")))</f>
        <v/>
      </c>
      <c r="G75" s="8">
        <f>IF($A75="","",_xll.BDP($A75&amp;" Corp","CRNCY"))</f>
        <v/>
      </c>
      <c r="H75" s="8">
        <f>IF($A75="","",IFERROR(INDEX(SYZ_static!$T$2:$T$806,MATCH($A75,SYZ_static!$A$2:$A$806,0)),_xll.BDP($A75&amp;" Corp","RTG_SP")))</f>
        <v/>
      </c>
      <c r="I75" s="8">
        <f>IF($A75="","",IFERROR(INDEX(SYZ_static!$S$2:$S$806,MATCH($A75,SYZ_static!$A$2:$A$806,0)),""))</f>
        <v/>
      </c>
      <c r="J75" s="8">
        <f>IF($A75="","",_xll.BDP($A75&amp;" Corp","PAYMENT_RANK"))</f>
        <v/>
      </c>
      <c r="K75" s="9">
        <f>IF($A75="","",_xll.BDP($A75&amp;" Corp","CPN"))</f>
        <v/>
      </c>
      <c r="L75" s="10">
        <f>IF($A75="","",_xll.BDP($A75&amp;" Corp","MATURITY"))</f>
        <v/>
      </c>
      <c r="M75" s="11">
        <f>IF($A75="","",IFERROR(_xll.BDP($A75&amp;" Corp","MIN_PIECE")/1000,""))</f>
        <v/>
      </c>
      <c r="N75" s="12">
        <f>IF($A75="","",_xll.BDP($A75&amp;" Corp","PX_LAST"))</f>
        <v/>
      </c>
      <c r="O75" s="12">
        <f>IF($A75="","",_xll.BDP($A75&amp;" Corp","YAS_BOND_YLD","YAS_YLD_FLAG=15"))</f>
        <v/>
      </c>
      <c r="P75" s="12">
        <f>IF($A75="","",_xll.BDP($A75&amp;" Corp","YAS_MOD_DUR"))</f>
        <v/>
      </c>
      <c r="Q75" s="13">
        <f>IF($A75="","",_xll.BDP($A75&amp;" Corp","YAS_OAS_SPRD"))</f>
        <v/>
      </c>
      <c r="R75" s="13">
        <f>IF($A75="","",_xll.BDP($A75&amp;" Corp","YAS_OAS_SPRD","SETTLE_DT",$B$2))</f>
        <v/>
      </c>
      <c r="S75" s="14">
        <f>IF($A75="","",IF(OR(NOT(ISNUMBER($Q75)),NOT(ISNUMBER($R75))),"",$Q75-$R75))</f>
        <v/>
      </c>
      <c r="T75" s="12">
        <f>IF($A75="","",_xll.BDP($A75&amp;" Corp","YAS_BOND_YLD","YAS_YLD_FLAG=15","SETTLE_DT",$B$2))</f>
        <v/>
      </c>
      <c r="U75" s="15">
        <f>IF($A75="","",IF(OR(NOT(ISNUMBER($O75)),NOT(ISNUMBER($T75))),"",$O75-$T75))</f>
        <v/>
      </c>
      <c r="V75" s="13">
        <f>IF(NOT(ISNUMBER($S75)),"",COUNTIFS($G$7:$G$850,$G75,$S$7:$S$850,"&gt;"&amp;$S75)+COUNTIFS($G$7:$G75,$G75,$S$7:$S75,$S75))</f>
        <v/>
      </c>
      <c r="W75" s="13">
        <f>IF(NOT(ISNUMBER($S75)),"",COUNTIFS($G$7:$G$850,$G75,$S$7:$S$850,"&lt;"&amp;$S75)+COUNTIFS($G$7:$G75,$G75,$S$7:$S75,$S75))</f>
        <v/>
      </c>
      <c r="X75" s="8">
        <f>IF($V75="","",$G75&amp;"|"&amp;$V75)</f>
        <v/>
      </c>
      <c r="Y75" s="8">
        <f>IF($W75="","",$G75&amp;"|"&amp;$W75)</f>
        <v/>
      </c>
    </row>
    <row r="76">
      <c r="A76" s="16" t="inlineStr">
        <is>
          <t>USN7163RAY91</t>
        </is>
      </c>
      <c r="B76" s="17">
        <f>IF($A76="","",PROPER(_xll.BDP($A76&amp;" Corp","NAME")))</f>
        <v/>
      </c>
      <c r="C76" s="17">
        <f>IF($A76="","",IFERROR(INDEX(Company_desc!$B$2:$B$1144,MATCH($A76,Company_desc!$A$2:$A$1144,0)),IFERROR(INDEX(SYZ_static!$Q$2:$Q$806,MATCH($A76,SYZ_static!$A$2:$A$806,0)),"")))</f>
        <v/>
      </c>
      <c r="D76" s="17">
        <f>IF($A76="","",IFERROR(INDEX(SYZ_static!$B$2:$B$806,MATCH($A76,SYZ_static!$A$2:$A$806,0)),""))</f>
        <v/>
      </c>
      <c r="E76" s="17">
        <f>IF($A76="","",_xll.BDP($A76&amp;" Corp","INDUSTRY_SECTOR"))</f>
        <v/>
      </c>
      <c r="F76" s="17">
        <f>IF($A76="","",PROPER(_xll.BDP($A76&amp;" Corp","COUNTRY_FULL_NAME")))</f>
        <v/>
      </c>
      <c r="G76" s="17">
        <f>IF($A76="","",_xll.BDP($A76&amp;" Corp","CRNCY"))</f>
        <v/>
      </c>
      <c r="H76" s="17">
        <f>IF($A76="","",IFERROR(INDEX(SYZ_static!$T$2:$T$806,MATCH($A76,SYZ_static!$A$2:$A$806,0)),_xll.BDP($A76&amp;" Corp","RTG_SP")))</f>
        <v/>
      </c>
      <c r="I76" s="17">
        <f>IF($A76="","",IFERROR(INDEX(SYZ_static!$S$2:$S$806,MATCH($A76,SYZ_static!$A$2:$A$806,0)),""))</f>
        <v/>
      </c>
      <c r="J76" s="17">
        <f>IF($A76="","",_xll.BDP($A76&amp;" Corp","PAYMENT_RANK"))</f>
        <v/>
      </c>
      <c r="K76" s="18">
        <f>IF($A76="","",_xll.BDP($A76&amp;" Corp","CPN"))</f>
        <v/>
      </c>
      <c r="L76" s="19">
        <f>IF($A76="","",_xll.BDP($A76&amp;" Corp","MATURITY"))</f>
        <v/>
      </c>
      <c r="M76" s="20">
        <f>IF($A76="","",IFERROR(_xll.BDP($A76&amp;" Corp","MIN_PIECE")/1000,""))</f>
        <v/>
      </c>
      <c r="N76" s="21">
        <f>IF($A76="","",_xll.BDP($A76&amp;" Corp","PX_LAST"))</f>
        <v/>
      </c>
      <c r="O76" s="21">
        <f>IF($A76="","",_xll.BDP($A76&amp;" Corp","YAS_BOND_YLD","YAS_YLD_FLAG=15"))</f>
        <v/>
      </c>
      <c r="P76" s="21">
        <f>IF($A76="","",_xll.BDP($A76&amp;" Corp","YAS_MOD_DUR"))</f>
        <v/>
      </c>
      <c r="Q76" s="22">
        <f>IF($A76="","",_xll.BDP($A76&amp;" Corp","YAS_OAS_SPRD"))</f>
        <v/>
      </c>
      <c r="R76" s="22">
        <f>IF($A76="","",_xll.BDP($A76&amp;" Corp","YAS_OAS_SPRD","SETTLE_DT",$B$2))</f>
        <v/>
      </c>
      <c r="S76" s="23">
        <f>IF($A76="","",IF(OR(NOT(ISNUMBER($Q76)),NOT(ISNUMBER($R76))),"",$Q76-$R76))</f>
        <v/>
      </c>
      <c r="T76" s="21">
        <f>IF($A76="","",_xll.BDP($A76&amp;" Corp","YAS_BOND_YLD","YAS_YLD_FLAG=15","SETTLE_DT",$B$2))</f>
        <v/>
      </c>
      <c r="U76" s="24">
        <f>IF($A76="","",IF(OR(NOT(ISNUMBER($O76)),NOT(ISNUMBER($T76))),"",$O76-$T76))</f>
        <v/>
      </c>
      <c r="V76" s="22">
        <f>IF(NOT(ISNUMBER($S76)),"",COUNTIFS($G$7:$G$850,$G76,$S$7:$S$850,"&gt;"&amp;$S76)+COUNTIFS($G$7:$G76,$G76,$S$7:$S76,$S76))</f>
        <v/>
      </c>
      <c r="W76" s="22">
        <f>IF(NOT(ISNUMBER($S76)),"",COUNTIFS($G$7:$G$850,$G76,$S$7:$S$850,"&lt;"&amp;$S76)+COUNTIFS($G$7:$G76,$G76,$S$7:$S76,$S76))</f>
        <v/>
      </c>
      <c r="X76" s="17">
        <f>IF($V76="","",$G76&amp;"|"&amp;$V76)</f>
        <v/>
      </c>
      <c r="Y76" s="17">
        <f>IF($W76="","",$G76&amp;"|"&amp;$W76)</f>
        <v/>
      </c>
    </row>
    <row r="77">
      <c r="A77" s="7" t="inlineStr">
        <is>
          <t>XS2313088739</t>
        </is>
      </c>
      <c r="B77" s="8">
        <f>IF($A77="","",PROPER(_xll.BDP($A77&amp;" Corp","NAME")))</f>
        <v/>
      </c>
      <c r="C77" s="8">
        <f>IF($A77="","",IFERROR(INDEX(Company_desc!$B$2:$B$1144,MATCH($A77,Company_desc!$A$2:$A$1144,0)),IFERROR(INDEX(SYZ_static!$Q$2:$Q$806,MATCH($A77,SYZ_static!$A$2:$A$806,0)),"")))</f>
        <v/>
      </c>
      <c r="D77" s="8">
        <f>IF($A77="","",IFERROR(INDEX(SYZ_static!$B$2:$B$806,MATCH($A77,SYZ_static!$A$2:$A$806,0)),""))</f>
        <v/>
      </c>
      <c r="E77" s="8">
        <f>IF($A77="","",_xll.BDP($A77&amp;" Corp","INDUSTRY_SECTOR"))</f>
        <v/>
      </c>
      <c r="F77" s="8">
        <f>IF($A77="","",PROPER(_xll.BDP($A77&amp;" Corp","COUNTRY_FULL_NAME")))</f>
        <v/>
      </c>
      <c r="G77" s="8">
        <f>IF($A77="","",_xll.BDP($A77&amp;" Corp","CRNCY"))</f>
        <v/>
      </c>
      <c r="H77" s="8">
        <f>IF($A77="","",IFERROR(INDEX(SYZ_static!$T$2:$T$806,MATCH($A77,SYZ_static!$A$2:$A$806,0)),_xll.BDP($A77&amp;" Corp","RTG_SP")))</f>
        <v/>
      </c>
      <c r="I77" s="8">
        <f>IF($A77="","",IFERROR(INDEX(SYZ_static!$S$2:$S$806,MATCH($A77,SYZ_static!$A$2:$A$806,0)),""))</f>
        <v/>
      </c>
      <c r="J77" s="8">
        <f>IF($A77="","",_xll.BDP($A77&amp;" Corp","PAYMENT_RANK"))</f>
        <v/>
      </c>
      <c r="K77" s="9">
        <f>IF($A77="","",_xll.BDP($A77&amp;" Corp","CPN"))</f>
        <v/>
      </c>
      <c r="L77" s="10">
        <f>IF($A77="","",_xll.BDP($A77&amp;" Corp","MATURITY"))</f>
        <v/>
      </c>
      <c r="M77" s="11">
        <f>IF($A77="","",IFERROR(_xll.BDP($A77&amp;" Corp","MIN_PIECE")/1000,""))</f>
        <v/>
      </c>
      <c r="N77" s="12">
        <f>IF($A77="","",_xll.BDP($A77&amp;" Corp","PX_LAST"))</f>
        <v/>
      </c>
      <c r="O77" s="12">
        <f>IF($A77="","",_xll.BDP($A77&amp;" Corp","YAS_BOND_YLD","YAS_YLD_FLAG=15"))</f>
        <v/>
      </c>
      <c r="P77" s="12">
        <f>IF($A77="","",_xll.BDP($A77&amp;" Corp","YAS_MOD_DUR"))</f>
        <v/>
      </c>
      <c r="Q77" s="13">
        <f>IF($A77="","",_xll.BDP($A77&amp;" Corp","YAS_OAS_SPRD"))</f>
        <v/>
      </c>
      <c r="R77" s="13">
        <f>IF($A77="","",_xll.BDP($A77&amp;" Corp","YAS_OAS_SPRD","SETTLE_DT",$B$2))</f>
        <v/>
      </c>
      <c r="S77" s="14">
        <f>IF($A77="","",IF(OR(NOT(ISNUMBER($Q77)),NOT(ISNUMBER($R77))),"",$Q77-$R77))</f>
        <v/>
      </c>
      <c r="T77" s="12">
        <f>IF($A77="","",_xll.BDP($A77&amp;" Corp","YAS_BOND_YLD","YAS_YLD_FLAG=15","SETTLE_DT",$B$2))</f>
        <v/>
      </c>
      <c r="U77" s="15">
        <f>IF($A77="","",IF(OR(NOT(ISNUMBER($O77)),NOT(ISNUMBER($T77))),"",$O77-$T77))</f>
        <v/>
      </c>
      <c r="V77" s="13">
        <f>IF(NOT(ISNUMBER($S77)),"",COUNTIFS($G$7:$G$850,$G77,$S$7:$S$850,"&gt;"&amp;$S77)+COUNTIFS($G$7:$G77,$G77,$S$7:$S77,$S77))</f>
        <v/>
      </c>
      <c r="W77" s="13">
        <f>IF(NOT(ISNUMBER($S77)),"",COUNTIFS($G$7:$G$850,$G77,$S$7:$S$850,"&lt;"&amp;$S77)+COUNTIFS($G$7:$G77,$G77,$S$7:$S77,$S77))</f>
        <v/>
      </c>
      <c r="X77" s="8">
        <f>IF($V77="","",$G77&amp;"|"&amp;$V77)</f>
        <v/>
      </c>
      <c r="Y77" s="8">
        <f>IF($W77="","",$G77&amp;"|"&amp;$W77)</f>
        <v/>
      </c>
    </row>
    <row r="78">
      <c r="A78" s="16" t="inlineStr">
        <is>
          <t>XS1680281133</t>
        </is>
      </c>
      <c r="B78" s="17">
        <f>IF($A78="","",PROPER(_xll.BDP($A78&amp;" Corp","NAME")))</f>
        <v/>
      </c>
      <c r="C78" s="17">
        <f>IF($A78="","",IFERROR(INDEX(Company_desc!$B$2:$B$1144,MATCH($A78,Company_desc!$A$2:$A$1144,0)),IFERROR(INDEX(SYZ_static!$Q$2:$Q$806,MATCH($A78,SYZ_static!$A$2:$A$806,0)),"")))</f>
        <v/>
      </c>
      <c r="D78" s="17">
        <f>IF($A78="","",IFERROR(INDEX(SYZ_static!$B$2:$B$806,MATCH($A78,SYZ_static!$A$2:$A$806,0)),""))</f>
        <v/>
      </c>
      <c r="E78" s="17">
        <f>IF($A78="","",_xll.BDP($A78&amp;" Corp","INDUSTRY_SECTOR"))</f>
        <v/>
      </c>
      <c r="F78" s="17">
        <f>IF($A78="","",PROPER(_xll.BDP($A78&amp;" Corp","COUNTRY_FULL_NAME")))</f>
        <v/>
      </c>
      <c r="G78" s="17">
        <f>IF($A78="","",_xll.BDP($A78&amp;" Corp","CRNCY"))</f>
        <v/>
      </c>
      <c r="H78" s="17">
        <f>IF($A78="","",IFERROR(INDEX(SYZ_static!$T$2:$T$806,MATCH($A78,SYZ_static!$A$2:$A$806,0)),_xll.BDP($A78&amp;" Corp","RTG_SP")))</f>
        <v/>
      </c>
      <c r="I78" s="17">
        <f>IF($A78="","",IFERROR(INDEX(SYZ_static!$S$2:$S$806,MATCH($A78,SYZ_static!$A$2:$A$806,0)),""))</f>
        <v/>
      </c>
      <c r="J78" s="17">
        <f>IF($A78="","",_xll.BDP($A78&amp;" Corp","PAYMENT_RANK"))</f>
        <v/>
      </c>
      <c r="K78" s="18">
        <f>IF($A78="","",_xll.BDP($A78&amp;" Corp","CPN"))</f>
        <v/>
      </c>
      <c r="L78" s="19">
        <f>IF($A78="","",_xll.BDP($A78&amp;" Corp","MATURITY"))</f>
        <v/>
      </c>
      <c r="M78" s="20">
        <f>IF($A78="","",IFERROR(_xll.BDP($A78&amp;" Corp","MIN_PIECE")/1000,""))</f>
        <v/>
      </c>
      <c r="N78" s="21">
        <f>IF($A78="","",_xll.BDP($A78&amp;" Corp","PX_LAST"))</f>
        <v/>
      </c>
      <c r="O78" s="21">
        <f>IF($A78="","",_xll.BDP($A78&amp;" Corp","YAS_BOND_YLD","YAS_YLD_FLAG=15"))</f>
        <v/>
      </c>
      <c r="P78" s="21">
        <f>IF($A78="","",_xll.BDP($A78&amp;" Corp","YAS_MOD_DUR"))</f>
        <v/>
      </c>
      <c r="Q78" s="22">
        <f>IF($A78="","",_xll.BDP($A78&amp;" Corp","YAS_OAS_SPRD"))</f>
        <v/>
      </c>
      <c r="R78" s="22">
        <f>IF($A78="","",_xll.BDP($A78&amp;" Corp","YAS_OAS_SPRD","SETTLE_DT",$B$2))</f>
        <v/>
      </c>
      <c r="S78" s="23">
        <f>IF($A78="","",IF(OR(NOT(ISNUMBER($Q78)),NOT(ISNUMBER($R78))),"",$Q78-$R78))</f>
        <v/>
      </c>
      <c r="T78" s="21">
        <f>IF($A78="","",_xll.BDP($A78&amp;" Corp","YAS_BOND_YLD","YAS_YLD_FLAG=15","SETTLE_DT",$B$2))</f>
        <v/>
      </c>
      <c r="U78" s="24">
        <f>IF($A78="","",IF(OR(NOT(ISNUMBER($O78)),NOT(ISNUMBER($T78))),"",$O78-$T78))</f>
        <v/>
      </c>
      <c r="V78" s="22">
        <f>IF(NOT(ISNUMBER($S78)),"",COUNTIFS($G$7:$G$850,$G78,$S$7:$S$850,"&gt;"&amp;$S78)+COUNTIFS($G$7:$G78,$G78,$S$7:$S78,$S78))</f>
        <v/>
      </c>
      <c r="W78" s="22">
        <f>IF(NOT(ISNUMBER($S78)),"",COUNTIFS($G$7:$G$850,$G78,$S$7:$S$850,"&lt;"&amp;$S78)+COUNTIFS($G$7:$G78,$G78,$S$7:$S78,$S78))</f>
        <v/>
      </c>
      <c r="X78" s="17">
        <f>IF($V78="","",$G78&amp;"|"&amp;$V78)</f>
        <v/>
      </c>
      <c r="Y78" s="17">
        <f>IF($W78="","",$G78&amp;"|"&amp;$W78)</f>
        <v/>
      </c>
    </row>
    <row r="79">
      <c r="A79" s="7" t="inlineStr">
        <is>
          <t>USP5015VAQ97</t>
        </is>
      </c>
      <c r="B79" s="8">
        <f>IF($A79="","",PROPER(_xll.BDP($A79&amp;" Corp","NAME")))</f>
        <v/>
      </c>
      <c r="C79" s="8">
        <f>IF($A79="","",IFERROR(INDEX(Company_desc!$B$2:$B$1144,MATCH($A79,Company_desc!$A$2:$A$1144,0)),IFERROR(INDEX(SYZ_static!$Q$2:$Q$806,MATCH($A79,SYZ_static!$A$2:$A$806,0)),"")))</f>
        <v/>
      </c>
      <c r="D79" s="8">
        <f>IF($A79="","",IFERROR(INDEX(SYZ_static!$B$2:$B$806,MATCH($A79,SYZ_static!$A$2:$A$806,0)),""))</f>
        <v/>
      </c>
      <c r="E79" s="8">
        <f>IF($A79="","",_xll.BDP($A79&amp;" Corp","INDUSTRY_SECTOR"))</f>
        <v/>
      </c>
      <c r="F79" s="8">
        <f>IF($A79="","",PROPER(_xll.BDP($A79&amp;" Corp","COUNTRY_FULL_NAME")))</f>
        <v/>
      </c>
      <c r="G79" s="8">
        <f>IF($A79="","",_xll.BDP($A79&amp;" Corp","CRNCY"))</f>
        <v/>
      </c>
      <c r="H79" s="8">
        <f>IF($A79="","",IFERROR(INDEX(SYZ_static!$T$2:$T$806,MATCH($A79,SYZ_static!$A$2:$A$806,0)),_xll.BDP($A79&amp;" Corp","RTG_SP")))</f>
        <v/>
      </c>
      <c r="I79" s="8">
        <f>IF($A79="","",IFERROR(INDEX(SYZ_static!$S$2:$S$806,MATCH($A79,SYZ_static!$A$2:$A$806,0)),""))</f>
        <v/>
      </c>
      <c r="J79" s="8">
        <f>IF($A79="","",_xll.BDP($A79&amp;" Corp","PAYMENT_RANK"))</f>
        <v/>
      </c>
      <c r="K79" s="9">
        <f>IF($A79="","",_xll.BDP($A79&amp;" Corp","CPN"))</f>
        <v/>
      </c>
      <c r="L79" s="10">
        <f>IF($A79="","",_xll.BDP($A79&amp;" Corp","MATURITY"))</f>
        <v/>
      </c>
      <c r="M79" s="11">
        <f>IF($A79="","",IFERROR(_xll.BDP($A79&amp;" Corp","MIN_PIECE")/1000,""))</f>
        <v/>
      </c>
      <c r="N79" s="12">
        <f>IF($A79="","",_xll.BDP($A79&amp;" Corp","PX_LAST"))</f>
        <v/>
      </c>
      <c r="O79" s="12">
        <f>IF($A79="","",_xll.BDP($A79&amp;" Corp","YAS_BOND_YLD","YAS_YLD_FLAG=15"))</f>
        <v/>
      </c>
      <c r="P79" s="12">
        <f>IF($A79="","",_xll.BDP($A79&amp;" Corp","YAS_MOD_DUR"))</f>
        <v/>
      </c>
      <c r="Q79" s="13">
        <f>IF($A79="","",_xll.BDP($A79&amp;" Corp","YAS_OAS_SPRD"))</f>
        <v/>
      </c>
      <c r="R79" s="13">
        <f>IF($A79="","",_xll.BDP($A79&amp;" Corp","YAS_OAS_SPRD","SETTLE_DT",$B$2))</f>
        <v/>
      </c>
      <c r="S79" s="14">
        <f>IF($A79="","",IF(OR(NOT(ISNUMBER($Q79)),NOT(ISNUMBER($R79))),"",$Q79-$R79))</f>
        <v/>
      </c>
      <c r="T79" s="12">
        <f>IF($A79="","",_xll.BDP($A79&amp;" Corp","YAS_BOND_YLD","YAS_YLD_FLAG=15","SETTLE_DT",$B$2))</f>
        <v/>
      </c>
      <c r="U79" s="15">
        <f>IF($A79="","",IF(OR(NOT(ISNUMBER($O79)),NOT(ISNUMBER($T79))),"",$O79-$T79))</f>
        <v/>
      </c>
      <c r="V79" s="13">
        <f>IF(NOT(ISNUMBER($S79)),"",COUNTIFS($G$7:$G$850,$G79,$S$7:$S$850,"&gt;"&amp;$S79)+COUNTIFS($G$7:$G79,$G79,$S$7:$S79,$S79))</f>
        <v/>
      </c>
      <c r="W79" s="13">
        <f>IF(NOT(ISNUMBER($S79)),"",COUNTIFS($G$7:$G$850,$G79,$S$7:$S$850,"&lt;"&amp;$S79)+COUNTIFS($G$7:$G79,$G79,$S$7:$S79,$S79))</f>
        <v/>
      </c>
      <c r="X79" s="8">
        <f>IF($V79="","",$G79&amp;"|"&amp;$V79)</f>
        <v/>
      </c>
      <c r="Y79" s="8">
        <f>IF($W79="","",$G79&amp;"|"&amp;$W79)</f>
        <v/>
      </c>
    </row>
    <row r="80">
      <c r="A80" s="16" t="inlineStr">
        <is>
          <t>XS2571923007</t>
        </is>
      </c>
      <c r="B80" s="17">
        <f>IF($A80="","",PROPER(_xll.BDP($A80&amp;" Corp","NAME")))</f>
        <v/>
      </c>
      <c r="C80" s="17">
        <f>IF($A80="","",IFERROR(INDEX(Company_desc!$B$2:$B$1144,MATCH($A80,Company_desc!$A$2:$A$1144,0)),IFERROR(INDEX(SYZ_static!$Q$2:$Q$806,MATCH($A80,SYZ_static!$A$2:$A$806,0)),"")))</f>
        <v/>
      </c>
      <c r="D80" s="17">
        <f>IF($A80="","",IFERROR(INDEX(SYZ_static!$B$2:$B$806,MATCH($A80,SYZ_static!$A$2:$A$806,0)),""))</f>
        <v/>
      </c>
      <c r="E80" s="17">
        <f>IF($A80="","",_xll.BDP($A80&amp;" Corp","INDUSTRY_SECTOR"))</f>
        <v/>
      </c>
      <c r="F80" s="17">
        <f>IF($A80="","",PROPER(_xll.BDP($A80&amp;" Corp","COUNTRY_FULL_NAME")))</f>
        <v/>
      </c>
      <c r="G80" s="17">
        <f>IF($A80="","",_xll.BDP($A80&amp;" Corp","CRNCY"))</f>
        <v/>
      </c>
      <c r="H80" s="17">
        <f>IF($A80="","",IFERROR(INDEX(SYZ_static!$T$2:$T$806,MATCH($A80,SYZ_static!$A$2:$A$806,0)),_xll.BDP($A80&amp;" Corp","RTG_SP")))</f>
        <v/>
      </c>
      <c r="I80" s="17">
        <f>IF($A80="","",IFERROR(INDEX(SYZ_static!$S$2:$S$806,MATCH($A80,SYZ_static!$A$2:$A$806,0)),""))</f>
        <v/>
      </c>
      <c r="J80" s="17">
        <f>IF($A80="","",_xll.BDP($A80&amp;" Corp","PAYMENT_RANK"))</f>
        <v/>
      </c>
      <c r="K80" s="18">
        <f>IF($A80="","",_xll.BDP($A80&amp;" Corp","CPN"))</f>
        <v/>
      </c>
      <c r="L80" s="19">
        <f>IF($A80="","",_xll.BDP($A80&amp;" Corp","MATURITY"))</f>
        <v/>
      </c>
      <c r="M80" s="20">
        <f>IF($A80="","",IFERROR(_xll.BDP($A80&amp;" Corp","MIN_PIECE")/1000,""))</f>
        <v/>
      </c>
      <c r="N80" s="21">
        <f>IF($A80="","",_xll.BDP($A80&amp;" Corp","PX_LAST"))</f>
        <v/>
      </c>
      <c r="O80" s="21">
        <f>IF($A80="","",_xll.BDP($A80&amp;" Corp","YAS_BOND_YLD","YAS_YLD_FLAG=15"))</f>
        <v/>
      </c>
      <c r="P80" s="21">
        <f>IF($A80="","",_xll.BDP($A80&amp;" Corp","YAS_MOD_DUR"))</f>
        <v/>
      </c>
      <c r="Q80" s="22">
        <f>IF($A80="","",_xll.BDP($A80&amp;" Corp","YAS_OAS_SPRD"))</f>
        <v/>
      </c>
      <c r="R80" s="22">
        <f>IF($A80="","",_xll.BDP($A80&amp;" Corp","YAS_OAS_SPRD","SETTLE_DT",$B$2))</f>
        <v/>
      </c>
      <c r="S80" s="23">
        <f>IF($A80="","",IF(OR(NOT(ISNUMBER($Q80)),NOT(ISNUMBER($R80))),"",$Q80-$R80))</f>
        <v/>
      </c>
      <c r="T80" s="21">
        <f>IF($A80="","",_xll.BDP($A80&amp;" Corp","YAS_BOND_YLD","YAS_YLD_FLAG=15","SETTLE_DT",$B$2))</f>
        <v/>
      </c>
      <c r="U80" s="24">
        <f>IF($A80="","",IF(OR(NOT(ISNUMBER($O80)),NOT(ISNUMBER($T80))),"",$O80-$T80))</f>
        <v/>
      </c>
      <c r="V80" s="22">
        <f>IF(NOT(ISNUMBER($S80)),"",COUNTIFS($G$7:$G$850,$G80,$S$7:$S$850,"&gt;"&amp;$S80)+COUNTIFS($G$7:$G80,$G80,$S$7:$S80,$S80))</f>
        <v/>
      </c>
      <c r="W80" s="22">
        <f>IF(NOT(ISNUMBER($S80)),"",COUNTIFS($G$7:$G$850,$G80,$S$7:$S$850,"&lt;"&amp;$S80)+COUNTIFS($G$7:$G80,$G80,$S$7:$S80,$S80))</f>
        <v/>
      </c>
      <c r="X80" s="17">
        <f>IF($V80="","",$G80&amp;"|"&amp;$V80)</f>
        <v/>
      </c>
      <c r="Y80" s="17">
        <f>IF($W80="","",$G80&amp;"|"&amp;$W80)</f>
        <v/>
      </c>
    </row>
    <row r="81">
      <c r="A81" s="7" t="inlineStr">
        <is>
          <t>XS2327392234</t>
        </is>
      </c>
      <c r="B81" s="8">
        <f>IF($A81="","",PROPER(_xll.BDP($A81&amp;" Corp","NAME")))</f>
        <v/>
      </c>
      <c r="C81" s="8">
        <f>IF($A81="","",IFERROR(INDEX(Company_desc!$B$2:$B$1144,MATCH($A81,Company_desc!$A$2:$A$1144,0)),IFERROR(INDEX(SYZ_static!$Q$2:$Q$806,MATCH($A81,SYZ_static!$A$2:$A$806,0)),"")))</f>
        <v/>
      </c>
      <c r="D81" s="8">
        <f>IF($A81="","",IFERROR(INDEX(SYZ_static!$B$2:$B$806,MATCH($A81,SYZ_static!$A$2:$A$806,0)),""))</f>
        <v/>
      </c>
      <c r="E81" s="8">
        <f>IF($A81="","",_xll.BDP($A81&amp;" Corp","INDUSTRY_SECTOR"))</f>
        <v/>
      </c>
      <c r="F81" s="8">
        <f>IF($A81="","",PROPER(_xll.BDP($A81&amp;" Corp","COUNTRY_FULL_NAME")))</f>
        <v/>
      </c>
      <c r="G81" s="8">
        <f>IF($A81="","",_xll.BDP($A81&amp;" Corp","CRNCY"))</f>
        <v/>
      </c>
      <c r="H81" s="8">
        <f>IF($A81="","",IFERROR(INDEX(SYZ_static!$T$2:$T$806,MATCH($A81,SYZ_static!$A$2:$A$806,0)),_xll.BDP($A81&amp;" Corp","RTG_SP")))</f>
        <v/>
      </c>
      <c r="I81" s="8">
        <f>IF($A81="","",IFERROR(INDEX(SYZ_static!$S$2:$S$806,MATCH($A81,SYZ_static!$A$2:$A$806,0)),""))</f>
        <v/>
      </c>
      <c r="J81" s="8">
        <f>IF($A81="","",_xll.BDP($A81&amp;" Corp","PAYMENT_RANK"))</f>
        <v/>
      </c>
      <c r="K81" s="9">
        <f>IF($A81="","",_xll.BDP($A81&amp;" Corp","CPN"))</f>
        <v/>
      </c>
      <c r="L81" s="10">
        <f>IF($A81="","",_xll.BDP($A81&amp;" Corp","MATURITY"))</f>
        <v/>
      </c>
      <c r="M81" s="11">
        <f>IF($A81="","",IFERROR(_xll.BDP($A81&amp;" Corp","MIN_PIECE")/1000,""))</f>
        <v/>
      </c>
      <c r="N81" s="12">
        <f>IF($A81="","",_xll.BDP($A81&amp;" Corp","PX_LAST"))</f>
        <v/>
      </c>
      <c r="O81" s="12">
        <f>IF($A81="","",_xll.BDP($A81&amp;" Corp","YAS_BOND_YLD","YAS_YLD_FLAG=15"))</f>
        <v/>
      </c>
      <c r="P81" s="12">
        <f>IF($A81="","",_xll.BDP($A81&amp;" Corp","YAS_MOD_DUR"))</f>
        <v/>
      </c>
      <c r="Q81" s="13">
        <f>IF($A81="","",_xll.BDP($A81&amp;" Corp","YAS_OAS_SPRD"))</f>
        <v/>
      </c>
      <c r="R81" s="13">
        <f>IF($A81="","",_xll.BDP($A81&amp;" Corp","YAS_OAS_SPRD","SETTLE_DT",$B$2))</f>
        <v/>
      </c>
      <c r="S81" s="14">
        <f>IF($A81="","",IF(OR(NOT(ISNUMBER($Q81)),NOT(ISNUMBER($R81))),"",$Q81-$R81))</f>
        <v/>
      </c>
      <c r="T81" s="12">
        <f>IF($A81="","",_xll.BDP($A81&amp;" Corp","YAS_BOND_YLD","YAS_YLD_FLAG=15","SETTLE_DT",$B$2))</f>
        <v/>
      </c>
      <c r="U81" s="15">
        <f>IF($A81="","",IF(OR(NOT(ISNUMBER($O81)),NOT(ISNUMBER($T81))),"",$O81-$T81))</f>
        <v/>
      </c>
      <c r="V81" s="13">
        <f>IF(NOT(ISNUMBER($S81)),"",COUNTIFS($G$7:$G$850,$G81,$S$7:$S$850,"&gt;"&amp;$S81)+COUNTIFS($G$7:$G81,$G81,$S$7:$S81,$S81))</f>
        <v/>
      </c>
      <c r="W81" s="13">
        <f>IF(NOT(ISNUMBER($S81)),"",COUNTIFS($G$7:$G$850,$G81,$S$7:$S$850,"&lt;"&amp;$S81)+COUNTIFS($G$7:$G81,$G81,$S$7:$S81,$S81))</f>
        <v/>
      </c>
      <c r="X81" s="8">
        <f>IF($V81="","",$G81&amp;"|"&amp;$V81)</f>
        <v/>
      </c>
      <c r="Y81" s="8">
        <f>IF($W81="","",$G81&amp;"|"&amp;$W81)</f>
        <v/>
      </c>
    </row>
    <row r="82">
      <c r="A82" s="16" t="inlineStr">
        <is>
          <t>XS2497520887</t>
        </is>
      </c>
      <c r="B82" s="17">
        <f>IF($A82="","",PROPER(_xll.BDP($A82&amp;" Corp","NAME")))</f>
        <v/>
      </c>
      <c r="C82" s="17">
        <f>IF($A82="","",IFERROR(INDEX(Company_desc!$B$2:$B$1144,MATCH($A82,Company_desc!$A$2:$A$1144,0)),IFERROR(INDEX(SYZ_static!$Q$2:$Q$806,MATCH($A82,SYZ_static!$A$2:$A$806,0)),"")))</f>
        <v/>
      </c>
      <c r="D82" s="17">
        <f>IF($A82="","",IFERROR(INDEX(SYZ_static!$B$2:$B$806,MATCH($A82,SYZ_static!$A$2:$A$806,0)),""))</f>
        <v/>
      </c>
      <c r="E82" s="17">
        <f>IF($A82="","",_xll.BDP($A82&amp;" Corp","INDUSTRY_SECTOR"))</f>
        <v/>
      </c>
      <c r="F82" s="17">
        <f>IF($A82="","",PROPER(_xll.BDP($A82&amp;" Corp","COUNTRY_FULL_NAME")))</f>
        <v/>
      </c>
      <c r="G82" s="17">
        <f>IF($A82="","",_xll.BDP($A82&amp;" Corp","CRNCY"))</f>
        <v/>
      </c>
      <c r="H82" s="17">
        <f>IF($A82="","",IFERROR(INDEX(SYZ_static!$T$2:$T$806,MATCH($A82,SYZ_static!$A$2:$A$806,0)),_xll.BDP($A82&amp;" Corp","RTG_SP")))</f>
        <v/>
      </c>
      <c r="I82" s="17">
        <f>IF($A82="","",IFERROR(INDEX(SYZ_static!$S$2:$S$806,MATCH($A82,SYZ_static!$A$2:$A$806,0)),""))</f>
        <v/>
      </c>
      <c r="J82" s="17">
        <f>IF($A82="","",_xll.BDP($A82&amp;" Corp","PAYMENT_RANK"))</f>
        <v/>
      </c>
      <c r="K82" s="18">
        <f>IF($A82="","",_xll.BDP($A82&amp;" Corp","CPN"))</f>
        <v/>
      </c>
      <c r="L82" s="19">
        <f>IF($A82="","",_xll.BDP($A82&amp;" Corp","MATURITY"))</f>
        <v/>
      </c>
      <c r="M82" s="20">
        <f>IF($A82="","",IFERROR(_xll.BDP($A82&amp;" Corp","MIN_PIECE")/1000,""))</f>
        <v/>
      </c>
      <c r="N82" s="21">
        <f>IF($A82="","",_xll.BDP($A82&amp;" Corp","PX_LAST"))</f>
        <v/>
      </c>
      <c r="O82" s="21">
        <f>IF($A82="","",_xll.BDP($A82&amp;" Corp","YAS_BOND_YLD","YAS_YLD_FLAG=15"))</f>
        <v/>
      </c>
      <c r="P82" s="21">
        <f>IF($A82="","",_xll.BDP($A82&amp;" Corp","YAS_MOD_DUR"))</f>
        <v/>
      </c>
      <c r="Q82" s="22">
        <f>IF($A82="","",_xll.BDP($A82&amp;" Corp","YAS_OAS_SPRD"))</f>
        <v/>
      </c>
      <c r="R82" s="22">
        <f>IF($A82="","",_xll.BDP($A82&amp;" Corp","YAS_OAS_SPRD","SETTLE_DT",$B$2))</f>
        <v/>
      </c>
      <c r="S82" s="23">
        <f>IF($A82="","",IF(OR(NOT(ISNUMBER($Q82)),NOT(ISNUMBER($R82))),"",$Q82-$R82))</f>
        <v/>
      </c>
      <c r="T82" s="21">
        <f>IF($A82="","",_xll.BDP($A82&amp;" Corp","YAS_BOND_YLD","YAS_YLD_FLAG=15","SETTLE_DT",$B$2))</f>
        <v/>
      </c>
      <c r="U82" s="24">
        <f>IF($A82="","",IF(OR(NOT(ISNUMBER($O82)),NOT(ISNUMBER($T82))),"",$O82-$T82))</f>
        <v/>
      </c>
      <c r="V82" s="22">
        <f>IF(NOT(ISNUMBER($S82)),"",COUNTIFS($G$7:$G$850,$G82,$S$7:$S$850,"&gt;"&amp;$S82)+COUNTIFS($G$7:$G82,$G82,$S$7:$S82,$S82))</f>
        <v/>
      </c>
      <c r="W82" s="22">
        <f>IF(NOT(ISNUMBER($S82)),"",COUNTIFS($G$7:$G$850,$G82,$S$7:$S$850,"&lt;"&amp;$S82)+COUNTIFS($G$7:$G82,$G82,$S$7:$S82,$S82))</f>
        <v/>
      </c>
      <c r="X82" s="17">
        <f>IF($V82="","",$G82&amp;"|"&amp;$V82)</f>
        <v/>
      </c>
      <c r="Y82" s="17">
        <f>IF($W82="","",$G82&amp;"|"&amp;$W82)</f>
        <v/>
      </c>
    </row>
    <row r="83">
      <c r="A83" s="7" t="inlineStr">
        <is>
          <t>USP7372BAA19</t>
        </is>
      </c>
      <c r="B83" s="8">
        <f>IF($A83="","",PROPER(_xll.BDP($A83&amp;" Corp","NAME")))</f>
        <v/>
      </c>
      <c r="C83" s="8">
        <f>IF($A83="","",IFERROR(INDEX(Company_desc!$B$2:$B$1144,MATCH($A83,Company_desc!$A$2:$A$1144,0)),IFERROR(INDEX(SYZ_static!$Q$2:$Q$806,MATCH($A83,SYZ_static!$A$2:$A$806,0)),"")))</f>
        <v/>
      </c>
      <c r="D83" s="8">
        <f>IF($A83="","",IFERROR(INDEX(SYZ_static!$B$2:$B$806,MATCH($A83,SYZ_static!$A$2:$A$806,0)),""))</f>
        <v/>
      </c>
      <c r="E83" s="8">
        <f>IF($A83="","",_xll.BDP($A83&amp;" Corp","INDUSTRY_SECTOR"))</f>
        <v/>
      </c>
      <c r="F83" s="8">
        <f>IF($A83="","",PROPER(_xll.BDP($A83&amp;" Corp","COUNTRY_FULL_NAME")))</f>
        <v/>
      </c>
      <c r="G83" s="8">
        <f>IF($A83="","",_xll.BDP($A83&amp;" Corp","CRNCY"))</f>
        <v/>
      </c>
      <c r="H83" s="8">
        <f>IF($A83="","",IFERROR(INDEX(SYZ_static!$T$2:$T$806,MATCH($A83,SYZ_static!$A$2:$A$806,0)),_xll.BDP($A83&amp;" Corp","RTG_SP")))</f>
        <v/>
      </c>
      <c r="I83" s="8">
        <f>IF($A83="","",IFERROR(INDEX(SYZ_static!$S$2:$S$806,MATCH($A83,SYZ_static!$A$2:$A$806,0)),""))</f>
        <v/>
      </c>
      <c r="J83" s="8">
        <f>IF($A83="","",_xll.BDP($A83&amp;" Corp","PAYMENT_RANK"))</f>
        <v/>
      </c>
      <c r="K83" s="9">
        <f>IF($A83="","",_xll.BDP($A83&amp;" Corp","CPN"))</f>
        <v/>
      </c>
      <c r="L83" s="10">
        <f>IF($A83="","",_xll.BDP($A83&amp;" Corp","MATURITY"))</f>
        <v/>
      </c>
      <c r="M83" s="11">
        <f>IF($A83="","",IFERROR(_xll.BDP($A83&amp;" Corp","MIN_PIECE")/1000,""))</f>
        <v/>
      </c>
      <c r="N83" s="12">
        <f>IF($A83="","",_xll.BDP($A83&amp;" Corp","PX_LAST"))</f>
        <v/>
      </c>
      <c r="O83" s="12">
        <f>IF($A83="","",_xll.BDP($A83&amp;" Corp","YAS_BOND_YLD","YAS_YLD_FLAG=15"))</f>
        <v/>
      </c>
      <c r="P83" s="12">
        <f>IF($A83="","",_xll.BDP($A83&amp;" Corp","YAS_MOD_DUR"))</f>
        <v/>
      </c>
      <c r="Q83" s="13">
        <f>IF($A83="","",_xll.BDP($A83&amp;" Corp","YAS_OAS_SPRD"))</f>
        <v/>
      </c>
      <c r="R83" s="13">
        <f>IF($A83="","",_xll.BDP($A83&amp;" Corp","YAS_OAS_SPRD","SETTLE_DT",$B$2))</f>
        <v/>
      </c>
      <c r="S83" s="14">
        <f>IF($A83="","",IF(OR(NOT(ISNUMBER($Q83)),NOT(ISNUMBER($R83))),"",$Q83-$R83))</f>
        <v/>
      </c>
      <c r="T83" s="12">
        <f>IF($A83="","",_xll.BDP($A83&amp;" Corp","YAS_BOND_YLD","YAS_YLD_FLAG=15","SETTLE_DT",$B$2))</f>
        <v/>
      </c>
      <c r="U83" s="15">
        <f>IF($A83="","",IF(OR(NOT(ISNUMBER($O83)),NOT(ISNUMBER($T83))),"",$O83-$T83))</f>
        <v/>
      </c>
      <c r="V83" s="13">
        <f>IF(NOT(ISNUMBER($S83)),"",COUNTIFS($G$7:$G$850,$G83,$S$7:$S$850,"&gt;"&amp;$S83)+COUNTIFS($G$7:$G83,$G83,$S$7:$S83,$S83))</f>
        <v/>
      </c>
      <c r="W83" s="13">
        <f>IF(NOT(ISNUMBER($S83)),"",COUNTIFS($G$7:$G$850,$G83,$S$7:$S$850,"&lt;"&amp;$S83)+COUNTIFS($G$7:$G83,$G83,$S$7:$S83,$S83))</f>
        <v/>
      </c>
      <c r="X83" s="8">
        <f>IF($V83="","",$G83&amp;"|"&amp;$V83)</f>
        <v/>
      </c>
      <c r="Y83" s="8">
        <f>IF($W83="","",$G83&amp;"|"&amp;$W83)</f>
        <v/>
      </c>
    </row>
    <row r="84">
      <c r="A84" s="16" t="inlineStr">
        <is>
          <t>XS2810168737</t>
        </is>
      </c>
      <c r="B84" s="17">
        <f>IF($A84="","",PROPER(_xll.BDP($A84&amp;" Corp","NAME")))</f>
        <v/>
      </c>
      <c r="C84" s="17">
        <f>IF($A84="","",IFERROR(INDEX(Company_desc!$B$2:$B$1144,MATCH($A84,Company_desc!$A$2:$A$1144,0)),IFERROR(INDEX(SYZ_static!$Q$2:$Q$806,MATCH($A84,SYZ_static!$A$2:$A$806,0)),"")))</f>
        <v/>
      </c>
      <c r="D84" s="17">
        <f>IF($A84="","",IFERROR(INDEX(SYZ_static!$B$2:$B$806,MATCH($A84,SYZ_static!$A$2:$A$806,0)),""))</f>
        <v/>
      </c>
      <c r="E84" s="17">
        <f>IF($A84="","",_xll.BDP($A84&amp;" Corp","INDUSTRY_SECTOR"))</f>
        <v/>
      </c>
      <c r="F84" s="17">
        <f>IF($A84="","",PROPER(_xll.BDP($A84&amp;" Corp","COUNTRY_FULL_NAME")))</f>
        <v/>
      </c>
      <c r="G84" s="17">
        <f>IF($A84="","",_xll.BDP($A84&amp;" Corp","CRNCY"))</f>
        <v/>
      </c>
      <c r="H84" s="17">
        <f>IF($A84="","",IFERROR(INDEX(SYZ_static!$T$2:$T$806,MATCH($A84,SYZ_static!$A$2:$A$806,0)),_xll.BDP($A84&amp;" Corp","RTG_SP")))</f>
        <v/>
      </c>
      <c r="I84" s="17">
        <f>IF($A84="","",IFERROR(INDEX(SYZ_static!$S$2:$S$806,MATCH($A84,SYZ_static!$A$2:$A$806,0)),""))</f>
        <v/>
      </c>
      <c r="J84" s="17">
        <f>IF($A84="","",_xll.BDP($A84&amp;" Corp","PAYMENT_RANK"))</f>
        <v/>
      </c>
      <c r="K84" s="18">
        <f>IF($A84="","",_xll.BDP($A84&amp;" Corp","CPN"))</f>
        <v/>
      </c>
      <c r="L84" s="19">
        <f>IF($A84="","",_xll.BDP($A84&amp;" Corp","MATURITY"))</f>
        <v/>
      </c>
      <c r="M84" s="20">
        <f>IF($A84="","",IFERROR(_xll.BDP($A84&amp;" Corp","MIN_PIECE")/1000,""))</f>
        <v/>
      </c>
      <c r="N84" s="21">
        <f>IF($A84="","",_xll.BDP($A84&amp;" Corp","PX_LAST"))</f>
        <v/>
      </c>
      <c r="O84" s="21">
        <f>IF($A84="","",_xll.BDP($A84&amp;" Corp","YAS_BOND_YLD","YAS_YLD_FLAG=15"))</f>
        <v/>
      </c>
      <c r="P84" s="21">
        <f>IF($A84="","",_xll.BDP($A84&amp;" Corp","YAS_MOD_DUR"))</f>
        <v/>
      </c>
      <c r="Q84" s="22">
        <f>IF($A84="","",_xll.BDP($A84&amp;" Corp","YAS_OAS_SPRD"))</f>
        <v/>
      </c>
      <c r="R84" s="22">
        <f>IF($A84="","",_xll.BDP($A84&amp;" Corp","YAS_OAS_SPRD","SETTLE_DT",$B$2))</f>
        <v/>
      </c>
      <c r="S84" s="23">
        <f>IF($A84="","",IF(OR(NOT(ISNUMBER($Q84)),NOT(ISNUMBER($R84))),"",$Q84-$R84))</f>
        <v/>
      </c>
      <c r="T84" s="21">
        <f>IF($A84="","",_xll.BDP($A84&amp;" Corp","YAS_BOND_YLD","YAS_YLD_FLAG=15","SETTLE_DT",$B$2))</f>
        <v/>
      </c>
      <c r="U84" s="24">
        <f>IF($A84="","",IF(OR(NOT(ISNUMBER($O84)),NOT(ISNUMBER($T84))),"",$O84-$T84))</f>
        <v/>
      </c>
      <c r="V84" s="22">
        <f>IF(NOT(ISNUMBER($S84)),"",COUNTIFS($G$7:$G$850,$G84,$S$7:$S$850,"&gt;"&amp;$S84)+COUNTIFS($G$7:$G84,$G84,$S$7:$S84,$S84))</f>
        <v/>
      </c>
      <c r="W84" s="22">
        <f>IF(NOT(ISNUMBER($S84)),"",COUNTIFS($G$7:$G$850,$G84,$S$7:$S$850,"&lt;"&amp;$S84)+COUNTIFS($G$7:$G84,$G84,$S$7:$S84,$S84))</f>
        <v/>
      </c>
      <c r="X84" s="17">
        <f>IF($V84="","",$G84&amp;"|"&amp;$V84)</f>
        <v/>
      </c>
      <c r="Y84" s="17">
        <f>IF($W84="","",$G84&amp;"|"&amp;$W84)</f>
        <v/>
      </c>
    </row>
    <row r="85">
      <c r="A85" s="7" t="inlineStr">
        <is>
          <t>US83368TBS69</t>
        </is>
      </c>
      <c r="B85" s="8">
        <f>IF($A85="","",PROPER(_xll.BDP($A85&amp;" Corp","NAME")))</f>
        <v/>
      </c>
      <c r="C85" s="8">
        <f>IF($A85="","",IFERROR(INDEX(Company_desc!$B$2:$B$1144,MATCH($A85,Company_desc!$A$2:$A$1144,0)),IFERROR(INDEX(SYZ_static!$Q$2:$Q$806,MATCH($A85,SYZ_static!$A$2:$A$806,0)),"")))</f>
        <v/>
      </c>
      <c r="D85" s="8">
        <f>IF($A85="","",IFERROR(INDEX(SYZ_static!$B$2:$B$806,MATCH($A85,SYZ_static!$A$2:$A$806,0)),""))</f>
        <v/>
      </c>
      <c r="E85" s="8">
        <f>IF($A85="","",_xll.BDP($A85&amp;" Corp","INDUSTRY_SECTOR"))</f>
        <v/>
      </c>
      <c r="F85" s="8">
        <f>IF($A85="","",PROPER(_xll.BDP($A85&amp;" Corp","COUNTRY_FULL_NAME")))</f>
        <v/>
      </c>
      <c r="G85" s="8">
        <f>IF($A85="","",_xll.BDP($A85&amp;" Corp","CRNCY"))</f>
        <v/>
      </c>
      <c r="H85" s="8">
        <f>IF($A85="","",IFERROR(INDEX(SYZ_static!$T$2:$T$806,MATCH($A85,SYZ_static!$A$2:$A$806,0)),_xll.BDP($A85&amp;" Corp","RTG_SP")))</f>
        <v/>
      </c>
      <c r="I85" s="8">
        <f>IF($A85="","",IFERROR(INDEX(SYZ_static!$S$2:$S$806,MATCH($A85,SYZ_static!$A$2:$A$806,0)),""))</f>
        <v/>
      </c>
      <c r="J85" s="8">
        <f>IF($A85="","",_xll.BDP($A85&amp;" Corp","PAYMENT_RANK"))</f>
        <v/>
      </c>
      <c r="K85" s="9">
        <f>IF($A85="","",_xll.BDP($A85&amp;" Corp","CPN"))</f>
        <v/>
      </c>
      <c r="L85" s="10">
        <f>IF($A85="","",_xll.BDP($A85&amp;" Corp","MATURITY"))</f>
        <v/>
      </c>
      <c r="M85" s="11">
        <f>IF($A85="","",IFERROR(_xll.BDP($A85&amp;" Corp","MIN_PIECE")/1000,""))</f>
        <v/>
      </c>
      <c r="N85" s="12">
        <f>IF($A85="","",_xll.BDP($A85&amp;" Corp","PX_LAST"))</f>
        <v/>
      </c>
      <c r="O85" s="12">
        <f>IF($A85="","",_xll.BDP($A85&amp;" Corp","YAS_BOND_YLD","YAS_YLD_FLAG=15"))</f>
        <v/>
      </c>
      <c r="P85" s="12">
        <f>IF($A85="","",_xll.BDP($A85&amp;" Corp","YAS_MOD_DUR"))</f>
        <v/>
      </c>
      <c r="Q85" s="13">
        <f>IF($A85="","",_xll.BDP($A85&amp;" Corp","YAS_OAS_SPRD"))</f>
        <v/>
      </c>
      <c r="R85" s="13">
        <f>IF($A85="","",_xll.BDP($A85&amp;" Corp","YAS_OAS_SPRD","SETTLE_DT",$B$2))</f>
        <v/>
      </c>
      <c r="S85" s="14">
        <f>IF($A85="","",IF(OR(NOT(ISNUMBER($Q85)),NOT(ISNUMBER($R85))),"",$Q85-$R85))</f>
        <v/>
      </c>
      <c r="T85" s="12">
        <f>IF($A85="","",_xll.BDP($A85&amp;" Corp","YAS_BOND_YLD","YAS_YLD_FLAG=15","SETTLE_DT",$B$2))</f>
        <v/>
      </c>
      <c r="U85" s="15">
        <f>IF($A85="","",IF(OR(NOT(ISNUMBER($O85)),NOT(ISNUMBER($T85))),"",$O85-$T85))</f>
        <v/>
      </c>
      <c r="V85" s="13">
        <f>IF(NOT(ISNUMBER($S85)),"",COUNTIFS($G$7:$G$850,$G85,$S$7:$S$850,"&gt;"&amp;$S85)+COUNTIFS($G$7:$G85,$G85,$S$7:$S85,$S85))</f>
        <v/>
      </c>
      <c r="W85" s="13">
        <f>IF(NOT(ISNUMBER($S85)),"",COUNTIFS($G$7:$G$850,$G85,$S$7:$S$850,"&lt;"&amp;$S85)+COUNTIFS($G$7:$G85,$G85,$S$7:$S85,$S85))</f>
        <v/>
      </c>
      <c r="X85" s="8">
        <f>IF($V85="","",$G85&amp;"|"&amp;$V85)</f>
        <v/>
      </c>
      <c r="Y85" s="8">
        <f>IF($W85="","",$G85&amp;"|"&amp;$W85)</f>
        <v/>
      </c>
    </row>
    <row r="86">
      <c r="A86" s="16" t="inlineStr">
        <is>
          <t>USP5300PAB96</t>
        </is>
      </c>
      <c r="B86" s="17">
        <f>IF($A86="","",PROPER(_xll.BDP($A86&amp;" Corp","NAME")))</f>
        <v/>
      </c>
      <c r="C86" s="17">
        <f>IF($A86="","",IFERROR(INDEX(Company_desc!$B$2:$B$1144,MATCH($A86,Company_desc!$A$2:$A$1144,0)),IFERROR(INDEX(SYZ_static!$Q$2:$Q$806,MATCH($A86,SYZ_static!$A$2:$A$806,0)),"")))</f>
        <v/>
      </c>
      <c r="D86" s="17">
        <f>IF($A86="","",IFERROR(INDEX(SYZ_static!$B$2:$B$806,MATCH($A86,SYZ_static!$A$2:$A$806,0)),""))</f>
        <v/>
      </c>
      <c r="E86" s="17">
        <f>IF($A86="","",_xll.BDP($A86&amp;" Corp","INDUSTRY_SECTOR"))</f>
        <v/>
      </c>
      <c r="F86" s="17">
        <f>IF($A86="","",PROPER(_xll.BDP($A86&amp;" Corp","COUNTRY_FULL_NAME")))</f>
        <v/>
      </c>
      <c r="G86" s="17">
        <f>IF($A86="","",_xll.BDP($A86&amp;" Corp","CRNCY"))</f>
        <v/>
      </c>
      <c r="H86" s="17">
        <f>IF($A86="","",IFERROR(INDEX(SYZ_static!$T$2:$T$806,MATCH($A86,SYZ_static!$A$2:$A$806,0)),_xll.BDP($A86&amp;" Corp","RTG_SP")))</f>
        <v/>
      </c>
      <c r="I86" s="17">
        <f>IF($A86="","",IFERROR(INDEX(SYZ_static!$S$2:$S$806,MATCH($A86,SYZ_static!$A$2:$A$806,0)),""))</f>
        <v/>
      </c>
      <c r="J86" s="17">
        <f>IF($A86="","",_xll.BDP($A86&amp;" Corp","PAYMENT_RANK"))</f>
        <v/>
      </c>
      <c r="K86" s="18">
        <f>IF($A86="","",_xll.BDP($A86&amp;" Corp","CPN"))</f>
        <v/>
      </c>
      <c r="L86" s="19">
        <f>IF($A86="","",_xll.BDP($A86&amp;" Corp","MATURITY"))</f>
        <v/>
      </c>
      <c r="M86" s="20">
        <f>IF($A86="","",IFERROR(_xll.BDP($A86&amp;" Corp","MIN_PIECE")/1000,""))</f>
        <v/>
      </c>
      <c r="N86" s="21">
        <f>IF($A86="","",_xll.BDP($A86&amp;" Corp","PX_LAST"))</f>
        <v/>
      </c>
      <c r="O86" s="21">
        <f>IF($A86="","",_xll.BDP($A86&amp;" Corp","YAS_BOND_YLD","YAS_YLD_FLAG=15"))</f>
        <v/>
      </c>
      <c r="P86" s="21">
        <f>IF($A86="","",_xll.BDP($A86&amp;" Corp","YAS_MOD_DUR"))</f>
        <v/>
      </c>
      <c r="Q86" s="22">
        <f>IF($A86="","",_xll.BDP($A86&amp;" Corp","YAS_OAS_SPRD"))</f>
        <v/>
      </c>
      <c r="R86" s="22">
        <f>IF($A86="","",_xll.BDP($A86&amp;" Corp","YAS_OAS_SPRD","SETTLE_DT",$B$2))</f>
        <v/>
      </c>
      <c r="S86" s="23">
        <f>IF($A86="","",IF(OR(NOT(ISNUMBER($Q86)),NOT(ISNUMBER($R86))),"",$Q86-$R86))</f>
        <v/>
      </c>
      <c r="T86" s="21">
        <f>IF($A86="","",_xll.BDP($A86&amp;" Corp","YAS_BOND_YLD","YAS_YLD_FLAG=15","SETTLE_DT",$B$2))</f>
        <v/>
      </c>
      <c r="U86" s="24">
        <f>IF($A86="","",IF(OR(NOT(ISNUMBER($O86)),NOT(ISNUMBER($T86))),"",$O86-$T86))</f>
        <v/>
      </c>
      <c r="V86" s="22">
        <f>IF(NOT(ISNUMBER($S86)),"",COUNTIFS($G$7:$G$850,$G86,$S$7:$S$850,"&gt;"&amp;$S86)+COUNTIFS($G$7:$G86,$G86,$S$7:$S86,$S86))</f>
        <v/>
      </c>
      <c r="W86" s="22">
        <f>IF(NOT(ISNUMBER($S86)),"",COUNTIFS($G$7:$G$850,$G86,$S$7:$S$850,"&lt;"&amp;$S86)+COUNTIFS($G$7:$G86,$G86,$S$7:$S86,$S86))</f>
        <v/>
      </c>
      <c r="X86" s="17">
        <f>IF($V86="","",$G86&amp;"|"&amp;$V86)</f>
        <v/>
      </c>
      <c r="Y86" s="17">
        <f>IF($W86="","",$G86&amp;"|"&amp;$W86)</f>
        <v/>
      </c>
    </row>
    <row r="87">
      <c r="A87" s="7" t="inlineStr">
        <is>
          <t>XS0835891838</t>
        </is>
      </c>
      <c r="B87" s="8">
        <f>IF($A87="","",PROPER(_xll.BDP($A87&amp;" Corp","NAME")))</f>
        <v/>
      </c>
      <c r="C87" s="8">
        <f>IF($A87="","",IFERROR(INDEX(Company_desc!$B$2:$B$1144,MATCH($A87,Company_desc!$A$2:$A$1144,0)),IFERROR(INDEX(SYZ_static!$Q$2:$Q$806,MATCH($A87,SYZ_static!$A$2:$A$806,0)),"")))</f>
        <v/>
      </c>
      <c r="D87" s="8">
        <f>IF($A87="","",IFERROR(INDEX(SYZ_static!$B$2:$B$806,MATCH($A87,SYZ_static!$A$2:$A$806,0)),""))</f>
        <v/>
      </c>
      <c r="E87" s="8">
        <f>IF($A87="","",_xll.BDP($A87&amp;" Corp","INDUSTRY_SECTOR"))</f>
        <v/>
      </c>
      <c r="F87" s="8">
        <f>IF($A87="","",PROPER(_xll.BDP($A87&amp;" Corp","COUNTRY_FULL_NAME")))</f>
        <v/>
      </c>
      <c r="G87" s="8">
        <f>IF($A87="","",_xll.BDP($A87&amp;" Corp","CRNCY"))</f>
        <v/>
      </c>
      <c r="H87" s="8">
        <f>IF($A87="","",IFERROR(INDEX(SYZ_static!$T$2:$T$806,MATCH($A87,SYZ_static!$A$2:$A$806,0)),_xll.BDP($A87&amp;" Corp","RTG_SP")))</f>
        <v/>
      </c>
      <c r="I87" s="8">
        <f>IF($A87="","",IFERROR(INDEX(SYZ_static!$S$2:$S$806,MATCH($A87,SYZ_static!$A$2:$A$806,0)),""))</f>
        <v/>
      </c>
      <c r="J87" s="8">
        <f>IF($A87="","",_xll.BDP($A87&amp;" Corp","PAYMENT_RANK"))</f>
        <v/>
      </c>
      <c r="K87" s="9">
        <f>IF($A87="","",_xll.BDP($A87&amp;" Corp","CPN"))</f>
        <v/>
      </c>
      <c r="L87" s="10">
        <f>IF($A87="","",_xll.BDP($A87&amp;" Corp","MATURITY"))</f>
        <v/>
      </c>
      <c r="M87" s="11">
        <f>IF($A87="","",IFERROR(_xll.BDP($A87&amp;" Corp","MIN_PIECE")/1000,""))</f>
        <v/>
      </c>
      <c r="N87" s="12">
        <f>IF($A87="","",_xll.BDP($A87&amp;" Corp","PX_LAST"))</f>
        <v/>
      </c>
      <c r="O87" s="12">
        <f>IF($A87="","",_xll.BDP($A87&amp;" Corp","YAS_BOND_YLD","YAS_YLD_FLAG=15"))</f>
        <v/>
      </c>
      <c r="P87" s="12">
        <f>IF($A87="","",_xll.BDP($A87&amp;" Corp","YAS_MOD_DUR"))</f>
        <v/>
      </c>
      <c r="Q87" s="13">
        <f>IF($A87="","",_xll.BDP($A87&amp;" Corp","YAS_OAS_SPRD"))</f>
        <v/>
      </c>
      <c r="R87" s="13">
        <f>IF($A87="","",_xll.BDP($A87&amp;" Corp","YAS_OAS_SPRD","SETTLE_DT",$B$2))</f>
        <v/>
      </c>
      <c r="S87" s="14">
        <f>IF($A87="","",IF(OR(NOT(ISNUMBER($Q87)),NOT(ISNUMBER($R87))),"",$Q87-$R87))</f>
        <v/>
      </c>
      <c r="T87" s="12">
        <f>IF($A87="","",_xll.BDP($A87&amp;" Corp","YAS_BOND_YLD","YAS_YLD_FLAG=15","SETTLE_DT",$B$2))</f>
        <v/>
      </c>
      <c r="U87" s="15">
        <f>IF($A87="","",IF(OR(NOT(ISNUMBER($O87)),NOT(ISNUMBER($T87))),"",$O87-$T87))</f>
        <v/>
      </c>
      <c r="V87" s="13">
        <f>IF(NOT(ISNUMBER($S87)),"",COUNTIFS($G$7:$G$850,$G87,$S$7:$S$850,"&gt;"&amp;$S87)+COUNTIFS($G$7:$G87,$G87,$S$7:$S87,$S87))</f>
        <v/>
      </c>
      <c r="W87" s="13">
        <f>IF(NOT(ISNUMBER($S87)),"",COUNTIFS($G$7:$G$850,$G87,$S$7:$S$850,"&lt;"&amp;$S87)+COUNTIFS($G$7:$G87,$G87,$S$7:$S87,$S87))</f>
        <v/>
      </c>
      <c r="X87" s="8">
        <f>IF($V87="","",$G87&amp;"|"&amp;$V87)</f>
        <v/>
      </c>
      <c r="Y87" s="8">
        <f>IF($W87="","",$G87&amp;"|"&amp;$W87)</f>
        <v/>
      </c>
    </row>
    <row r="88">
      <c r="A88" s="16" t="inlineStr">
        <is>
          <t>USG98239AA72</t>
        </is>
      </c>
      <c r="B88" s="17">
        <f>IF($A88="","",PROPER(_xll.BDP($A88&amp;" Corp","NAME")))</f>
        <v/>
      </c>
      <c r="C88" s="17">
        <f>IF($A88="","",IFERROR(INDEX(Company_desc!$B$2:$B$1144,MATCH($A88,Company_desc!$A$2:$A$1144,0)),IFERROR(INDEX(SYZ_static!$Q$2:$Q$806,MATCH($A88,SYZ_static!$A$2:$A$806,0)),"")))</f>
        <v/>
      </c>
      <c r="D88" s="17">
        <f>IF($A88="","",IFERROR(INDEX(SYZ_static!$B$2:$B$806,MATCH($A88,SYZ_static!$A$2:$A$806,0)),""))</f>
        <v/>
      </c>
      <c r="E88" s="17">
        <f>IF($A88="","",_xll.BDP($A88&amp;" Corp","INDUSTRY_SECTOR"))</f>
        <v/>
      </c>
      <c r="F88" s="17">
        <f>IF($A88="","",PROPER(_xll.BDP($A88&amp;" Corp","COUNTRY_FULL_NAME")))</f>
        <v/>
      </c>
      <c r="G88" s="17">
        <f>IF($A88="","",_xll.BDP($A88&amp;" Corp","CRNCY"))</f>
        <v/>
      </c>
      <c r="H88" s="17">
        <f>IF($A88="","",IFERROR(INDEX(SYZ_static!$T$2:$T$806,MATCH($A88,SYZ_static!$A$2:$A$806,0)),_xll.BDP($A88&amp;" Corp","RTG_SP")))</f>
        <v/>
      </c>
      <c r="I88" s="17">
        <f>IF($A88="","",IFERROR(INDEX(SYZ_static!$S$2:$S$806,MATCH($A88,SYZ_static!$A$2:$A$806,0)),""))</f>
        <v/>
      </c>
      <c r="J88" s="17">
        <f>IF($A88="","",_xll.BDP($A88&amp;" Corp","PAYMENT_RANK"))</f>
        <v/>
      </c>
      <c r="K88" s="18">
        <f>IF($A88="","",_xll.BDP($A88&amp;" Corp","CPN"))</f>
        <v/>
      </c>
      <c r="L88" s="19">
        <f>IF($A88="","",_xll.BDP($A88&amp;" Corp","MATURITY"))</f>
        <v/>
      </c>
      <c r="M88" s="20">
        <f>IF($A88="","",IFERROR(_xll.BDP($A88&amp;" Corp","MIN_PIECE")/1000,""))</f>
        <v/>
      </c>
      <c r="N88" s="21">
        <f>IF($A88="","",_xll.BDP($A88&amp;" Corp","PX_LAST"))</f>
        <v/>
      </c>
      <c r="O88" s="21">
        <f>IF($A88="","",_xll.BDP($A88&amp;" Corp","YAS_BOND_YLD","YAS_YLD_FLAG=15"))</f>
        <v/>
      </c>
      <c r="P88" s="21">
        <f>IF($A88="","",_xll.BDP($A88&amp;" Corp","YAS_MOD_DUR"))</f>
        <v/>
      </c>
      <c r="Q88" s="22">
        <f>IF($A88="","",_xll.BDP($A88&amp;" Corp","YAS_OAS_SPRD"))</f>
        <v/>
      </c>
      <c r="R88" s="22">
        <f>IF($A88="","",_xll.BDP($A88&amp;" Corp","YAS_OAS_SPRD","SETTLE_DT",$B$2))</f>
        <v/>
      </c>
      <c r="S88" s="23">
        <f>IF($A88="","",IF(OR(NOT(ISNUMBER($Q88)),NOT(ISNUMBER($R88))),"",$Q88-$R88))</f>
        <v/>
      </c>
      <c r="T88" s="21">
        <f>IF($A88="","",_xll.BDP($A88&amp;" Corp","YAS_BOND_YLD","YAS_YLD_FLAG=15","SETTLE_DT",$B$2))</f>
        <v/>
      </c>
      <c r="U88" s="24">
        <f>IF($A88="","",IF(OR(NOT(ISNUMBER($O88)),NOT(ISNUMBER($T88))),"",$O88-$T88))</f>
        <v/>
      </c>
      <c r="V88" s="22">
        <f>IF(NOT(ISNUMBER($S88)),"",COUNTIFS($G$7:$G$850,$G88,$S$7:$S$850,"&gt;"&amp;$S88)+COUNTIFS($G$7:$G88,$G88,$S$7:$S88,$S88))</f>
        <v/>
      </c>
      <c r="W88" s="22">
        <f>IF(NOT(ISNUMBER($S88)),"",COUNTIFS($G$7:$G$850,$G88,$S$7:$S$850,"&lt;"&amp;$S88)+COUNTIFS($G$7:$G88,$G88,$S$7:$S88,$S88))</f>
        <v/>
      </c>
      <c r="X88" s="17">
        <f>IF($V88="","",$G88&amp;"|"&amp;$V88)</f>
        <v/>
      </c>
      <c r="Y88" s="17">
        <f>IF($W88="","",$G88&amp;"|"&amp;$W88)</f>
        <v/>
      </c>
    </row>
    <row r="89">
      <c r="A89" s="7" t="inlineStr">
        <is>
          <t>XS2892967782</t>
        </is>
      </c>
      <c r="B89" s="8">
        <f>IF($A89="","",PROPER(_xll.BDP($A89&amp;" Corp","NAME")))</f>
        <v/>
      </c>
      <c r="C89" s="8">
        <f>IF($A89="","",IFERROR(INDEX(Company_desc!$B$2:$B$1144,MATCH($A89,Company_desc!$A$2:$A$1144,0)),IFERROR(INDEX(SYZ_static!$Q$2:$Q$806,MATCH($A89,SYZ_static!$A$2:$A$806,0)),"")))</f>
        <v/>
      </c>
      <c r="D89" s="8">
        <f>IF($A89="","",IFERROR(INDEX(SYZ_static!$B$2:$B$806,MATCH($A89,SYZ_static!$A$2:$A$806,0)),""))</f>
        <v/>
      </c>
      <c r="E89" s="8">
        <f>IF($A89="","",_xll.BDP($A89&amp;" Corp","INDUSTRY_SECTOR"))</f>
        <v/>
      </c>
      <c r="F89" s="8">
        <f>IF($A89="","",PROPER(_xll.BDP($A89&amp;" Corp","COUNTRY_FULL_NAME")))</f>
        <v/>
      </c>
      <c r="G89" s="8">
        <f>IF($A89="","",_xll.BDP($A89&amp;" Corp","CRNCY"))</f>
        <v/>
      </c>
      <c r="H89" s="8">
        <f>IF($A89="","",IFERROR(INDEX(SYZ_static!$T$2:$T$806,MATCH($A89,SYZ_static!$A$2:$A$806,0)),_xll.BDP($A89&amp;" Corp","RTG_SP")))</f>
        <v/>
      </c>
      <c r="I89" s="8">
        <f>IF($A89="","",IFERROR(INDEX(SYZ_static!$S$2:$S$806,MATCH($A89,SYZ_static!$A$2:$A$806,0)),""))</f>
        <v/>
      </c>
      <c r="J89" s="8">
        <f>IF($A89="","",_xll.BDP($A89&amp;" Corp","PAYMENT_RANK"))</f>
        <v/>
      </c>
      <c r="K89" s="9">
        <f>IF($A89="","",_xll.BDP($A89&amp;" Corp","CPN"))</f>
        <v/>
      </c>
      <c r="L89" s="10">
        <f>IF($A89="","",_xll.BDP($A89&amp;" Corp","MATURITY"))</f>
        <v/>
      </c>
      <c r="M89" s="11">
        <f>IF($A89="","",IFERROR(_xll.BDP($A89&amp;" Corp","MIN_PIECE")/1000,""))</f>
        <v/>
      </c>
      <c r="N89" s="12">
        <f>IF($A89="","",_xll.BDP($A89&amp;" Corp","PX_LAST"))</f>
        <v/>
      </c>
      <c r="O89" s="12">
        <f>IF($A89="","",_xll.BDP($A89&amp;" Corp","YAS_BOND_YLD","YAS_YLD_FLAG=15"))</f>
        <v/>
      </c>
      <c r="P89" s="12">
        <f>IF($A89="","",_xll.BDP($A89&amp;" Corp","YAS_MOD_DUR"))</f>
        <v/>
      </c>
      <c r="Q89" s="13">
        <f>IF($A89="","",_xll.BDP($A89&amp;" Corp","YAS_OAS_SPRD"))</f>
        <v/>
      </c>
      <c r="R89" s="13">
        <f>IF($A89="","",_xll.BDP($A89&amp;" Corp","YAS_OAS_SPRD","SETTLE_DT",$B$2))</f>
        <v/>
      </c>
      <c r="S89" s="14">
        <f>IF($A89="","",IF(OR(NOT(ISNUMBER($Q89)),NOT(ISNUMBER($R89))),"",$Q89-$R89))</f>
        <v/>
      </c>
      <c r="T89" s="12">
        <f>IF($A89="","",_xll.BDP($A89&amp;" Corp","YAS_BOND_YLD","YAS_YLD_FLAG=15","SETTLE_DT",$B$2))</f>
        <v/>
      </c>
      <c r="U89" s="15">
        <f>IF($A89="","",IF(OR(NOT(ISNUMBER($O89)),NOT(ISNUMBER($T89))),"",$O89-$T89))</f>
        <v/>
      </c>
      <c r="V89" s="13">
        <f>IF(NOT(ISNUMBER($S89)),"",COUNTIFS($G$7:$G$850,$G89,$S$7:$S$850,"&gt;"&amp;$S89)+COUNTIFS($G$7:$G89,$G89,$S$7:$S89,$S89))</f>
        <v/>
      </c>
      <c r="W89" s="13">
        <f>IF(NOT(ISNUMBER($S89)),"",COUNTIFS($G$7:$G$850,$G89,$S$7:$S$850,"&lt;"&amp;$S89)+COUNTIFS($G$7:$G89,$G89,$S$7:$S89,$S89))</f>
        <v/>
      </c>
      <c r="X89" s="8">
        <f>IF($V89="","",$G89&amp;"|"&amp;$V89)</f>
        <v/>
      </c>
      <c r="Y89" s="8">
        <f>IF($W89="","",$G89&amp;"|"&amp;$W89)</f>
        <v/>
      </c>
    </row>
    <row r="90">
      <c r="A90" s="16" t="inlineStr">
        <is>
          <t>USG0R209AB68</t>
        </is>
      </c>
      <c r="B90" s="17">
        <f>IF($A90="","",PROPER(_xll.BDP($A90&amp;" Corp","NAME")))</f>
        <v/>
      </c>
      <c r="C90" s="17">
        <f>IF($A90="","",IFERROR(INDEX(Company_desc!$B$2:$B$1144,MATCH($A90,Company_desc!$A$2:$A$1144,0)),IFERROR(INDEX(SYZ_static!$Q$2:$Q$806,MATCH($A90,SYZ_static!$A$2:$A$806,0)),"")))</f>
        <v/>
      </c>
      <c r="D90" s="17">
        <f>IF($A90="","",IFERROR(INDEX(SYZ_static!$B$2:$B$806,MATCH($A90,SYZ_static!$A$2:$A$806,0)),""))</f>
        <v/>
      </c>
      <c r="E90" s="17">
        <f>IF($A90="","",_xll.BDP($A90&amp;" Corp","INDUSTRY_SECTOR"))</f>
        <v/>
      </c>
      <c r="F90" s="17">
        <f>IF($A90="","",PROPER(_xll.BDP($A90&amp;" Corp","COUNTRY_FULL_NAME")))</f>
        <v/>
      </c>
      <c r="G90" s="17">
        <f>IF($A90="","",_xll.BDP($A90&amp;" Corp","CRNCY"))</f>
        <v/>
      </c>
      <c r="H90" s="17">
        <f>IF($A90="","",IFERROR(INDEX(SYZ_static!$T$2:$T$806,MATCH($A90,SYZ_static!$A$2:$A$806,0)),_xll.BDP($A90&amp;" Corp","RTG_SP")))</f>
        <v/>
      </c>
      <c r="I90" s="17">
        <f>IF($A90="","",IFERROR(INDEX(SYZ_static!$S$2:$S$806,MATCH($A90,SYZ_static!$A$2:$A$806,0)),""))</f>
        <v/>
      </c>
      <c r="J90" s="17">
        <f>IF($A90="","",_xll.BDP($A90&amp;" Corp","PAYMENT_RANK"))</f>
        <v/>
      </c>
      <c r="K90" s="18">
        <f>IF($A90="","",_xll.BDP($A90&amp;" Corp","CPN"))</f>
        <v/>
      </c>
      <c r="L90" s="19">
        <f>IF($A90="","",_xll.BDP($A90&amp;" Corp","MATURITY"))</f>
        <v/>
      </c>
      <c r="M90" s="20">
        <f>IF($A90="","",IFERROR(_xll.BDP($A90&amp;" Corp","MIN_PIECE")/1000,""))</f>
        <v/>
      </c>
      <c r="N90" s="21">
        <f>IF($A90="","",_xll.BDP($A90&amp;" Corp","PX_LAST"))</f>
        <v/>
      </c>
      <c r="O90" s="21">
        <f>IF($A90="","",_xll.BDP($A90&amp;" Corp","YAS_BOND_YLD","YAS_YLD_FLAG=15"))</f>
        <v/>
      </c>
      <c r="P90" s="21">
        <f>IF($A90="","",_xll.BDP($A90&amp;" Corp","YAS_MOD_DUR"))</f>
        <v/>
      </c>
      <c r="Q90" s="22">
        <f>IF($A90="","",_xll.BDP($A90&amp;" Corp","YAS_OAS_SPRD"))</f>
        <v/>
      </c>
      <c r="R90" s="22">
        <f>IF($A90="","",_xll.BDP($A90&amp;" Corp","YAS_OAS_SPRD","SETTLE_DT",$B$2))</f>
        <v/>
      </c>
      <c r="S90" s="23">
        <f>IF($A90="","",IF(OR(NOT(ISNUMBER($Q90)),NOT(ISNUMBER($R90))),"",$Q90-$R90))</f>
        <v/>
      </c>
      <c r="T90" s="21">
        <f>IF($A90="","",_xll.BDP($A90&amp;" Corp","YAS_BOND_YLD","YAS_YLD_FLAG=15","SETTLE_DT",$B$2))</f>
        <v/>
      </c>
      <c r="U90" s="24">
        <f>IF($A90="","",IF(OR(NOT(ISNUMBER($O90)),NOT(ISNUMBER($T90))),"",$O90-$T90))</f>
        <v/>
      </c>
      <c r="V90" s="22">
        <f>IF(NOT(ISNUMBER($S90)),"",COUNTIFS($G$7:$G$850,$G90,$S$7:$S$850,"&gt;"&amp;$S90)+COUNTIFS($G$7:$G90,$G90,$S$7:$S90,$S90))</f>
        <v/>
      </c>
      <c r="W90" s="22">
        <f>IF(NOT(ISNUMBER($S90)),"",COUNTIFS($G$7:$G$850,$G90,$S$7:$S$850,"&lt;"&amp;$S90)+COUNTIFS($G$7:$G90,$G90,$S$7:$S90,$S90))</f>
        <v/>
      </c>
      <c r="X90" s="17">
        <f>IF($V90="","",$G90&amp;"|"&amp;$V90)</f>
        <v/>
      </c>
      <c r="Y90" s="17">
        <f>IF($W90="","",$G90&amp;"|"&amp;$W90)</f>
        <v/>
      </c>
    </row>
    <row r="91">
      <c r="A91" s="7" t="inlineStr">
        <is>
          <t>USY2R40TAB40</t>
        </is>
      </c>
      <c r="B91" s="8">
        <f>IF($A91="","",PROPER(_xll.BDP($A91&amp;" Corp","NAME")))</f>
        <v/>
      </c>
      <c r="C91" s="8">
        <f>IF($A91="","",IFERROR(INDEX(Company_desc!$B$2:$B$1144,MATCH($A91,Company_desc!$A$2:$A$1144,0)),IFERROR(INDEX(SYZ_static!$Q$2:$Q$806,MATCH($A91,SYZ_static!$A$2:$A$806,0)),"")))</f>
        <v/>
      </c>
      <c r="D91" s="8">
        <f>IF($A91="","",IFERROR(INDEX(SYZ_static!$B$2:$B$806,MATCH($A91,SYZ_static!$A$2:$A$806,0)),""))</f>
        <v/>
      </c>
      <c r="E91" s="8">
        <f>IF($A91="","",_xll.BDP($A91&amp;" Corp","INDUSTRY_SECTOR"))</f>
        <v/>
      </c>
      <c r="F91" s="8">
        <f>IF($A91="","",PROPER(_xll.BDP($A91&amp;" Corp","COUNTRY_FULL_NAME")))</f>
        <v/>
      </c>
      <c r="G91" s="8">
        <f>IF($A91="","",_xll.BDP($A91&amp;" Corp","CRNCY"))</f>
        <v/>
      </c>
      <c r="H91" s="8">
        <f>IF($A91="","",IFERROR(INDEX(SYZ_static!$T$2:$T$806,MATCH($A91,SYZ_static!$A$2:$A$806,0)),_xll.BDP($A91&amp;" Corp","RTG_SP")))</f>
        <v/>
      </c>
      <c r="I91" s="8">
        <f>IF($A91="","",IFERROR(INDEX(SYZ_static!$S$2:$S$806,MATCH($A91,SYZ_static!$A$2:$A$806,0)),""))</f>
        <v/>
      </c>
      <c r="J91" s="8">
        <f>IF($A91="","",_xll.BDP($A91&amp;" Corp","PAYMENT_RANK"))</f>
        <v/>
      </c>
      <c r="K91" s="9">
        <f>IF($A91="","",_xll.BDP($A91&amp;" Corp","CPN"))</f>
        <v/>
      </c>
      <c r="L91" s="10">
        <f>IF($A91="","",_xll.BDP($A91&amp;" Corp","MATURITY"))</f>
        <v/>
      </c>
      <c r="M91" s="11">
        <f>IF($A91="","",IFERROR(_xll.BDP($A91&amp;" Corp","MIN_PIECE")/1000,""))</f>
        <v/>
      </c>
      <c r="N91" s="12">
        <f>IF($A91="","",_xll.BDP($A91&amp;" Corp","PX_LAST"))</f>
        <v/>
      </c>
      <c r="O91" s="12">
        <f>IF($A91="","",_xll.BDP($A91&amp;" Corp","YAS_BOND_YLD","YAS_YLD_FLAG=15"))</f>
        <v/>
      </c>
      <c r="P91" s="12">
        <f>IF($A91="","",_xll.BDP($A91&amp;" Corp","YAS_MOD_DUR"))</f>
        <v/>
      </c>
      <c r="Q91" s="13">
        <f>IF($A91="","",_xll.BDP($A91&amp;" Corp","YAS_OAS_SPRD"))</f>
        <v/>
      </c>
      <c r="R91" s="13">
        <f>IF($A91="","",_xll.BDP($A91&amp;" Corp","YAS_OAS_SPRD","SETTLE_DT",$B$2))</f>
        <v/>
      </c>
      <c r="S91" s="14">
        <f>IF($A91="","",IF(OR(NOT(ISNUMBER($Q91)),NOT(ISNUMBER($R91))),"",$Q91-$R91))</f>
        <v/>
      </c>
      <c r="T91" s="12">
        <f>IF($A91="","",_xll.BDP($A91&amp;" Corp","YAS_BOND_YLD","YAS_YLD_FLAG=15","SETTLE_DT",$B$2))</f>
        <v/>
      </c>
      <c r="U91" s="15">
        <f>IF($A91="","",IF(OR(NOT(ISNUMBER($O91)),NOT(ISNUMBER($T91))),"",$O91-$T91))</f>
        <v/>
      </c>
      <c r="V91" s="13">
        <f>IF(NOT(ISNUMBER($S91)),"",COUNTIFS($G$7:$G$850,$G91,$S$7:$S$850,"&gt;"&amp;$S91)+COUNTIFS($G$7:$G91,$G91,$S$7:$S91,$S91))</f>
        <v/>
      </c>
      <c r="W91" s="13">
        <f>IF(NOT(ISNUMBER($S91)),"",COUNTIFS($G$7:$G$850,$G91,$S$7:$S$850,"&lt;"&amp;$S91)+COUNTIFS($G$7:$G91,$G91,$S$7:$S91,$S91))</f>
        <v/>
      </c>
      <c r="X91" s="8">
        <f>IF($V91="","",$G91&amp;"|"&amp;$V91)</f>
        <v/>
      </c>
      <c r="Y91" s="8">
        <f>IF($W91="","",$G91&amp;"|"&amp;$W91)</f>
        <v/>
      </c>
    </row>
    <row r="92">
      <c r="A92" s="16" t="inlineStr">
        <is>
          <t>USP01703AD22</t>
        </is>
      </c>
      <c r="B92" s="17">
        <f>IF($A92="","",PROPER(_xll.BDP($A92&amp;" Corp","NAME")))</f>
        <v/>
      </c>
      <c r="C92" s="17">
        <f>IF($A92="","",IFERROR(INDEX(Company_desc!$B$2:$B$1144,MATCH($A92,Company_desc!$A$2:$A$1144,0)),IFERROR(INDEX(SYZ_static!$Q$2:$Q$806,MATCH($A92,SYZ_static!$A$2:$A$806,0)),"")))</f>
        <v/>
      </c>
      <c r="D92" s="17">
        <f>IF($A92="","",IFERROR(INDEX(SYZ_static!$B$2:$B$806,MATCH($A92,SYZ_static!$A$2:$A$806,0)),""))</f>
        <v/>
      </c>
      <c r="E92" s="17">
        <f>IF($A92="","",_xll.BDP($A92&amp;" Corp","INDUSTRY_SECTOR"))</f>
        <v/>
      </c>
      <c r="F92" s="17">
        <f>IF($A92="","",PROPER(_xll.BDP($A92&amp;" Corp","COUNTRY_FULL_NAME")))</f>
        <v/>
      </c>
      <c r="G92" s="17">
        <f>IF($A92="","",_xll.BDP($A92&amp;" Corp","CRNCY"))</f>
        <v/>
      </c>
      <c r="H92" s="17">
        <f>IF($A92="","",IFERROR(INDEX(SYZ_static!$T$2:$T$806,MATCH($A92,SYZ_static!$A$2:$A$806,0)),_xll.BDP($A92&amp;" Corp","RTG_SP")))</f>
        <v/>
      </c>
      <c r="I92" s="17">
        <f>IF($A92="","",IFERROR(INDEX(SYZ_static!$S$2:$S$806,MATCH($A92,SYZ_static!$A$2:$A$806,0)),""))</f>
        <v/>
      </c>
      <c r="J92" s="17">
        <f>IF($A92="","",_xll.BDP($A92&amp;" Corp","PAYMENT_RANK"))</f>
        <v/>
      </c>
      <c r="K92" s="18">
        <f>IF($A92="","",_xll.BDP($A92&amp;" Corp","CPN"))</f>
        <v/>
      </c>
      <c r="L92" s="19">
        <f>IF($A92="","",_xll.BDP($A92&amp;" Corp","MATURITY"))</f>
        <v/>
      </c>
      <c r="M92" s="20">
        <f>IF($A92="","",IFERROR(_xll.BDP($A92&amp;" Corp","MIN_PIECE")/1000,""))</f>
        <v/>
      </c>
      <c r="N92" s="21">
        <f>IF($A92="","",_xll.BDP($A92&amp;" Corp","PX_LAST"))</f>
        <v/>
      </c>
      <c r="O92" s="21">
        <f>IF($A92="","",_xll.BDP($A92&amp;" Corp","YAS_BOND_YLD","YAS_YLD_FLAG=15"))</f>
        <v/>
      </c>
      <c r="P92" s="21">
        <f>IF($A92="","",_xll.BDP($A92&amp;" Corp","YAS_MOD_DUR"))</f>
        <v/>
      </c>
      <c r="Q92" s="22">
        <f>IF($A92="","",_xll.BDP($A92&amp;" Corp","YAS_OAS_SPRD"))</f>
        <v/>
      </c>
      <c r="R92" s="22">
        <f>IF($A92="","",_xll.BDP($A92&amp;" Corp","YAS_OAS_SPRD","SETTLE_DT",$B$2))</f>
        <v/>
      </c>
      <c r="S92" s="23">
        <f>IF($A92="","",IF(OR(NOT(ISNUMBER($Q92)),NOT(ISNUMBER($R92))),"",$Q92-$R92))</f>
        <v/>
      </c>
      <c r="T92" s="21">
        <f>IF($A92="","",_xll.BDP($A92&amp;" Corp","YAS_BOND_YLD","YAS_YLD_FLAG=15","SETTLE_DT",$B$2))</f>
        <v/>
      </c>
      <c r="U92" s="24">
        <f>IF($A92="","",IF(OR(NOT(ISNUMBER($O92)),NOT(ISNUMBER($T92))),"",$O92-$T92))</f>
        <v/>
      </c>
      <c r="V92" s="22">
        <f>IF(NOT(ISNUMBER($S92)),"",COUNTIFS($G$7:$G$850,$G92,$S$7:$S$850,"&gt;"&amp;$S92)+COUNTIFS($G$7:$G92,$G92,$S$7:$S92,$S92))</f>
        <v/>
      </c>
      <c r="W92" s="22">
        <f>IF(NOT(ISNUMBER($S92)),"",COUNTIFS($G$7:$G$850,$G92,$S$7:$S$850,"&lt;"&amp;$S92)+COUNTIFS($G$7:$G92,$G92,$S$7:$S92,$S92))</f>
        <v/>
      </c>
      <c r="X92" s="17">
        <f>IF($V92="","",$G92&amp;"|"&amp;$V92)</f>
        <v/>
      </c>
      <c r="Y92" s="17">
        <f>IF($W92="","",$G92&amp;"|"&amp;$W92)</f>
        <v/>
      </c>
    </row>
    <row r="93">
      <c r="A93" s="7" t="inlineStr">
        <is>
          <t>US87901JAJ43</t>
        </is>
      </c>
      <c r="B93" s="8">
        <f>IF($A93="","",PROPER(_xll.BDP($A93&amp;" Corp","NAME")))</f>
        <v/>
      </c>
      <c r="C93" s="8">
        <f>IF($A93="","",IFERROR(INDEX(Company_desc!$B$2:$B$1144,MATCH($A93,Company_desc!$A$2:$A$1144,0)),IFERROR(INDEX(SYZ_static!$Q$2:$Q$806,MATCH($A93,SYZ_static!$A$2:$A$806,0)),"")))</f>
        <v/>
      </c>
      <c r="D93" s="8">
        <f>IF($A93="","",IFERROR(INDEX(SYZ_static!$B$2:$B$806,MATCH($A93,SYZ_static!$A$2:$A$806,0)),""))</f>
        <v/>
      </c>
      <c r="E93" s="8">
        <f>IF($A93="","",_xll.BDP($A93&amp;" Corp","INDUSTRY_SECTOR"))</f>
        <v/>
      </c>
      <c r="F93" s="8">
        <f>IF($A93="","",PROPER(_xll.BDP($A93&amp;" Corp","COUNTRY_FULL_NAME")))</f>
        <v/>
      </c>
      <c r="G93" s="8">
        <f>IF($A93="","",_xll.BDP($A93&amp;" Corp","CRNCY"))</f>
        <v/>
      </c>
      <c r="H93" s="8">
        <f>IF($A93="","",IFERROR(INDEX(SYZ_static!$T$2:$T$806,MATCH($A93,SYZ_static!$A$2:$A$806,0)),_xll.BDP($A93&amp;" Corp","RTG_SP")))</f>
        <v/>
      </c>
      <c r="I93" s="8">
        <f>IF($A93="","",IFERROR(INDEX(SYZ_static!$S$2:$S$806,MATCH($A93,SYZ_static!$A$2:$A$806,0)),""))</f>
        <v/>
      </c>
      <c r="J93" s="8">
        <f>IF($A93="","",_xll.BDP($A93&amp;" Corp","PAYMENT_RANK"))</f>
        <v/>
      </c>
      <c r="K93" s="9">
        <f>IF($A93="","",_xll.BDP($A93&amp;" Corp","CPN"))</f>
        <v/>
      </c>
      <c r="L93" s="10">
        <f>IF($A93="","",_xll.BDP($A93&amp;" Corp","MATURITY"))</f>
        <v/>
      </c>
      <c r="M93" s="11">
        <f>IF($A93="","",IFERROR(_xll.BDP($A93&amp;" Corp","MIN_PIECE")/1000,""))</f>
        <v/>
      </c>
      <c r="N93" s="12">
        <f>IF($A93="","",_xll.BDP($A93&amp;" Corp","PX_LAST"))</f>
        <v/>
      </c>
      <c r="O93" s="12">
        <f>IF($A93="","",_xll.BDP($A93&amp;" Corp","YAS_BOND_YLD","YAS_YLD_FLAG=15"))</f>
        <v/>
      </c>
      <c r="P93" s="12">
        <f>IF($A93="","",_xll.BDP($A93&amp;" Corp","YAS_MOD_DUR"))</f>
        <v/>
      </c>
      <c r="Q93" s="13">
        <f>IF($A93="","",_xll.BDP($A93&amp;" Corp","YAS_OAS_SPRD"))</f>
        <v/>
      </c>
      <c r="R93" s="13">
        <f>IF($A93="","",_xll.BDP($A93&amp;" Corp","YAS_OAS_SPRD","SETTLE_DT",$B$2))</f>
        <v/>
      </c>
      <c r="S93" s="14">
        <f>IF($A93="","",IF(OR(NOT(ISNUMBER($Q93)),NOT(ISNUMBER($R93))),"",$Q93-$R93))</f>
        <v/>
      </c>
      <c r="T93" s="12">
        <f>IF($A93="","",_xll.BDP($A93&amp;" Corp","YAS_BOND_YLD","YAS_YLD_FLAG=15","SETTLE_DT",$B$2))</f>
        <v/>
      </c>
      <c r="U93" s="15">
        <f>IF($A93="","",IF(OR(NOT(ISNUMBER($O93)),NOT(ISNUMBER($T93))),"",$O93-$T93))</f>
        <v/>
      </c>
      <c r="V93" s="13">
        <f>IF(NOT(ISNUMBER($S93)),"",COUNTIFS($G$7:$G$850,$G93,$S$7:$S$850,"&gt;"&amp;$S93)+COUNTIFS($G$7:$G93,$G93,$S$7:$S93,$S93))</f>
        <v/>
      </c>
      <c r="W93" s="13">
        <f>IF(NOT(ISNUMBER($S93)),"",COUNTIFS($G$7:$G$850,$G93,$S$7:$S$850,"&lt;"&amp;$S93)+COUNTIFS($G$7:$G93,$G93,$S$7:$S93,$S93))</f>
        <v/>
      </c>
      <c r="X93" s="8">
        <f>IF($V93="","",$G93&amp;"|"&amp;$V93)</f>
        <v/>
      </c>
      <c r="Y93" s="8">
        <f>IF($W93="","",$G93&amp;"|"&amp;$W93)</f>
        <v/>
      </c>
    </row>
    <row r="94">
      <c r="A94" s="16" t="inlineStr">
        <is>
          <t>US105756BB58</t>
        </is>
      </c>
      <c r="B94" s="17">
        <f>IF($A94="","",PROPER(_xll.BDP($A94&amp;" Corp","NAME")))</f>
        <v/>
      </c>
      <c r="C94" s="17">
        <f>IF($A94="","",IFERROR(INDEX(Company_desc!$B$2:$B$1144,MATCH($A94,Company_desc!$A$2:$A$1144,0)),IFERROR(INDEX(SYZ_static!$Q$2:$Q$806,MATCH($A94,SYZ_static!$A$2:$A$806,0)),"")))</f>
        <v/>
      </c>
      <c r="D94" s="17">
        <f>IF($A94="","",IFERROR(INDEX(SYZ_static!$B$2:$B$806,MATCH($A94,SYZ_static!$A$2:$A$806,0)),""))</f>
        <v/>
      </c>
      <c r="E94" s="17">
        <f>IF($A94="","",_xll.BDP($A94&amp;" Corp","INDUSTRY_SECTOR"))</f>
        <v/>
      </c>
      <c r="F94" s="17">
        <f>IF($A94="","",PROPER(_xll.BDP($A94&amp;" Corp","COUNTRY_FULL_NAME")))</f>
        <v/>
      </c>
      <c r="G94" s="17">
        <f>IF($A94="","",_xll.BDP($A94&amp;" Corp","CRNCY"))</f>
        <v/>
      </c>
      <c r="H94" s="17">
        <f>IF($A94="","",IFERROR(INDEX(SYZ_static!$T$2:$T$806,MATCH($A94,SYZ_static!$A$2:$A$806,0)),_xll.BDP($A94&amp;" Corp","RTG_SP")))</f>
        <v/>
      </c>
      <c r="I94" s="17">
        <f>IF($A94="","",IFERROR(INDEX(SYZ_static!$S$2:$S$806,MATCH($A94,SYZ_static!$A$2:$A$806,0)),""))</f>
        <v/>
      </c>
      <c r="J94" s="17">
        <f>IF($A94="","",_xll.BDP($A94&amp;" Corp","PAYMENT_RANK"))</f>
        <v/>
      </c>
      <c r="K94" s="18">
        <f>IF($A94="","",_xll.BDP($A94&amp;" Corp","CPN"))</f>
        <v/>
      </c>
      <c r="L94" s="19">
        <f>IF($A94="","",_xll.BDP($A94&amp;" Corp","MATURITY"))</f>
        <v/>
      </c>
      <c r="M94" s="20">
        <f>IF($A94="","",IFERROR(_xll.BDP($A94&amp;" Corp","MIN_PIECE")/1000,""))</f>
        <v/>
      </c>
      <c r="N94" s="21">
        <f>IF($A94="","",_xll.BDP($A94&amp;" Corp","PX_LAST"))</f>
        <v/>
      </c>
      <c r="O94" s="21">
        <f>IF($A94="","",_xll.BDP($A94&amp;" Corp","YAS_BOND_YLD","YAS_YLD_FLAG=15"))</f>
        <v/>
      </c>
      <c r="P94" s="21">
        <f>IF($A94="","",_xll.BDP($A94&amp;" Corp","YAS_MOD_DUR"))</f>
        <v/>
      </c>
      <c r="Q94" s="22">
        <f>IF($A94="","",_xll.BDP($A94&amp;" Corp","YAS_OAS_SPRD"))</f>
        <v/>
      </c>
      <c r="R94" s="22">
        <f>IF($A94="","",_xll.BDP($A94&amp;" Corp","YAS_OAS_SPRD","SETTLE_DT",$B$2))</f>
        <v/>
      </c>
      <c r="S94" s="23">
        <f>IF($A94="","",IF(OR(NOT(ISNUMBER($Q94)),NOT(ISNUMBER($R94))),"",$Q94-$R94))</f>
        <v/>
      </c>
      <c r="T94" s="21">
        <f>IF($A94="","",_xll.BDP($A94&amp;" Corp","YAS_BOND_YLD","YAS_YLD_FLAG=15","SETTLE_DT",$B$2))</f>
        <v/>
      </c>
      <c r="U94" s="24">
        <f>IF($A94="","",IF(OR(NOT(ISNUMBER($O94)),NOT(ISNUMBER($T94))),"",$O94-$T94))</f>
        <v/>
      </c>
      <c r="V94" s="22">
        <f>IF(NOT(ISNUMBER($S94)),"",COUNTIFS($G$7:$G$850,$G94,$S$7:$S$850,"&gt;"&amp;$S94)+COUNTIFS($G$7:$G94,$G94,$S$7:$S94,$S94))</f>
        <v/>
      </c>
      <c r="W94" s="22">
        <f>IF(NOT(ISNUMBER($S94)),"",COUNTIFS($G$7:$G$850,$G94,$S$7:$S$850,"&lt;"&amp;$S94)+COUNTIFS($G$7:$G94,$G94,$S$7:$S94,$S94))</f>
        <v/>
      </c>
      <c r="X94" s="17">
        <f>IF($V94="","",$G94&amp;"|"&amp;$V94)</f>
        <v/>
      </c>
      <c r="Y94" s="17">
        <f>IF($W94="","",$G94&amp;"|"&amp;$W94)</f>
        <v/>
      </c>
    </row>
    <row r="95">
      <c r="A95" s="7" t="inlineStr">
        <is>
          <t>USL67359AB21</t>
        </is>
      </c>
      <c r="B95" s="8">
        <f>IF($A95="","",PROPER(_xll.BDP($A95&amp;" Corp","NAME")))</f>
        <v/>
      </c>
      <c r="C95" s="8">
        <f>IF($A95="","",IFERROR(INDEX(Company_desc!$B$2:$B$1144,MATCH($A95,Company_desc!$A$2:$A$1144,0)),IFERROR(INDEX(SYZ_static!$Q$2:$Q$806,MATCH($A95,SYZ_static!$A$2:$A$806,0)),"")))</f>
        <v/>
      </c>
      <c r="D95" s="8">
        <f>IF($A95="","",IFERROR(INDEX(SYZ_static!$B$2:$B$806,MATCH($A95,SYZ_static!$A$2:$A$806,0)),""))</f>
        <v/>
      </c>
      <c r="E95" s="8">
        <f>IF($A95="","",_xll.BDP($A95&amp;" Corp","INDUSTRY_SECTOR"))</f>
        <v/>
      </c>
      <c r="F95" s="8">
        <f>IF($A95="","",PROPER(_xll.BDP($A95&amp;" Corp","COUNTRY_FULL_NAME")))</f>
        <v/>
      </c>
      <c r="G95" s="8">
        <f>IF($A95="","",_xll.BDP($A95&amp;" Corp","CRNCY"))</f>
        <v/>
      </c>
      <c r="H95" s="8">
        <f>IF($A95="","",IFERROR(INDEX(SYZ_static!$T$2:$T$806,MATCH($A95,SYZ_static!$A$2:$A$806,0)),_xll.BDP($A95&amp;" Corp","RTG_SP")))</f>
        <v/>
      </c>
      <c r="I95" s="8">
        <f>IF($A95="","",IFERROR(INDEX(SYZ_static!$S$2:$S$806,MATCH($A95,SYZ_static!$A$2:$A$806,0)),""))</f>
        <v/>
      </c>
      <c r="J95" s="8">
        <f>IF($A95="","",_xll.BDP($A95&amp;" Corp","PAYMENT_RANK"))</f>
        <v/>
      </c>
      <c r="K95" s="9">
        <f>IF($A95="","",_xll.BDP($A95&amp;" Corp","CPN"))</f>
        <v/>
      </c>
      <c r="L95" s="10">
        <f>IF($A95="","",_xll.BDP($A95&amp;" Corp","MATURITY"))</f>
        <v/>
      </c>
      <c r="M95" s="11">
        <f>IF($A95="","",IFERROR(_xll.BDP($A95&amp;" Corp","MIN_PIECE")/1000,""))</f>
        <v/>
      </c>
      <c r="N95" s="12">
        <f>IF($A95="","",_xll.BDP($A95&amp;" Corp","PX_LAST"))</f>
        <v/>
      </c>
      <c r="O95" s="12">
        <f>IF($A95="","",_xll.BDP($A95&amp;" Corp","YAS_BOND_YLD","YAS_YLD_FLAG=15"))</f>
        <v/>
      </c>
      <c r="P95" s="12">
        <f>IF($A95="","",_xll.BDP($A95&amp;" Corp","YAS_MOD_DUR"))</f>
        <v/>
      </c>
      <c r="Q95" s="13">
        <f>IF($A95="","",_xll.BDP($A95&amp;" Corp","YAS_OAS_SPRD"))</f>
        <v/>
      </c>
      <c r="R95" s="13">
        <f>IF($A95="","",_xll.BDP($A95&amp;" Corp","YAS_OAS_SPRD","SETTLE_DT",$B$2))</f>
        <v/>
      </c>
      <c r="S95" s="14">
        <f>IF($A95="","",IF(OR(NOT(ISNUMBER($Q95)),NOT(ISNUMBER($R95))),"",$Q95-$R95))</f>
        <v/>
      </c>
      <c r="T95" s="12">
        <f>IF($A95="","",_xll.BDP($A95&amp;" Corp","YAS_BOND_YLD","YAS_YLD_FLAG=15","SETTLE_DT",$B$2))</f>
        <v/>
      </c>
      <c r="U95" s="15">
        <f>IF($A95="","",IF(OR(NOT(ISNUMBER($O95)),NOT(ISNUMBER($T95))),"",$O95-$T95))</f>
        <v/>
      </c>
      <c r="V95" s="13">
        <f>IF(NOT(ISNUMBER($S95)),"",COUNTIFS($G$7:$G$850,$G95,$S$7:$S$850,"&gt;"&amp;$S95)+COUNTIFS($G$7:$G95,$G95,$S$7:$S95,$S95))</f>
        <v/>
      </c>
      <c r="W95" s="13">
        <f>IF(NOT(ISNUMBER($S95)),"",COUNTIFS($G$7:$G$850,$G95,$S$7:$S$850,"&lt;"&amp;$S95)+COUNTIFS($G$7:$G95,$G95,$S$7:$S95,$S95))</f>
        <v/>
      </c>
      <c r="X95" s="8">
        <f>IF($V95="","",$G95&amp;"|"&amp;$V95)</f>
        <v/>
      </c>
      <c r="Y95" s="8">
        <f>IF($W95="","",$G95&amp;"|"&amp;$W95)</f>
        <v/>
      </c>
    </row>
    <row r="96">
      <c r="A96" s="16" t="inlineStr">
        <is>
          <t>XS2744491106</t>
        </is>
      </c>
      <c r="B96" s="17">
        <f>IF($A96="","",PROPER(_xll.BDP($A96&amp;" Corp","NAME")))</f>
        <v/>
      </c>
      <c r="C96" s="17">
        <f>IF($A96="","",IFERROR(INDEX(Company_desc!$B$2:$B$1144,MATCH($A96,Company_desc!$A$2:$A$1144,0)),IFERROR(INDEX(SYZ_static!$Q$2:$Q$806,MATCH($A96,SYZ_static!$A$2:$A$806,0)),"")))</f>
        <v/>
      </c>
      <c r="D96" s="17">
        <f>IF($A96="","",IFERROR(INDEX(SYZ_static!$B$2:$B$806,MATCH($A96,SYZ_static!$A$2:$A$806,0)),""))</f>
        <v/>
      </c>
      <c r="E96" s="17">
        <f>IF($A96="","",_xll.BDP($A96&amp;" Corp","INDUSTRY_SECTOR"))</f>
        <v/>
      </c>
      <c r="F96" s="17">
        <f>IF($A96="","",PROPER(_xll.BDP($A96&amp;" Corp","COUNTRY_FULL_NAME")))</f>
        <v/>
      </c>
      <c r="G96" s="17">
        <f>IF($A96="","",_xll.BDP($A96&amp;" Corp","CRNCY"))</f>
        <v/>
      </c>
      <c r="H96" s="17">
        <f>IF($A96="","",IFERROR(INDEX(SYZ_static!$T$2:$T$806,MATCH($A96,SYZ_static!$A$2:$A$806,0)),_xll.BDP($A96&amp;" Corp","RTG_SP")))</f>
        <v/>
      </c>
      <c r="I96" s="17">
        <f>IF($A96="","",IFERROR(INDEX(SYZ_static!$S$2:$S$806,MATCH($A96,SYZ_static!$A$2:$A$806,0)),""))</f>
        <v/>
      </c>
      <c r="J96" s="17">
        <f>IF($A96="","",_xll.BDP($A96&amp;" Corp","PAYMENT_RANK"))</f>
        <v/>
      </c>
      <c r="K96" s="18">
        <f>IF($A96="","",_xll.BDP($A96&amp;" Corp","CPN"))</f>
        <v/>
      </c>
      <c r="L96" s="19">
        <f>IF($A96="","",_xll.BDP($A96&amp;" Corp","MATURITY"))</f>
        <v/>
      </c>
      <c r="M96" s="20">
        <f>IF($A96="","",IFERROR(_xll.BDP($A96&amp;" Corp","MIN_PIECE")/1000,""))</f>
        <v/>
      </c>
      <c r="N96" s="21">
        <f>IF($A96="","",_xll.BDP($A96&amp;" Corp","PX_LAST"))</f>
        <v/>
      </c>
      <c r="O96" s="21">
        <f>IF($A96="","",_xll.BDP($A96&amp;" Corp","YAS_BOND_YLD","YAS_YLD_FLAG=15"))</f>
        <v/>
      </c>
      <c r="P96" s="21">
        <f>IF($A96="","",_xll.BDP($A96&amp;" Corp","YAS_MOD_DUR"))</f>
        <v/>
      </c>
      <c r="Q96" s="22">
        <f>IF($A96="","",_xll.BDP($A96&amp;" Corp","YAS_OAS_SPRD"))</f>
        <v/>
      </c>
      <c r="R96" s="22">
        <f>IF($A96="","",_xll.BDP($A96&amp;" Corp","YAS_OAS_SPRD","SETTLE_DT",$B$2))</f>
        <v/>
      </c>
      <c r="S96" s="23">
        <f>IF($A96="","",IF(OR(NOT(ISNUMBER($Q96)),NOT(ISNUMBER($R96))),"",$Q96-$R96))</f>
        <v/>
      </c>
      <c r="T96" s="21">
        <f>IF($A96="","",_xll.BDP($A96&amp;" Corp","YAS_BOND_YLD","YAS_YLD_FLAG=15","SETTLE_DT",$B$2))</f>
        <v/>
      </c>
      <c r="U96" s="24">
        <f>IF($A96="","",IF(OR(NOT(ISNUMBER($O96)),NOT(ISNUMBER($T96))),"",$O96-$T96))</f>
        <v/>
      </c>
      <c r="V96" s="22">
        <f>IF(NOT(ISNUMBER($S96)),"",COUNTIFS($G$7:$G$850,$G96,$S$7:$S$850,"&gt;"&amp;$S96)+COUNTIFS($G$7:$G96,$G96,$S$7:$S96,$S96))</f>
        <v/>
      </c>
      <c r="W96" s="22">
        <f>IF(NOT(ISNUMBER($S96)),"",COUNTIFS($G$7:$G$850,$G96,$S$7:$S$850,"&lt;"&amp;$S96)+COUNTIFS($G$7:$G96,$G96,$S$7:$S96,$S96))</f>
        <v/>
      </c>
      <c r="X96" s="17">
        <f>IF($V96="","",$G96&amp;"|"&amp;$V96)</f>
        <v/>
      </c>
      <c r="Y96" s="17">
        <f>IF($W96="","",$G96&amp;"|"&amp;$W96)</f>
        <v/>
      </c>
    </row>
    <row r="97">
      <c r="A97" s="7" t="inlineStr">
        <is>
          <t>USU85861AE97</t>
        </is>
      </c>
      <c r="B97" s="8">
        <f>IF($A97="","",PROPER(_xll.BDP($A97&amp;" Corp","NAME")))</f>
        <v/>
      </c>
      <c r="C97" s="8">
        <f>IF($A97="","",IFERROR(INDEX(Company_desc!$B$2:$B$1144,MATCH($A97,Company_desc!$A$2:$A$1144,0)),IFERROR(INDEX(SYZ_static!$Q$2:$Q$806,MATCH($A97,SYZ_static!$A$2:$A$806,0)),"")))</f>
        <v/>
      </c>
      <c r="D97" s="8">
        <f>IF($A97="","",IFERROR(INDEX(SYZ_static!$B$2:$B$806,MATCH($A97,SYZ_static!$A$2:$A$806,0)),""))</f>
        <v/>
      </c>
      <c r="E97" s="8">
        <f>IF($A97="","",_xll.BDP($A97&amp;" Corp","INDUSTRY_SECTOR"))</f>
        <v/>
      </c>
      <c r="F97" s="8">
        <f>IF($A97="","",PROPER(_xll.BDP($A97&amp;" Corp","COUNTRY_FULL_NAME")))</f>
        <v/>
      </c>
      <c r="G97" s="8">
        <f>IF($A97="","",_xll.BDP($A97&amp;" Corp","CRNCY"))</f>
        <v/>
      </c>
      <c r="H97" s="8">
        <f>IF($A97="","",IFERROR(INDEX(SYZ_static!$T$2:$T$806,MATCH($A97,SYZ_static!$A$2:$A$806,0)),_xll.BDP($A97&amp;" Corp","RTG_SP")))</f>
        <v/>
      </c>
      <c r="I97" s="8">
        <f>IF($A97="","",IFERROR(INDEX(SYZ_static!$S$2:$S$806,MATCH($A97,SYZ_static!$A$2:$A$806,0)),""))</f>
        <v/>
      </c>
      <c r="J97" s="8">
        <f>IF($A97="","",_xll.BDP($A97&amp;" Corp","PAYMENT_RANK"))</f>
        <v/>
      </c>
      <c r="K97" s="9">
        <f>IF($A97="","",_xll.BDP($A97&amp;" Corp","CPN"))</f>
        <v/>
      </c>
      <c r="L97" s="10">
        <f>IF($A97="","",_xll.BDP($A97&amp;" Corp","MATURITY"))</f>
        <v/>
      </c>
      <c r="M97" s="11">
        <f>IF($A97="","",IFERROR(_xll.BDP($A97&amp;" Corp","MIN_PIECE")/1000,""))</f>
        <v/>
      </c>
      <c r="N97" s="12">
        <f>IF($A97="","",_xll.BDP($A97&amp;" Corp","PX_LAST"))</f>
        <v/>
      </c>
      <c r="O97" s="12">
        <f>IF($A97="","",_xll.BDP($A97&amp;" Corp","YAS_BOND_YLD","YAS_YLD_FLAG=15"))</f>
        <v/>
      </c>
      <c r="P97" s="12">
        <f>IF($A97="","",_xll.BDP($A97&amp;" Corp","YAS_MOD_DUR"))</f>
        <v/>
      </c>
      <c r="Q97" s="13">
        <f>IF($A97="","",_xll.BDP($A97&amp;" Corp","YAS_OAS_SPRD"))</f>
        <v/>
      </c>
      <c r="R97" s="13">
        <f>IF($A97="","",_xll.BDP($A97&amp;" Corp","YAS_OAS_SPRD","SETTLE_DT",$B$2))</f>
        <v/>
      </c>
      <c r="S97" s="14">
        <f>IF($A97="","",IF(OR(NOT(ISNUMBER($Q97)),NOT(ISNUMBER($R97))),"",$Q97-$R97))</f>
        <v/>
      </c>
      <c r="T97" s="12">
        <f>IF($A97="","",_xll.BDP($A97&amp;" Corp","YAS_BOND_YLD","YAS_YLD_FLAG=15","SETTLE_DT",$B$2))</f>
        <v/>
      </c>
      <c r="U97" s="15">
        <f>IF($A97="","",IF(OR(NOT(ISNUMBER($O97)),NOT(ISNUMBER($T97))),"",$O97-$T97))</f>
        <v/>
      </c>
      <c r="V97" s="13">
        <f>IF(NOT(ISNUMBER($S97)),"",COUNTIFS($G$7:$G$850,$G97,$S$7:$S$850,"&gt;"&amp;$S97)+COUNTIFS($G$7:$G97,$G97,$S$7:$S97,$S97))</f>
        <v/>
      </c>
      <c r="W97" s="13">
        <f>IF(NOT(ISNUMBER($S97)),"",COUNTIFS($G$7:$G$850,$G97,$S$7:$S$850,"&lt;"&amp;$S97)+COUNTIFS($G$7:$G97,$G97,$S$7:$S97,$S97))</f>
        <v/>
      </c>
      <c r="X97" s="8">
        <f>IF($V97="","",$G97&amp;"|"&amp;$V97)</f>
        <v/>
      </c>
      <c r="Y97" s="8">
        <f>IF($W97="","",$G97&amp;"|"&amp;$W97)</f>
        <v/>
      </c>
    </row>
    <row r="98">
      <c r="A98" s="16" t="inlineStr">
        <is>
          <t>XS2954187378</t>
        </is>
      </c>
      <c r="B98" s="17">
        <f>IF($A98="","",PROPER(_xll.BDP($A98&amp;" Corp","NAME")))</f>
        <v/>
      </c>
      <c r="C98" s="17">
        <f>IF($A98="","",IFERROR(INDEX(Company_desc!$B$2:$B$1144,MATCH($A98,Company_desc!$A$2:$A$1144,0)),IFERROR(INDEX(SYZ_static!$Q$2:$Q$806,MATCH($A98,SYZ_static!$A$2:$A$806,0)),"")))</f>
        <v/>
      </c>
      <c r="D98" s="17">
        <f>IF($A98="","",IFERROR(INDEX(SYZ_static!$B$2:$B$806,MATCH($A98,SYZ_static!$A$2:$A$806,0)),""))</f>
        <v/>
      </c>
      <c r="E98" s="17">
        <f>IF($A98="","",_xll.BDP($A98&amp;" Corp","INDUSTRY_SECTOR"))</f>
        <v/>
      </c>
      <c r="F98" s="17">
        <f>IF($A98="","",PROPER(_xll.BDP($A98&amp;" Corp","COUNTRY_FULL_NAME")))</f>
        <v/>
      </c>
      <c r="G98" s="17">
        <f>IF($A98="","",_xll.BDP($A98&amp;" Corp","CRNCY"))</f>
        <v/>
      </c>
      <c r="H98" s="17">
        <f>IF($A98="","",IFERROR(INDEX(SYZ_static!$T$2:$T$806,MATCH($A98,SYZ_static!$A$2:$A$806,0)),_xll.BDP($A98&amp;" Corp","RTG_SP")))</f>
        <v/>
      </c>
      <c r="I98" s="17">
        <f>IF($A98="","",IFERROR(INDEX(SYZ_static!$S$2:$S$806,MATCH($A98,SYZ_static!$A$2:$A$806,0)),""))</f>
        <v/>
      </c>
      <c r="J98" s="17">
        <f>IF($A98="","",_xll.BDP($A98&amp;" Corp","PAYMENT_RANK"))</f>
        <v/>
      </c>
      <c r="K98" s="18">
        <f>IF($A98="","",_xll.BDP($A98&amp;" Corp","CPN"))</f>
        <v/>
      </c>
      <c r="L98" s="19">
        <f>IF($A98="","",_xll.BDP($A98&amp;" Corp","MATURITY"))</f>
        <v/>
      </c>
      <c r="M98" s="20">
        <f>IF($A98="","",IFERROR(_xll.BDP($A98&amp;" Corp","MIN_PIECE")/1000,""))</f>
        <v/>
      </c>
      <c r="N98" s="21">
        <f>IF($A98="","",_xll.BDP($A98&amp;" Corp","PX_LAST"))</f>
        <v/>
      </c>
      <c r="O98" s="21">
        <f>IF($A98="","",_xll.BDP($A98&amp;" Corp","YAS_BOND_YLD","YAS_YLD_FLAG=15"))</f>
        <v/>
      </c>
      <c r="P98" s="21">
        <f>IF($A98="","",_xll.BDP($A98&amp;" Corp","YAS_MOD_DUR"))</f>
        <v/>
      </c>
      <c r="Q98" s="22">
        <f>IF($A98="","",_xll.BDP($A98&amp;" Corp","YAS_OAS_SPRD"))</f>
        <v/>
      </c>
      <c r="R98" s="22">
        <f>IF($A98="","",_xll.BDP($A98&amp;" Corp","YAS_OAS_SPRD","SETTLE_DT",$B$2))</f>
        <v/>
      </c>
      <c r="S98" s="23">
        <f>IF($A98="","",IF(OR(NOT(ISNUMBER($Q98)),NOT(ISNUMBER($R98))),"",$Q98-$R98))</f>
        <v/>
      </c>
      <c r="T98" s="21">
        <f>IF($A98="","",_xll.BDP($A98&amp;" Corp","YAS_BOND_YLD","YAS_YLD_FLAG=15","SETTLE_DT",$B$2))</f>
        <v/>
      </c>
      <c r="U98" s="24">
        <f>IF($A98="","",IF(OR(NOT(ISNUMBER($O98)),NOT(ISNUMBER($T98))),"",$O98-$T98))</f>
        <v/>
      </c>
      <c r="V98" s="22">
        <f>IF(NOT(ISNUMBER($S98)),"",COUNTIFS($G$7:$G$850,$G98,$S$7:$S$850,"&gt;"&amp;$S98)+COUNTIFS($G$7:$G98,$G98,$S$7:$S98,$S98))</f>
        <v/>
      </c>
      <c r="W98" s="22">
        <f>IF(NOT(ISNUMBER($S98)),"",COUNTIFS($G$7:$G$850,$G98,$S$7:$S$850,"&lt;"&amp;$S98)+COUNTIFS($G$7:$G98,$G98,$S$7:$S98,$S98))</f>
        <v/>
      </c>
      <c r="X98" s="17">
        <f>IF($V98="","",$G98&amp;"|"&amp;$V98)</f>
        <v/>
      </c>
      <c r="Y98" s="17">
        <f>IF($W98="","",$G98&amp;"|"&amp;$W98)</f>
        <v/>
      </c>
    </row>
    <row r="99">
      <c r="A99" s="7" t="inlineStr">
        <is>
          <t>USQ3919KAN11</t>
        </is>
      </c>
      <c r="B99" s="8">
        <f>IF($A99="","",PROPER(_xll.BDP($A99&amp;" Corp","NAME")))</f>
        <v/>
      </c>
      <c r="C99" s="8">
        <f>IF($A99="","",IFERROR(INDEX(Company_desc!$B$2:$B$1144,MATCH($A99,Company_desc!$A$2:$A$1144,0)),IFERROR(INDEX(SYZ_static!$Q$2:$Q$806,MATCH($A99,SYZ_static!$A$2:$A$806,0)),"")))</f>
        <v/>
      </c>
      <c r="D99" s="8">
        <f>IF($A99="","",IFERROR(INDEX(SYZ_static!$B$2:$B$806,MATCH($A99,SYZ_static!$A$2:$A$806,0)),""))</f>
        <v/>
      </c>
      <c r="E99" s="8">
        <f>IF($A99="","",_xll.BDP($A99&amp;" Corp","INDUSTRY_SECTOR"))</f>
        <v/>
      </c>
      <c r="F99" s="8">
        <f>IF($A99="","",PROPER(_xll.BDP($A99&amp;" Corp","COUNTRY_FULL_NAME")))</f>
        <v/>
      </c>
      <c r="G99" s="8">
        <f>IF($A99="","",_xll.BDP($A99&amp;" Corp","CRNCY"))</f>
        <v/>
      </c>
      <c r="H99" s="8">
        <f>IF($A99="","",IFERROR(INDEX(SYZ_static!$T$2:$T$806,MATCH($A99,SYZ_static!$A$2:$A$806,0)),_xll.BDP($A99&amp;" Corp","RTG_SP")))</f>
        <v/>
      </c>
      <c r="I99" s="8">
        <f>IF($A99="","",IFERROR(INDEX(SYZ_static!$S$2:$S$806,MATCH($A99,SYZ_static!$A$2:$A$806,0)),""))</f>
        <v/>
      </c>
      <c r="J99" s="8">
        <f>IF($A99="","",_xll.BDP($A99&amp;" Corp","PAYMENT_RANK"))</f>
        <v/>
      </c>
      <c r="K99" s="9">
        <f>IF($A99="","",_xll.BDP($A99&amp;" Corp","CPN"))</f>
        <v/>
      </c>
      <c r="L99" s="10">
        <f>IF($A99="","",_xll.BDP($A99&amp;" Corp","MATURITY"))</f>
        <v/>
      </c>
      <c r="M99" s="11">
        <f>IF($A99="","",IFERROR(_xll.BDP($A99&amp;" Corp","MIN_PIECE")/1000,""))</f>
        <v/>
      </c>
      <c r="N99" s="12">
        <f>IF($A99="","",_xll.BDP($A99&amp;" Corp","PX_LAST"))</f>
        <v/>
      </c>
      <c r="O99" s="12">
        <f>IF($A99="","",_xll.BDP($A99&amp;" Corp","YAS_BOND_YLD","YAS_YLD_FLAG=15"))</f>
        <v/>
      </c>
      <c r="P99" s="12">
        <f>IF($A99="","",_xll.BDP($A99&amp;" Corp","YAS_MOD_DUR"))</f>
        <v/>
      </c>
      <c r="Q99" s="13">
        <f>IF($A99="","",_xll.BDP($A99&amp;" Corp","YAS_OAS_SPRD"))</f>
        <v/>
      </c>
      <c r="R99" s="13">
        <f>IF($A99="","",_xll.BDP($A99&amp;" Corp","YAS_OAS_SPRD","SETTLE_DT",$B$2))</f>
        <v/>
      </c>
      <c r="S99" s="14">
        <f>IF($A99="","",IF(OR(NOT(ISNUMBER($Q99)),NOT(ISNUMBER($R99))),"",$Q99-$R99))</f>
        <v/>
      </c>
      <c r="T99" s="12">
        <f>IF($A99="","",_xll.BDP($A99&amp;" Corp","YAS_BOND_YLD","YAS_YLD_FLAG=15","SETTLE_DT",$B$2))</f>
        <v/>
      </c>
      <c r="U99" s="15">
        <f>IF($A99="","",IF(OR(NOT(ISNUMBER($O99)),NOT(ISNUMBER($T99))),"",$O99-$T99))</f>
        <v/>
      </c>
      <c r="V99" s="13">
        <f>IF(NOT(ISNUMBER($S99)),"",COUNTIFS($G$7:$G$850,$G99,$S$7:$S$850,"&gt;"&amp;$S99)+COUNTIFS($G$7:$G99,$G99,$S$7:$S99,$S99))</f>
        <v/>
      </c>
      <c r="W99" s="13">
        <f>IF(NOT(ISNUMBER($S99)),"",COUNTIFS($G$7:$G$850,$G99,$S$7:$S$850,"&lt;"&amp;$S99)+COUNTIFS($G$7:$G99,$G99,$S$7:$S99,$S99))</f>
        <v/>
      </c>
      <c r="X99" s="8">
        <f>IF($V99="","",$G99&amp;"|"&amp;$V99)</f>
        <v/>
      </c>
      <c r="Y99" s="8">
        <f>IF($W99="","",$G99&amp;"|"&amp;$W99)</f>
        <v/>
      </c>
    </row>
    <row r="100">
      <c r="A100" s="16" t="inlineStr">
        <is>
          <t>XS2355149316</t>
        </is>
      </c>
      <c r="B100" s="17">
        <f>IF($A100="","",PROPER(_xll.BDP($A100&amp;" Corp","NAME")))</f>
        <v/>
      </c>
      <c r="C100" s="17">
        <f>IF($A100="","",IFERROR(INDEX(Company_desc!$B$2:$B$1144,MATCH($A100,Company_desc!$A$2:$A$1144,0)),IFERROR(INDEX(SYZ_static!$Q$2:$Q$806,MATCH($A100,SYZ_static!$A$2:$A$806,0)),"")))</f>
        <v/>
      </c>
      <c r="D100" s="17">
        <f>IF($A100="","",IFERROR(INDEX(SYZ_static!$B$2:$B$806,MATCH($A100,SYZ_static!$A$2:$A$806,0)),""))</f>
        <v/>
      </c>
      <c r="E100" s="17">
        <f>IF($A100="","",_xll.BDP($A100&amp;" Corp","INDUSTRY_SECTOR"))</f>
        <v/>
      </c>
      <c r="F100" s="17">
        <f>IF($A100="","",PROPER(_xll.BDP($A100&amp;" Corp","COUNTRY_FULL_NAME")))</f>
        <v/>
      </c>
      <c r="G100" s="17">
        <f>IF($A100="","",_xll.BDP($A100&amp;" Corp","CRNCY"))</f>
        <v/>
      </c>
      <c r="H100" s="17">
        <f>IF($A100="","",IFERROR(INDEX(SYZ_static!$T$2:$T$806,MATCH($A100,SYZ_static!$A$2:$A$806,0)),_xll.BDP($A100&amp;" Corp","RTG_SP")))</f>
        <v/>
      </c>
      <c r="I100" s="17">
        <f>IF($A100="","",IFERROR(INDEX(SYZ_static!$S$2:$S$806,MATCH($A100,SYZ_static!$A$2:$A$806,0)),""))</f>
        <v/>
      </c>
      <c r="J100" s="17">
        <f>IF($A100="","",_xll.BDP($A100&amp;" Corp","PAYMENT_RANK"))</f>
        <v/>
      </c>
      <c r="K100" s="18">
        <f>IF($A100="","",_xll.BDP($A100&amp;" Corp","CPN"))</f>
        <v/>
      </c>
      <c r="L100" s="19">
        <f>IF($A100="","",_xll.BDP($A100&amp;" Corp","MATURITY"))</f>
        <v/>
      </c>
      <c r="M100" s="20">
        <f>IF($A100="","",IFERROR(_xll.BDP($A100&amp;" Corp","MIN_PIECE")/1000,""))</f>
        <v/>
      </c>
      <c r="N100" s="21">
        <f>IF($A100="","",_xll.BDP($A100&amp;" Corp","PX_LAST"))</f>
        <v/>
      </c>
      <c r="O100" s="21">
        <f>IF($A100="","",_xll.BDP($A100&amp;" Corp","YAS_BOND_YLD","YAS_YLD_FLAG=15"))</f>
        <v/>
      </c>
      <c r="P100" s="21">
        <f>IF($A100="","",_xll.BDP($A100&amp;" Corp","YAS_MOD_DUR"))</f>
        <v/>
      </c>
      <c r="Q100" s="22">
        <f>IF($A100="","",_xll.BDP($A100&amp;" Corp","YAS_OAS_SPRD"))</f>
        <v/>
      </c>
      <c r="R100" s="22">
        <f>IF($A100="","",_xll.BDP($A100&amp;" Corp","YAS_OAS_SPRD","SETTLE_DT",$B$2))</f>
        <v/>
      </c>
      <c r="S100" s="23">
        <f>IF($A100="","",IF(OR(NOT(ISNUMBER($Q100)),NOT(ISNUMBER($R100))),"",$Q100-$R100))</f>
        <v/>
      </c>
      <c r="T100" s="21">
        <f>IF($A100="","",_xll.BDP($A100&amp;" Corp","YAS_BOND_YLD","YAS_YLD_FLAG=15","SETTLE_DT",$B$2))</f>
        <v/>
      </c>
      <c r="U100" s="24">
        <f>IF($A100="","",IF(OR(NOT(ISNUMBER($O100)),NOT(ISNUMBER($T100))),"",$O100-$T100))</f>
        <v/>
      </c>
      <c r="V100" s="22">
        <f>IF(NOT(ISNUMBER($S100)),"",COUNTIFS($G$7:$G$850,$G100,$S$7:$S$850,"&gt;"&amp;$S100)+COUNTIFS($G$7:$G100,$G100,$S$7:$S100,$S100))</f>
        <v/>
      </c>
      <c r="W100" s="22">
        <f>IF(NOT(ISNUMBER($S100)),"",COUNTIFS($G$7:$G$850,$G100,$S$7:$S$850,"&lt;"&amp;$S100)+COUNTIFS($G$7:$G100,$G100,$S$7:$S100,$S100))</f>
        <v/>
      </c>
      <c r="X100" s="17">
        <f>IF($V100="","",$G100&amp;"|"&amp;$V100)</f>
        <v/>
      </c>
      <c r="Y100" s="17">
        <f>IF($W100="","",$G100&amp;"|"&amp;$W100)</f>
        <v/>
      </c>
    </row>
    <row r="101">
      <c r="A101" s="7" t="inlineStr">
        <is>
          <t>USP3691NBM13</t>
        </is>
      </c>
      <c r="B101" s="8">
        <f>IF($A101="","",PROPER(_xll.BDP($A101&amp;" Corp","NAME")))</f>
        <v/>
      </c>
      <c r="C101" s="8">
        <f>IF($A101="","",IFERROR(INDEX(Company_desc!$B$2:$B$1144,MATCH($A101,Company_desc!$A$2:$A$1144,0)),IFERROR(INDEX(SYZ_static!$Q$2:$Q$806,MATCH($A101,SYZ_static!$A$2:$A$806,0)),"")))</f>
        <v/>
      </c>
      <c r="D101" s="8">
        <f>IF($A101="","",IFERROR(INDEX(SYZ_static!$B$2:$B$806,MATCH($A101,SYZ_static!$A$2:$A$806,0)),""))</f>
        <v/>
      </c>
      <c r="E101" s="8">
        <f>IF($A101="","",_xll.BDP($A101&amp;" Corp","INDUSTRY_SECTOR"))</f>
        <v/>
      </c>
      <c r="F101" s="8">
        <f>IF($A101="","",PROPER(_xll.BDP($A101&amp;" Corp","COUNTRY_FULL_NAME")))</f>
        <v/>
      </c>
      <c r="G101" s="8">
        <f>IF($A101="","",_xll.BDP($A101&amp;" Corp","CRNCY"))</f>
        <v/>
      </c>
      <c r="H101" s="8">
        <f>IF($A101="","",IFERROR(INDEX(SYZ_static!$T$2:$T$806,MATCH($A101,SYZ_static!$A$2:$A$806,0)),_xll.BDP($A101&amp;" Corp","RTG_SP")))</f>
        <v/>
      </c>
      <c r="I101" s="8">
        <f>IF($A101="","",IFERROR(INDEX(SYZ_static!$S$2:$S$806,MATCH($A101,SYZ_static!$A$2:$A$806,0)),""))</f>
        <v/>
      </c>
      <c r="J101" s="8">
        <f>IF($A101="","",_xll.BDP($A101&amp;" Corp","PAYMENT_RANK"))</f>
        <v/>
      </c>
      <c r="K101" s="9">
        <f>IF($A101="","",_xll.BDP($A101&amp;" Corp","CPN"))</f>
        <v/>
      </c>
      <c r="L101" s="10">
        <f>IF($A101="","",_xll.BDP($A101&amp;" Corp","MATURITY"))</f>
        <v/>
      </c>
      <c r="M101" s="11">
        <f>IF($A101="","",IFERROR(_xll.BDP($A101&amp;" Corp","MIN_PIECE")/1000,""))</f>
        <v/>
      </c>
      <c r="N101" s="12">
        <f>IF($A101="","",_xll.BDP($A101&amp;" Corp","PX_LAST"))</f>
        <v/>
      </c>
      <c r="O101" s="12">
        <f>IF($A101="","",_xll.BDP($A101&amp;" Corp","YAS_BOND_YLD","YAS_YLD_FLAG=15"))</f>
        <v/>
      </c>
      <c r="P101" s="12">
        <f>IF($A101="","",_xll.BDP($A101&amp;" Corp","YAS_MOD_DUR"))</f>
        <v/>
      </c>
      <c r="Q101" s="13">
        <f>IF($A101="","",_xll.BDP($A101&amp;" Corp","YAS_OAS_SPRD"))</f>
        <v/>
      </c>
      <c r="R101" s="13">
        <f>IF($A101="","",_xll.BDP($A101&amp;" Corp","YAS_OAS_SPRD","SETTLE_DT",$B$2))</f>
        <v/>
      </c>
      <c r="S101" s="14">
        <f>IF($A101="","",IF(OR(NOT(ISNUMBER($Q101)),NOT(ISNUMBER($R101))),"",$Q101-$R101))</f>
        <v/>
      </c>
      <c r="T101" s="12">
        <f>IF($A101="","",_xll.BDP($A101&amp;" Corp","YAS_BOND_YLD","YAS_YLD_FLAG=15","SETTLE_DT",$B$2))</f>
        <v/>
      </c>
      <c r="U101" s="15">
        <f>IF($A101="","",IF(OR(NOT(ISNUMBER($O101)),NOT(ISNUMBER($T101))),"",$O101-$T101))</f>
        <v/>
      </c>
      <c r="V101" s="13">
        <f>IF(NOT(ISNUMBER($S101)),"",COUNTIFS($G$7:$G$850,$G101,$S$7:$S$850,"&gt;"&amp;$S101)+COUNTIFS($G$7:$G101,$G101,$S$7:$S101,$S101))</f>
        <v/>
      </c>
      <c r="W101" s="13">
        <f>IF(NOT(ISNUMBER($S101)),"",COUNTIFS($G$7:$G$850,$G101,$S$7:$S$850,"&lt;"&amp;$S101)+COUNTIFS($G$7:$G101,$G101,$S$7:$S101,$S101))</f>
        <v/>
      </c>
      <c r="X101" s="8">
        <f>IF($V101="","",$G101&amp;"|"&amp;$V101)</f>
        <v/>
      </c>
      <c r="Y101" s="8">
        <f>IF($W101="","",$G101&amp;"|"&amp;$W101)</f>
        <v/>
      </c>
    </row>
    <row r="102">
      <c r="A102" s="16" t="inlineStr">
        <is>
          <t>US105756BK57</t>
        </is>
      </c>
      <c r="B102" s="17">
        <f>IF($A102="","",PROPER(_xll.BDP($A102&amp;" Corp","NAME")))</f>
        <v/>
      </c>
      <c r="C102" s="17">
        <f>IF($A102="","",IFERROR(INDEX(Company_desc!$B$2:$B$1144,MATCH($A102,Company_desc!$A$2:$A$1144,0)),IFERROR(INDEX(SYZ_static!$Q$2:$Q$806,MATCH($A102,SYZ_static!$A$2:$A$806,0)),"")))</f>
        <v/>
      </c>
      <c r="D102" s="17">
        <f>IF($A102="","",IFERROR(INDEX(SYZ_static!$B$2:$B$806,MATCH($A102,SYZ_static!$A$2:$A$806,0)),""))</f>
        <v/>
      </c>
      <c r="E102" s="17">
        <f>IF($A102="","",_xll.BDP($A102&amp;" Corp","INDUSTRY_SECTOR"))</f>
        <v/>
      </c>
      <c r="F102" s="17">
        <f>IF($A102="","",PROPER(_xll.BDP($A102&amp;" Corp","COUNTRY_FULL_NAME")))</f>
        <v/>
      </c>
      <c r="G102" s="17">
        <f>IF($A102="","",_xll.BDP($A102&amp;" Corp","CRNCY"))</f>
        <v/>
      </c>
      <c r="H102" s="17">
        <f>IF($A102="","",IFERROR(INDEX(SYZ_static!$T$2:$T$806,MATCH($A102,SYZ_static!$A$2:$A$806,0)),_xll.BDP($A102&amp;" Corp","RTG_SP")))</f>
        <v/>
      </c>
      <c r="I102" s="17">
        <f>IF($A102="","",IFERROR(INDEX(SYZ_static!$S$2:$S$806,MATCH($A102,SYZ_static!$A$2:$A$806,0)),""))</f>
        <v/>
      </c>
      <c r="J102" s="17">
        <f>IF($A102="","",_xll.BDP($A102&amp;" Corp","PAYMENT_RANK"))</f>
        <v/>
      </c>
      <c r="K102" s="18">
        <f>IF($A102="","",_xll.BDP($A102&amp;" Corp","CPN"))</f>
        <v/>
      </c>
      <c r="L102" s="19">
        <f>IF($A102="","",_xll.BDP($A102&amp;" Corp","MATURITY"))</f>
        <v/>
      </c>
      <c r="M102" s="20">
        <f>IF($A102="","",IFERROR(_xll.BDP($A102&amp;" Corp","MIN_PIECE")/1000,""))</f>
        <v/>
      </c>
      <c r="N102" s="21">
        <f>IF($A102="","",_xll.BDP($A102&amp;" Corp","PX_LAST"))</f>
        <v/>
      </c>
      <c r="O102" s="21">
        <f>IF($A102="","",_xll.BDP($A102&amp;" Corp","YAS_BOND_YLD","YAS_YLD_FLAG=15"))</f>
        <v/>
      </c>
      <c r="P102" s="21">
        <f>IF($A102="","",_xll.BDP($A102&amp;" Corp","YAS_MOD_DUR"))</f>
        <v/>
      </c>
      <c r="Q102" s="22">
        <f>IF($A102="","",_xll.BDP($A102&amp;" Corp","YAS_OAS_SPRD"))</f>
        <v/>
      </c>
      <c r="R102" s="22">
        <f>IF($A102="","",_xll.BDP($A102&amp;" Corp","YAS_OAS_SPRD","SETTLE_DT",$B$2))</f>
        <v/>
      </c>
      <c r="S102" s="23">
        <f>IF($A102="","",IF(OR(NOT(ISNUMBER($Q102)),NOT(ISNUMBER($R102))),"",$Q102-$R102))</f>
        <v/>
      </c>
      <c r="T102" s="21">
        <f>IF($A102="","",_xll.BDP($A102&amp;" Corp","YAS_BOND_YLD","YAS_YLD_FLAG=15","SETTLE_DT",$B$2))</f>
        <v/>
      </c>
      <c r="U102" s="24">
        <f>IF($A102="","",IF(OR(NOT(ISNUMBER($O102)),NOT(ISNUMBER($T102))),"",$O102-$T102))</f>
        <v/>
      </c>
      <c r="V102" s="22">
        <f>IF(NOT(ISNUMBER($S102)),"",COUNTIFS($G$7:$G$850,$G102,$S$7:$S$850,"&gt;"&amp;$S102)+COUNTIFS($G$7:$G102,$G102,$S$7:$S102,$S102))</f>
        <v/>
      </c>
      <c r="W102" s="22">
        <f>IF(NOT(ISNUMBER($S102)),"",COUNTIFS($G$7:$G$850,$G102,$S$7:$S$850,"&lt;"&amp;$S102)+COUNTIFS($G$7:$G102,$G102,$S$7:$S102,$S102))</f>
        <v/>
      </c>
      <c r="X102" s="17">
        <f>IF($V102="","",$G102&amp;"|"&amp;$V102)</f>
        <v/>
      </c>
      <c r="Y102" s="17">
        <f>IF($W102="","",$G102&amp;"|"&amp;$W102)</f>
        <v/>
      </c>
    </row>
    <row r="103">
      <c r="A103" s="7" t="inlineStr">
        <is>
          <t>XS2201851172</t>
        </is>
      </c>
      <c r="B103" s="8">
        <f>IF($A103="","",PROPER(_xll.BDP($A103&amp;" Corp","NAME")))</f>
        <v/>
      </c>
      <c r="C103" s="8">
        <f>IF($A103="","",IFERROR(INDEX(Company_desc!$B$2:$B$1144,MATCH($A103,Company_desc!$A$2:$A$1144,0)),IFERROR(INDEX(SYZ_static!$Q$2:$Q$806,MATCH($A103,SYZ_static!$A$2:$A$806,0)),"")))</f>
        <v/>
      </c>
      <c r="D103" s="8">
        <f>IF($A103="","",IFERROR(INDEX(SYZ_static!$B$2:$B$806,MATCH($A103,SYZ_static!$A$2:$A$806,0)),""))</f>
        <v/>
      </c>
      <c r="E103" s="8">
        <f>IF($A103="","",_xll.BDP($A103&amp;" Corp","INDUSTRY_SECTOR"))</f>
        <v/>
      </c>
      <c r="F103" s="8">
        <f>IF($A103="","",PROPER(_xll.BDP($A103&amp;" Corp","COUNTRY_FULL_NAME")))</f>
        <v/>
      </c>
      <c r="G103" s="8">
        <f>IF($A103="","",_xll.BDP($A103&amp;" Corp","CRNCY"))</f>
        <v/>
      </c>
      <c r="H103" s="8">
        <f>IF($A103="","",IFERROR(INDEX(SYZ_static!$T$2:$T$806,MATCH($A103,SYZ_static!$A$2:$A$806,0)),_xll.BDP($A103&amp;" Corp","RTG_SP")))</f>
        <v/>
      </c>
      <c r="I103" s="8">
        <f>IF($A103="","",IFERROR(INDEX(SYZ_static!$S$2:$S$806,MATCH($A103,SYZ_static!$A$2:$A$806,0)),""))</f>
        <v/>
      </c>
      <c r="J103" s="8">
        <f>IF($A103="","",_xll.BDP($A103&amp;" Corp","PAYMENT_RANK"))</f>
        <v/>
      </c>
      <c r="K103" s="9">
        <f>IF($A103="","",_xll.BDP($A103&amp;" Corp","CPN"))</f>
        <v/>
      </c>
      <c r="L103" s="10">
        <f>IF($A103="","",_xll.BDP($A103&amp;" Corp","MATURITY"))</f>
        <v/>
      </c>
      <c r="M103" s="11">
        <f>IF($A103="","",IFERROR(_xll.BDP($A103&amp;" Corp","MIN_PIECE")/1000,""))</f>
        <v/>
      </c>
      <c r="N103" s="12">
        <f>IF($A103="","",_xll.BDP($A103&amp;" Corp","PX_LAST"))</f>
        <v/>
      </c>
      <c r="O103" s="12">
        <f>IF($A103="","",_xll.BDP($A103&amp;" Corp","YAS_BOND_YLD","YAS_YLD_FLAG=15"))</f>
        <v/>
      </c>
      <c r="P103" s="12">
        <f>IF($A103="","",_xll.BDP($A103&amp;" Corp","YAS_MOD_DUR"))</f>
        <v/>
      </c>
      <c r="Q103" s="13">
        <f>IF($A103="","",_xll.BDP($A103&amp;" Corp","YAS_OAS_SPRD"))</f>
        <v/>
      </c>
      <c r="R103" s="13">
        <f>IF($A103="","",_xll.BDP($A103&amp;" Corp","YAS_OAS_SPRD","SETTLE_DT",$B$2))</f>
        <v/>
      </c>
      <c r="S103" s="14">
        <f>IF($A103="","",IF(OR(NOT(ISNUMBER($Q103)),NOT(ISNUMBER($R103))),"",$Q103-$R103))</f>
        <v/>
      </c>
      <c r="T103" s="12">
        <f>IF($A103="","",_xll.BDP($A103&amp;" Corp","YAS_BOND_YLD","YAS_YLD_FLAG=15","SETTLE_DT",$B$2))</f>
        <v/>
      </c>
      <c r="U103" s="15">
        <f>IF($A103="","",IF(OR(NOT(ISNUMBER($O103)),NOT(ISNUMBER($T103))),"",$O103-$T103))</f>
        <v/>
      </c>
      <c r="V103" s="13">
        <f>IF(NOT(ISNUMBER($S103)),"",COUNTIFS($G$7:$G$850,$G103,$S$7:$S$850,"&gt;"&amp;$S103)+COUNTIFS($G$7:$G103,$G103,$S$7:$S103,$S103))</f>
        <v/>
      </c>
      <c r="W103" s="13">
        <f>IF(NOT(ISNUMBER($S103)),"",COUNTIFS($G$7:$G$850,$G103,$S$7:$S$850,"&lt;"&amp;$S103)+COUNTIFS($G$7:$G103,$G103,$S$7:$S103,$S103))</f>
        <v/>
      </c>
      <c r="X103" s="8">
        <f>IF($V103="","",$G103&amp;"|"&amp;$V103)</f>
        <v/>
      </c>
      <c r="Y103" s="8">
        <f>IF($W103="","",$G103&amp;"|"&amp;$W103)</f>
        <v/>
      </c>
    </row>
    <row r="104">
      <c r="A104" s="16" t="inlineStr">
        <is>
          <t>US91087BAV27</t>
        </is>
      </c>
      <c r="B104" s="17">
        <f>IF($A104="","",PROPER(_xll.BDP($A104&amp;" Corp","NAME")))</f>
        <v/>
      </c>
      <c r="C104" s="17">
        <f>IF($A104="","",IFERROR(INDEX(Company_desc!$B$2:$B$1144,MATCH($A104,Company_desc!$A$2:$A$1144,0)),IFERROR(INDEX(SYZ_static!$Q$2:$Q$806,MATCH($A104,SYZ_static!$A$2:$A$806,0)),"")))</f>
        <v/>
      </c>
      <c r="D104" s="17">
        <f>IF($A104="","",IFERROR(INDEX(SYZ_static!$B$2:$B$806,MATCH($A104,SYZ_static!$A$2:$A$806,0)),""))</f>
        <v/>
      </c>
      <c r="E104" s="17">
        <f>IF($A104="","",_xll.BDP($A104&amp;" Corp","INDUSTRY_SECTOR"))</f>
        <v/>
      </c>
      <c r="F104" s="17">
        <f>IF($A104="","",PROPER(_xll.BDP($A104&amp;" Corp","COUNTRY_FULL_NAME")))</f>
        <v/>
      </c>
      <c r="G104" s="17">
        <f>IF($A104="","",_xll.BDP($A104&amp;" Corp","CRNCY"))</f>
        <v/>
      </c>
      <c r="H104" s="17">
        <f>IF($A104="","",IFERROR(INDEX(SYZ_static!$T$2:$T$806,MATCH($A104,SYZ_static!$A$2:$A$806,0)),_xll.BDP($A104&amp;" Corp","RTG_SP")))</f>
        <v/>
      </c>
      <c r="I104" s="17">
        <f>IF($A104="","",IFERROR(INDEX(SYZ_static!$S$2:$S$806,MATCH($A104,SYZ_static!$A$2:$A$806,0)),""))</f>
        <v/>
      </c>
      <c r="J104" s="17">
        <f>IF($A104="","",_xll.BDP($A104&amp;" Corp","PAYMENT_RANK"))</f>
        <v/>
      </c>
      <c r="K104" s="18">
        <f>IF($A104="","",_xll.BDP($A104&amp;" Corp","CPN"))</f>
        <v/>
      </c>
      <c r="L104" s="19">
        <f>IF($A104="","",_xll.BDP($A104&amp;" Corp","MATURITY"))</f>
        <v/>
      </c>
      <c r="M104" s="20">
        <f>IF($A104="","",IFERROR(_xll.BDP($A104&amp;" Corp","MIN_PIECE")/1000,""))</f>
        <v/>
      </c>
      <c r="N104" s="21">
        <f>IF($A104="","",_xll.BDP($A104&amp;" Corp","PX_LAST"))</f>
        <v/>
      </c>
      <c r="O104" s="21">
        <f>IF($A104="","",_xll.BDP($A104&amp;" Corp","YAS_BOND_YLD","YAS_YLD_FLAG=15"))</f>
        <v/>
      </c>
      <c r="P104" s="21">
        <f>IF($A104="","",_xll.BDP($A104&amp;" Corp","YAS_MOD_DUR"))</f>
        <v/>
      </c>
      <c r="Q104" s="22">
        <f>IF($A104="","",_xll.BDP($A104&amp;" Corp","YAS_OAS_SPRD"))</f>
        <v/>
      </c>
      <c r="R104" s="22">
        <f>IF($A104="","",_xll.BDP($A104&amp;" Corp","YAS_OAS_SPRD","SETTLE_DT",$B$2))</f>
        <v/>
      </c>
      <c r="S104" s="23">
        <f>IF($A104="","",IF(OR(NOT(ISNUMBER($Q104)),NOT(ISNUMBER($R104))),"",$Q104-$R104))</f>
        <v/>
      </c>
      <c r="T104" s="21">
        <f>IF($A104="","",_xll.BDP($A104&amp;" Corp","YAS_BOND_YLD","YAS_YLD_FLAG=15","SETTLE_DT",$B$2))</f>
        <v/>
      </c>
      <c r="U104" s="24">
        <f>IF($A104="","",IF(OR(NOT(ISNUMBER($O104)),NOT(ISNUMBER($T104))),"",$O104-$T104))</f>
        <v/>
      </c>
      <c r="V104" s="22">
        <f>IF(NOT(ISNUMBER($S104)),"",COUNTIFS($G$7:$G$850,$G104,$S$7:$S$850,"&gt;"&amp;$S104)+COUNTIFS($G$7:$G104,$G104,$S$7:$S104,$S104))</f>
        <v/>
      </c>
      <c r="W104" s="22">
        <f>IF(NOT(ISNUMBER($S104)),"",COUNTIFS($G$7:$G$850,$G104,$S$7:$S$850,"&lt;"&amp;$S104)+COUNTIFS($G$7:$G104,$G104,$S$7:$S104,$S104))</f>
        <v/>
      </c>
      <c r="X104" s="17">
        <f>IF($V104="","",$G104&amp;"|"&amp;$V104)</f>
        <v/>
      </c>
      <c r="Y104" s="17">
        <f>IF($W104="","",$G104&amp;"|"&amp;$W104)</f>
        <v/>
      </c>
    </row>
    <row r="105">
      <c r="A105" s="7" t="inlineStr">
        <is>
          <t>US382550BN08</t>
        </is>
      </c>
      <c r="B105" s="8">
        <f>IF($A105="","",PROPER(_xll.BDP($A105&amp;" Corp","NAME")))</f>
        <v/>
      </c>
      <c r="C105" s="8">
        <f>IF($A105="","",IFERROR(INDEX(Company_desc!$B$2:$B$1144,MATCH($A105,Company_desc!$A$2:$A$1144,0)),IFERROR(INDEX(SYZ_static!$Q$2:$Q$806,MATCH($A105,SYZ_static!$A$2:$A$806,0)),"")))</f>
        <v/>
      </c>
      <c r="D105" s="8">
        <f>IF($A105="","",IFERROR(INDEX(SYZ_static!$B$2:$B$806,MATCH($A105,SYZ_static!$A$2:$A$806,0)),""))</f>
        <v/>
      </c>
      <c r="E105" s="8">
        <f>IF($A105="","",_xll.BDP($A105&amp;" Corp","INDUSTRY_SECTOR"))</f>
        <v/>
      </c>
      <c r="F105" s="8">
        <f>IF($A105="","",PROPER(_xll.BDP($A105&amp;" Corp","COUNTRY_FULL_NAME")))</f>
        <v/>
      </c>
      <c r="G105" s="8">
        <f>IF($A105="","",_xll.BDP($A105&amp;" Corp","CRNCY"))</f>
        <v/>
      </c>
      <c r="H105" s="8">
        <f>IF($A105="","",IFERROR(INDEX(SYZ_static!$T$2:$T$806,MATCH($A105,SYZ_static!$A$2:$A$806,0)),_xll.BDP($A105&amp;" Corp","RTG_SP")))</f>
        <v/>
      </c>
      <c r="I105" s="8">
        <f>IF($A105="","",IFERROR(INDEX(SYZ_static!$S$2:$S$806,MATCH($A105,SYZ_static!$A$2:$A$806,0)),""))</f>
        <v/>
      </c>
      <c r="J105" s="8">
        <f>IF($A105="","",_xll.BDP($A105&amp;" Corp","PAYMENT_RANK"))</f>
        <v/>
      </c>
      <c r="K105" s="9">
        <f>IF($A105="","",_xll.BDP($A105&amp;" Corp","CPN"))</f>
        <v/>
      </c>
      <c r="L105" s="10">
        <f>IF($A105="","",_xll.BDP($A105&amp;" Corp","MATURITY"))</f>
        <v/>
      </c>
      <c r="M105" s="11">
        <f>IF($A105="","",IFERROR(_xll.BDP($A105&amp;" Corp","MIN_PIECE")/1000,""))</f>
        <v/>
      </c>
      <c r="N105" s="12">
        <f>IF($A105="","",_xll.BDP($A105&amp;" Corp","PX_LAST"))</f>
        <v/>
      </c>
      <c r="O105" s="12">
        <f>IF($A105="","",_xll.BDP($A105&amp;" Corp","YAS_BOND_YLD","YAS_YLD_FLAG=15"))</f>
        <v/>
      </c>
      <c r="P105" s="12">
        <f>IF($A105="","",_xll.BDP($A105&amp;" Corp","YAS_MOD_DUR"))</f>
        <v/>
      </c>
      <c r="Q105" s="13">
        <f>IF($A105="","",_xll.BDP($A105&amp;" Corp","YAS_OAS_SPRD"))</f>
        <v/>
      </c>
      <c r="R105" s="13">
        <f>IF($A105="","",_xll.BDP($A105&amp;" Corp","YAS_OAS_SPRD","SETTLE_DT",$B$2))</f>
        <v/>
      </c>
      <c r="S105" s="14">
        <f>IF($A105="","",IF(OR(NOT(ISNUMBER($Q105)),NOT(ISNUMBER($R105))),"",$Q105-$R105))</f>
        <v/>
      </c>
      <c r="T105" s="12">
        <f>IF($A105="","",_xll.BDP($A105&amp;" Corp","YAS_BOND_YLD","YAS_YLD_FLAG=15","SETTLE_DT",$B$2))</f>
        <v/>
      </c>
      <c r="U105" s="15">
        <f>IF($A105="","",IF(OR(NOT(ISNUMBER($O105)),NOT(ISNUMBER($T105))),"",$O105-$T105))</f>
        <v/>
      </c>
      <c r="V105" s="13">
        <f>IF(NOT(ISNUMBER($S105)),"",COUNTIFS($G$7:$G$850,$G105,$S$7:$S$850,"&gt;"&amp;$S105)+COUNTIFS($G$7:$G105,$G105,$S$7:$S105,$S105))</f>
        <v/>
      </c>
      <c r="W105" s="13">
        <f>IF(NOT(ISNUMBER($S105)),"",COUNTIFS($G$7:$G$850,$G105,$S$7:$S$850,"&lt;"&amp;$S105)+COUNTIFS($G$7:$G105,$G105,$S$7:$S105,$S105))</f>
        <v/>
      </c>
      <c r="X105" s="8">
        <f>IF($V105="","",$G105&amp;"|"&amp;$V105)</f>
        <v/>
      </c>
      <c r="Y105" s="8">
        <f>IF($W105="","",$G105&amp;"|"&amp;$W105)</f>
        <v/>
      </c>
    </row>
    <row r="106">
      <c r="A106" s="16" t="inlineStr">
        <is>
          <t>XS2767246908</t>
        </is>
      </c>
      <c r="B106" s="17">
        <f>IF($A106="","",PROPER(_xll.BDP($A106&amp;" Corp","NAME")))</f>
        <v/>
      </c>
      <c r="C106" s="17">
        <f>IF($A106="","",IFERROR(INDEX(Company_desc!$B$2:$B$1144,MATCH($A106,Company_desc!$A$2:$A$1144,0)),IFERROR(INDEX(SYZ_static!$Q$2:$Q$806,MATCH($A106,SYZ_static!$A$2:$A$806,0)),"")))</f>
        <v/>
      </c>
      <c r="D106" s="17">
        <f>IF($A106="","",IFERROR(INDEX(SYZ_static!$B$2:$B$806,MATCH($A106,SYZ_static!$A$2:$A$806,0)),""))</f>
        <v/>
      </c>
      <c r="E106" s="17">
        <f>IF($A106="","",_xll.BDP($A106&amp;" Corp","INDUSTRY_SECTOR"))</f>
        <v/>
      </c>
      <c r="F106" s="17">
        <f>IF($A106="","",PROPER(_xll.BDP($A106&amp;" Corp","COUNTRY_FULL_NAME")))</f>
        <v/>
      </c>
      <c r="G106" s="17">
        <f>IF($A106="","",_xll.BDP($A106&amp;" Corp","CRNCY"))</f>
        <v/>
      </c>
      <c r="H106" s="17">
        <f>IF($A106="","",IFERROR(INDEX(SYZ_static!$T$2:$T$806,MATCH($A106,SYZ_static!$A$2:$A$806,0)),_xll.BDP($A106&amp;" Corp","RTG_SP")))</f>
        <v/>
      </c>
      <c r="I106" s="17">
        <f>IF($A106="","",IFERROR(INDEX(SYZ_static!$S$2:$S$806,MATCH($A106,SYZ_static!$A$2:$A$806,0)),""))</f>
        <v/>
      </c>
      <c r="J106" s="17">
        <f>IF($A106="","",_xll.BDP($A106&amp;" Corp","PAYMENT_RANK"))</f>
        <v/>
      </c>
      <c r="K106" s="18">
        <f>IF($A106="","",_xll.BDP($A106&amp;" Corp","CPN"))</f>
        <v/>
      </c>
      <c r="L106" s="19">
        <f>IF($A106="","",_xll.BDP($A106&amp;" Corp","MATURITY"))</f>
        <v/>
      </c>
      <c r="M106" s="20">
        <f>IF($A106="","",IFERROR(_xll.BDP($A106&amp;" Corp","MIN_PIECE")/1000,""))</f>
        <v/>
      </c>
      <c r="N106" s="21">
        <f>IF($A106="","",_xll.BDP($A106&amp;" Corp","PX_LAST"))</f>
        <v/>
      </c>
      <c r="O106" s="21">
        <f>IF($A106="","",_xll.BDP($A106&amp;" Corp","YAS_BOND_YLD","YAS_YLD_FLAG=15"))</f>
        <v/>
      </c>
      <c r="P106" s="21">
        <f>IF($A106="","",_xll.BDP($A106&amp;" Corp","YAS_MOD_DUR"))</f>
        <v/>
      </c>
      <c r="Q106" s="22">
        <f>IF($A106="","",_xll.BDP($A106&amp;" Corp","YAS_OAS_SPRD"))</f>
        <v/>
      </c>
      <c r="R106" s="22">
        <f>IF($A106="","",_xll.BDP($A106&amp;" Corp","YAS_OAS_SPRD","SETTLE_DT",$B$2))</f>
        <v/>
      </c>
      <c r="S106" s="23">
        <f>IF($A106="","",IF(OR(NOT(ISNUMBER($Q106)),NOT(ISNUMBER($R106))),"",$Q106-$R106))</f>
        <v/>
      </c>
      <c r="T106" s="21">
        <f>IF($A106="","",_xll.BDP($A106&amp;" Corp","YAS_BOND_YLD","YAS_YLD_FLAG=15","SETTLE_DT",$B$2))</f>
        <v/>
      </c>
      <c r="U106" s="24">
        <f>IF($A106="","",IF(OR(NOT(ISNUMBER($O106)),NOT(ISNUMBER($T106))),"",$O106-$T106))</f>
        <v/>
      </c>
      <c r="V106" s="22">
        <f>IF(NOT(ISNUMBER($S106)),"",COUNTIFS($G$7:$G$850,$G106,$S$7:$S$850,"&gt;"&amp;$S106)+COUNTIFS($G$7:$G106,$G106,$S$7:$S106,$S106))</f>
        <v/>
      </c>
      <c r="W106" s="22">
        <f>IF(NOT(ISNUMBER($S106)),"",COUNTIFS($G$7:$G$850,$G106,$S$7:$S$850,"&lt;"&amp;$S106)+COUNTIFS($G$7:$G106,$G106,$S$7:$S106,$S106))</f>
        <v/>
      </c>
      <c r="X106" s="17">
        <f>IF($V106="","",$G106&amp;"|"&amp;$V106)</f>
        <v/>
      </c>
      <c r="Y106" s="17">
        <f>IF($W106="","",$G106&amp;"|"&amp;$W106)</f>
        <v/>
      </c>
    </row>
    <row r="107">
      <c r="A107" s="7" t="inlineStr">
        <is>
          <t>USU85861AB58</t>
        </is>
      </c>
      <c r="B107" s="8">
        <f>IF($A107="","",PROPER(_xll.BDP($A107&amp;" Corp","NAME")))</f>
        <v/>
      </c>
      <c r="C107" s="8">
        <f>IF($A107="","",IFERROR(INDEX(Company_desc!$B$2:$B$1144,MATCH($A107,Company_desc!$A$2:$A$1144,0)),IFERROR(INDEX(SYZ_static!$Q$2:$Q$806,MATCH($A107,SYZ_static!$A$2:$A$806,0)),"")))</f>
        <v/>
      </c>
      <c r="D107" s="8">
        <f>IF($A107="","",IFERROR(INDEX(SYZ_static!$B$2:$B$806,MATCH($A107,SYZ_static!$A$2:$A$806,0)),""))</f>
        <v/>
      </c>
      <c r="E107" s="8">
        <f>IF($A107="","",_xll.BDP($A107&amp;" Corp","INDUSTRY_SECTOR"))</f>
        <v/>
      </c>
      <c r="F107" s="8">
        <f>IF($A107="","",PROPER(_xll.BDP($A107&amp;" Corp","COUNTRY_FULL_NAME")))</f>
        <v/>
      </c>
      <c r="G107" s="8">
        <f>IF($A107="","",_xll.BDP($A107&amp;" Corp","CRNCY"))</f>
        <v/>
      </c>
      <c r="H107" s="8">
        <f>IF($A107="","",IFERROR(INDEX(SYZ_static!$T$2:$T$806,MATCH($A107,SYZ_static!$A$2:$A$806,0)),_xll.BDP($A107&amp;" Corp","RTG_SP")))</f>
        <v/>
      </c>
      <c r="I107" s="8">
        <f>IF($A107="","",IFERROR(INDEX(SYZ_static!$S$2:$S$806,MATCH($A107,SYZ_static!$A$2:$A$806,0)),""))</f>
        <v/>
      </c>
      <c r="J107" s="8">
        <f>IF($A107="","",_xll.BDP($A107&amp;" Corp","PAYMENT_RANK"))</f>
        <v/>
      </c>
      <c r="K107" s="9">
        <f>IF($A107="","",_xll.BDP($A107&amp;" Corp","CPN"))</f>
        <v/>
      </c>
      <c r="L107" s="10">
        <f>IF($A107="","",_xll.BDP($A107&amp;" Corp","MATURITY"))</f>
        <v/>
      </c>
      <c r="M107" s="11">
        <f>IF($A107="","",IFERROR(_xll.BDP($A107&amp;" Corp","MIN_PIECE")/1000,""))</f>
        <v/>
      </c>
      <c r="N107" s="12">
        <f>IF($A107="","",_xll.BDP($A107&amp;" Corp","PX_LAST"))</f>
        <v/>
      </c>
      <c r="O107" s="12">
        <f>IF($A107="","",_xll.BDP($A107&amp;" Corp","YAS_BOND_YLD","YAS_YLD_FLAG=15"))</f>
        <v/>
      </c>
      <c r="P107" s="12">
        <f>IF($A107="","",_xll.BDP($A107&amp;" Corp","YAS_MOD_DUR"))</f>
        <v/>
      </c>
      <c r="Q107" s="13">
        <f>IF($A107="","",_xll.BDP($A107&amp;" Corp","YAS_OAS_SPRD"))</f>
        <v/>
      </c>
      <c r="R107" s="13">
        <f>IF($A107="","",_xll.BDP($A107&amp;" Corp","YAS_OAS_SPRD","SETTLE_DT",$B$2))</f>
        <v/>
      </c>
      <c r="S107" s="14">
        <f>IF($A107="","",IF(OR(NOT(ISNUMBER($Q107)),NOT(ISNUMBER($R107))),"",$Q107-$R107))</f>
        <v/>
      </c>
      <c r="T107" s="12">
        <f>IF($A107="","",_xll.BDP($A107&amp;" Corp","YAS_BOND_YLD","YAS_YLD_FLAG=15","SETTLE_DT",$B$2))</f>
        <v/>
      </c>
      <c r="U107" s="15">
        <f>IF($A107="","",IF(OR(NOT(ISNUMBER($O107)),NOT(ISNUMBER($T107))),"",$O107-$T107))</f>
        <v/>
      </c>
      <c r="V107" s="13">
        <f>IF(NOT(ISNUMBER($S107)),"",COUNTIFS($G$7:$G$850,$G107,$S$7:$S$850,"&gt;"&amp;$S107)+COUNTIFS($G$7:$G107,$G107,$S$7:$S107,$S107))</f>
        <v/>
      </c>
      <c r="W107" s="13">
        <f>IF(NOT(ISNUMBER($S107)),"",COUNTIFS($G$7:$G$850,$G107,$S$7:$S$850,"&lt;"&amp;$S107)+COUNTIFS($G$7:$G107,$G107,$S$7:$S107,$S107))</f>
        <v/>
      </c>
      <c r="X107" s="8">
        <f>IF($V107="","",$G107&amp;"|"&amp;$V107)</f>
        <v/>
      </c>
      <c r="Y107" s="8">
        <f>IF($W107="","",$G107&amp;"|"&amp;$W107)</f>
        <v/>
      </c>
    </row>
    <row r="108">
      <c r="A108" s="16" t="inlineStr">
        <is>
          <t>US05971KAL35</t>
        </is>
      </c>
      <c r="B108" s="17">
        <f>IF($A108="","",PROPER(_xll.BDP($A108&amp;" Corp","NAME")))</f>
        <v/>
      </c>
      <c r="C108" s="17">
        <f>IF($A108="","",IFERROR(INDEX(Company_desc!$B$2:$B$1144,MATCH($A108,Company_desc!$A$2:$A$1144,0)),IFERROR(INDEX(SYZ_static!$Q$2:$Q$806,MATCH($A108,SYZ_static!$A$2:$A$806,0)),"")))</f>
        <v/>
      </c>
      <c r="D108" s="17">
        <f>IF($A108="","",IFERROR(INDEX(SYZ_static!$B$2:$B$806,MATCH($A108,SYZ_static!$A$2:$A$806,0)),""))</f>
        <v/>
      </c>
      <c r="E108" s="17">
        <f>IF($A108="","",_xll.BDP($A108&amp;" Corp","INDUSTRY_SECTOR"))</f>
        <v/>
      </c>
      <c r="F108" s="17">
        <f>IF($A108="","",PROPER(_xll.BDP($A108&amp;" Corp","COUNTRY_FULL_NAME")))</f>
        <v/>
      </c>
      <c r="G108" s="17">
        <f>IF($A108="","",_xll.BDP($A108&amp;" Corp","CRNCY"))</f>
        <v/>
      </c>
      <c r="H108" s="17">
        <f>IF($A108="","",IFERROR(INDEX(SYZ_static!$T$2:$T$806,MATCH($A108,SYZ_static!$A$2:$A$806,0)),_xll.BDP($A108&amp;" Corp","RTG_SP")))</f>
        <v/>
      </c>
      <c r="I108" s="17">
        <f>IF($A108="","",IFERROR(INDEX(SYZ_static!$S$2:$S$806,MATCH($A108,SYZ_static!$A$2:$A$806,0)),""))</f>
        <v/>
      </c>
      <c r="J108" s="17">
        <f>IF($A108="","",_xll.BDP($A108&amp;" Corp","PAYMENT_RANK"))</f>
        <v/>
      </c>
      <c r="K108" s="18">
        <f>IF($A108="","",_xll.BDP($A108&amp;" Corp","CPN"))</f>
        <v/>
      </c>
      <c r="L108" s="19">
        <f>IF($A108="","",_xll.BDP($A108&amp;" Corp","MATURITY"))</f>
        <v/>
      </c>
      <c r="M108" s="20">
        <f>IF($A108="","",IFERROR(_xll.BDP($A108&amp;" Corp","MIN_PIECE")/1000,""))</f>
        <v/>
      </c>
      <c r="N108" s="21">
        <f>IF($A108="","",_xll.BDP($A108&amp;" Corp","PX_LAST"))</f>
        <v/>
      </c>
      <c r="O108" s="21">
        <f>IF($A108="","",_xll.BDP($A108&amp;" Corp","YAS_BOND_YLD","YAS_YLD_FLAG=15"))</f>
        <v/>
      </c>
      <c r="P108" s="21">
        <f>IF($A108="","",_xll.BDP($A108&amp;" Corp","YAS_MOD_DUR"))</f>
        <v/>
      </c>
      <c r="Q108" s="22">
        <f>IF($A108="","",_xll.BDP($A108&amp;" Corp","YAS_OAS_SPRD"))</f>
        <v/>
      </c>
      <c r="R108" s="22">
        <f>IF($A108="","",_xll.BDP($A108&amp;" Corp","YAS_OAS_SPRD","SETTLE_DT",$B$2))</f>
        <v/>
      </c>
      <c r="S108" s="23">
        <f>IF($A108="","",IF(OR(NOT(ISNUMBER($Q108)),NOT(ISNUMBER($R108))),"",$Q108-$R108))</f>
        <v/>
      </c>
      <c r="T108" s="21">
        <f>IF($A108="","",_xll.BDP($A108&amp;" Corp","YAS_BOND_YLD","YAS_YLD_FLAG=15","SETTLE_DT",$B$2))</f>
        <v/>
      </c>
      <c r="U108" s="24">
        <f>IF($A108="","",IF(OR(NOT(ISNUMBER($O108)),NOT(ISNUMBER($T108))),"",$O108-$T108))</f>
        <v/>
      </c>
      <c r="V108" s="22">
        <f>IF(NOT(ISNUMBER($S108)),"",COUNTIFS($G$7:$G$850,$G108,$S$7:$S$850,"&gt;"&amp;$S108)+COUNTIFS($G$7:$G108,$G108,$S$7:$S108,$S108))</f>
        <v/>
      </c>
      <c r="W108" s="22">
        <f>IF(NOT(ISNUMBER($S108)),"",COUNTIFS($G$7:$G$850,$G108,$S$7:$S$850,"&lt;"&amp;$S108)+COUNTIFS($G$7:$G108,$G108,$S$7:$S108,$S108))</f>
        <v/>
      </c>
      <c r="X108" s="17">
        <f>IF($V108="","",$G108&amp;"|"&amp;$V108)</f>
        <v/>
      </c>
      <c r="Y108" s="17">
        <f>IF($W108="","",$G108&amp;"|"&amp;$W108)</f>
        <v/>
      </c>
    </row>
    <row r="109">
      <c r="A109" s="7" t="inlineStr">
        <is>
          <t>US05584KAM09</t>
        </is>
      </c>
      <c r="B109" s="8">
        <f>IF($A109="","",PROPER(_xll.BDP($A109&amp;" Corp","NAME")))</f>
        <v/>
      </c>
      <c r="C109" s="8">
        <f>IF($A109="","",IFERROR(INDEX(Company_desc!$B$2:$B$1144,MATCH($A109,Company_desc!$A$2:$A$1144,0)),IFERROR(INDEX(SYZ_static!$Q$2:$Q$806,MATCH($A109,SYZ_static!$A$2:$A$806,0)),"")))</f>
        <v/>
      </c>
      <c r="D109" s="8">
        <f>IF($A109="","",IFERROR(INDEX(SYZ_static!$B$2:$B$806,MATCH($A109,SYZ_static!$A$2:$A$806,0)),""))</f>
        <v/>
      </c>
      <c r="E109" s="8">
        <f>IF($A109="","",_xll.BDP($A109&amp;" Corp","INDUSTRY_SECTOR"))</f>
        <v/>
      </c>
      <c r="F109" s="8">
        <f>IF($A109="","",PROPER(_xll.BDP($A109&amp;" Corp","COUNTRY_FULL_NAME")))</f>
        <v/>
      </c>
      <c r="G109" s="8">
        <f>IF($A109="","",_xll.BDP($A109&amp;" Corp","CRNCY"))</f>
        <v/>
      </c>
      <c r="H109" s="8">
        <f>IF($A109="","",IFERROR(INDEX(SYZ_static!$T$2:$T$806,MATCH($A109,SYZ_static!$A$2:$A$806,0)),_xll.BDP($A109&amp;" Corp","RTG_SP")))</f>
        <v/>
      </c>
      <c r="I109" s="8">
        <f>IF($A109="","",IFERROR(INDEX(SYZ_static!$S$2:$S$806,MATCH($A109,SYZ_static!$A$2:$A$806,0)),""))</f>
        <v/>
      </c>
      <c r="J109" s="8">
        <f>IF($A109="","",_xll.BDP($A109&amp;" Corp","PAYMENT_RANK"))</f>
        <v/>
      </c>
      <c r="K109" s="9">
        <f>IF($A109="","",_xll.BDP($A109&amp;" Corp","CPN"))</f>
        <v/>
      </c>
      <c r="L109" s="10">
        <f>IF($A109="","",_xll.BDP($A109&amp;" Corp","MATURITY"))</f>
        <v/>
      </c>
      <c r="M109" s="11">
        <f>IF($A109="","",IFERROR(_xll.BDP($A109&amp;" Corp","MIN_PIECE")/1000,""))</f>
        <v/>
      </c>
      <c r="N109" s="12">
        <f>IF($A109="","",_xll.BDP($A109&amp;" Corp","PX_LAST"))</f>
        <v/>
      </c>
      <c r="O109" s="12">
        <f>IF($A109="","",_xll.BDP($A109&amp;" Corp","YAS_BOND_YLD","YAS_YLD_FLAG=15"))</f>
        <v/>
      </c>
      <c r="P109" s="12">
        <f>IF($A109="","",_xll.BDP($A109&amp;" Corp","YAS_MOD_DUR"))</f>
        <v/>
      </c>
      <c r="Q109" s="13">
        <f>IF($A109="","",_xll.BDP($A109&amp;" Corp","YAS_OAS_SPRD"))</f>
        <v/>
      </c>
      <c r="R109" s="13">
        <f>IF($A109="","",_xll.BDP($A109&amp;" Corp","YAS_OAS_SPRD","SETTLE_DT",$B$2))</f>
        <v/>
      </c>
      <c r="S109" s="14">
        <f>IF($A109="","",IF(OR(NOT(ISNUMBER($Q109)),NOT(ISNUMBER($R109))),"",$Q109-$R109))</f>
        <v/>
      </c>
      <c r="T109" s="12">
        <f>IF($A109="","",_xll.BDP($A109&amp;" Corp","YAS_BOND_YLD","YAS_YLD_FLAG=15","SETTLE_DT",$B$2))</f>
        <v/>
      </c>
      <c r="U109" s="15">
        <f>IF($A109="","",IF(OR(NOT(ISNUMBER($O109)),NOT(ISNUMBER($T109))),"",$O109-$T109))</f>
        <v/>
      </c>
      <c r="V109" s="13">
        <f>IF(NOT(ISNUMBER($S109)),"",COUNTIFS($G$7:$G$850,$G109,$S$7:$S$850,"&gt;"&amp;$S109)+COUNTIFS($G$7:$G109,$G109,$S$7:$S109,$S109))</f>
        <v/>
      </c>
      <c r="W109" s="13">
        <f>IF(NOT(ISNUMBER($S109)),"",COUNTIFS($G$7:$G$850,$G109,$S$7:$S$850,"&lt;"&amp;$S109)+COUNTIFS($G$7:$G109,$G109,$S$7:$S109,$S109))</f>
        <v/>
      </c>
      <c r="X109" s="8">
        <f>IF($V109="","",$G109&amp;"|"&amp;$V109)</f>
        <v/>
      </c>
      <c r="Y109" s="8">
        <f>IF($W109="","",$G109&amp;"|"&amp;$W109)</f>
        <v/>
      </c>
    </row>
    <row r="110">
      <c r="A110" s="16" t="inlineStr">
        <is>
          <t>XS2592804194</t>
        </is>
      </c>
      <c r="B110" s="17">
        <f>IF($A110="","",PROPER(_xll.BDP($A110&amp;" Corp","NAME")))</f>
        <v/>
      </c>
      <c r="C110" s="17">
        <f>IF($A110="","",IFERROR(INDEX(Company_desc!$B$2:$B$1144,MATCH($A110,Company_desc!$A$2:$A$1144,0)),IFERROR(INDEX(SYZ_static!$Q$2:$Q$806,MATCH($A110,SYZ_static!$A$2:$A$806,0)),"")))</f>
        <v/>
      </c>
      <c r="D110" s="17">
        <f>IF($A110="","",IFERROR(INDEX(SYZ_static!$B$2:$B$806,MATCH($A110,SYZ_static!$A$2:$A$806,0)),""))</f>
        <v/>
      </c>
      <c r="E110" s="17">
        <f>IF($A110="","",_xll.BDP($A110&amp;" Corp","INDUSTRY_SECTOR"))</f>
        <v/>
      </c>
      <c r="F110" s="17">
        <f>IF($A110="","",PROPER(_xll.BDP($A110&amp;" Corp","COUNTRY_FULL_NAME")))</f>
        <v/>
      </c>
      <c r="G110" s="17">
        <f>IF($A110="","",_xll.BDP($A110&amp;" Corp","CRNCY"))</f>
        <v/>
      </c>
      <c r="H110" s="17">
        <f>IF($A110="","",IFERROR(INDEX(SYZ_static!$T$2:$T$806,MATCH($A110,SYZ_static!$A$2:$A$806,0)),_xll.BDP($A110&amp;" Corp","RTG_SP")))</f>
        <v/>
      </c>
      <c r="I110" s="17">
        <f>IF($A110="","",IFERROR(INDEX(SYZ_static!$S$2:$S$806,MATCH($A110,SYZ_static!$A$2:$A$806,0)),""))</f>
        <v/>
      </c>
      <c r="J110" s="17">
        <f>IF($A110="","",_xll.BDP($A110&amp;" Corp","PAYMENT_RANK"))</f>
        <v/>
      </c>
      <c r="K110" s="18">
        <f>IF($A110="","",_xll.BDP($A110&amp;" Corp","CPN"))</f>
        <v/>
      </c>
      <c r="L110" s="19">
        <f>IF($A110="","",_xll.BDP($A110&amp;" Corp","MATURITY"))</f>
        <v/>
      </c>
      <c r="M110" s="20">
        <f>IF($A110="","",IFERROR(_xll.BDP($A110&amp;" Corp","MIN_PIECE")/1000,""))</f>
        <v/>
      </c>
      <c r="N110" s="21">
        <f>IF($A110="","",_xll.BDP($A110&amp;" Corp","PX_LAST"))</f>
        <v/>
      </c>
      <c r="O110" s="21">
        <f>IF($A110="","",_xll.BDP($A110&amp;" Corp","YAS_BOND_YLD","YAS_YLD_FLAG=15"))</f>
        <v/>
      </c>
      <c r="P110" s="21">
        <f>IF($A110="","",_xll.BDP($A110&amp;" Corp","YAS_MOD_DUR"))</f>
        <v/>
      </c>
      <c r="Q110" s="22">
        <f>IF($A110="","",_xll.BDP($A110&amp;" Corp","YAS_OAS_SPRD"))</f>
        <v/>
      </c>
      <c r="R110" s="22">
        <f>IF($A110="","",_xll.BDP($A110&amp;" Corp","YAS_OAS_SPRD","SETTLE_DT",$B$2))</f>
        <v/>
      </c>
      <c r="S110" s="23">
        <f>IF($A110="","",IF(OR(NOT(ISNUMBER($Q110)),NOT(ISNUMBER($R110))),"",$Q110-$R110))</f>
        <v/>
      </c>
      <c r="T110" s="21">
        <f>IF($A110="","",_xll.BDP($A110&amp;" Corp","YAS_BOND_YLD","YAS_YLD_FLAG=15","SETTLE_DT",$B$2))</f>
        <v/>
      </c>
      <c r="U110" s="24">
        <f>IF($A110="","",IF(OR(NOT(ISNUMBER($O110)),NOT(ISNUMBER($T110))),"",$O110-$T110))</f>
        <v/>
      </c>
      <c r="V110" s="22">
        <f>IF(NOT(ISNUMBER($S110)),"",COUNTIFS($G$7:$G$850,$G110,$S$7:$S$850,"&gt;"&amp;$S110)+COUNTIFS($G$7:$G110,$G110,$S$7:$S110,$S110))</f>
        <v/>
      </c>
      <c r="W110" s="22">
        <f>IF(NOT(ISNUMBER($S110)),"",COUNTIFS($G$7:$G$850,$G110,$S$7:$S$850,"&lt;"&amp;$S110)+COUNTIFS($G$7:$G110,$G110,$S$7:$S110,$S110))</f>
        <v/>
      </c>
      <c r="X110" s="17">
        <f>IF($V110="","",$G110&amp;"|"&amp;$V110)</f>
        <v/>
      </c>
      <c r="Y110" s="17">
        <f>IF($W110="","",$G110&amp;"|"&amp;$W110)</f>
        <v/>
      </c>
    </row>
    <row r="111">
      <c r="A111" s="7" t="inlineStr">
        <is>
          <t>USP2000TAE57</t>
        </is>
      </c>
      <c r="B111" s="8">
        <f>IF($A111="","",PROPER(_xll.BDP($A111&amp;" Corp","NAME")))</f>
        <v/>
      </c>
      <c r="C111" s="8">
        <f>IF($A111="","",IFERROR(INDEX(Company_desc!$B$2:$B$1144,MATCH($A111,Company_desc!$A$2:$A$1144,0)),IFERROR(INDEX(SYZ_static!$Q$2:$Q$806,MATCH($A111,SYZ_static!$A$2:$A$806,0)),"")))</f>
        <v/>
      </c>
      <c r="D111" s="8">
        <f>IF($A111="","",IFERROR(INDEX(SYZ_static!$B$2:$B$806,MATCH($A111,SYZ_static!$A$2:$A$806,0)),""))</f>
        <v/>
      </c>
      <c r="E111" s="8">
        <f>IF($A111="","",_xll.BDP($A111&amp;" Corp","INDUSTRY_SECTOR"))</f>
        <v/>
      </c>
      <c r="F111" s="8">
        <f>IF($A111="","",PROPER(_xll.BDP($A111&amp;" Corp","COUNTRY_FULL_NAME")))</f>
        <v/>
      </c>
      <c r="G111" s="8">
        <f>IF($A111="","",_xll.BDP($A111&amp;" Corp","CRNCY"))</f>
        <v/>
      </c>
      <c r="H111" s="8">
        <f>IF($A111="","",IFERROR(INDEX(SYZ_static!$T$2:$T$806,MATCH($A111,SYZ_static!$A$2:$A$806,0)),_xll.BDP($A111&amp;" Corp","RTG_SP")))</f>
        <v/>
      </c>
      <c r="I111" s="8">
        <f>IF($A111="","",IFERROR(INDEX(SYZ_static!$S$2:$S$806,MATCH($A111,SYZ_static!$A$2:$A$806,0)),""))</f>
        <v/>
      </c>
      <c r="J111" s="8">
        <f>IF($A111="","",_xll.BDP($A111&amp;" Corp","PAYMENT_RANK"))</f>
        <v/>
      </c>
      <c r="K111" s="9">
        <f>IF($A111="","",_xll.BDP($A111&amp;" Corp","CPN"))</f>
        <v/>
      </c>
      <c r="L111" s="10">
        <f>IF($A111="","",_xll.BDP($A111&amp;" Corp","MATURITY"))</f>
        <v/>
      </c>
      <c r="M111" s="11">
        <f>IF($A111="","",IFERROR(_xll.BDP($A111&amp;" Corp","MIN_PIECE")/1000,""))</f>
        <v/>
      </c>
      <c r="N111" s="12">
        <f>IF($A111="","",_xll.BDP($A111&amp;" Corp","PX_LAST"))</f>
        <v/>
      </c>
      <c r="O111" s="12">
        <f>IF($A111="","",_xll.BDP($A111&amp;" Corp","YAS_BOND_YLD","YAS_YLD_FLAG=15"))</f>
        <v/>
      </c>
      <c r="P111" s="12">
        <f>IF($A111="","",_xll.BDP($A111&amp;" Corp","YAS_MOD_DUR"))</f>
        <v/>
      </c>
      <c r="Q111" s="13">
        <f>IF($A111="","",_xll.BDP($A111&amp;" Corp","YAS_OAS_SPRD"))</f>
        <v/>
      </c>
      <c r="R111" s="13">
        <f>IF($A111="","",_xll.BDP($A111&amp;" Corp","YAS_OAS_SPRD","SETTLE_DT",$B$2))</f>
        <v/>
      </c>
      <c r="S111" s="14">
        <f>IF($A111="","",IF(OR(NOT(ISNUMBER($Q111)),NOT(ISNUMBER($R111))),"",$Q111-$R111))</f>
        <v/>
      </c>
      <c r="T111" s="12">
        <f>IF($A111="","",_xll.BDP($A111&amp;" Corp","YAS_BOND_YLD","YAS_YLD_FLAG=15","SETTLE_DT",$B$2))</f>
        <v/>
      </c>
      <c r="U111" s="15">
        <f>IF($A111="","",IF(OR(NOT(ISNUMBER($O111)),NOT(ISNUMBER($T111))),"",$O111-$T111))</f>
        <v/>
      </c>
      <c r="V111" s="13">
        <f>IF(NOT(ISNUMBER($S111)),"",COUNTIFS($G$7:$G$850,$G111,$S$7:$S$850,"&gt;"&amp;$S111)+COUNTIFS($G$7:$G111,$G111,$S$7:$S111,$S111))</f>
        <v/>
      </c>
      <c r="W111" s="13">
        <f>IF(NOT(ISNUMBER($S111)),"",COUNTIFS($G$7:$G$850,$G111,$S$7:$S$850,"&lt;"&amp;$S111)+COUNTIFS($G$7:$G111,$G111,$S$7:$S111,$S111))</f>
        <v/>
      </c>
      <c r="X111" s="8">
        <f>IF($V111="","",$G111&amp;"|"&amp;$V111)</f>
        <v/>
      </c>
      <c r="Y111" s="8">
        <f>IF($W111="","",$G111&amp;"|"&amp;$W111)</f>
        <v/>
      </c>
    </row>
    <row r="112">
      <c r="A112" s="16" t="inlineStr">
        <is>
          <t>XS2405483301</t>
        </is>
      </c>
      <c r="B112" s="17">
        <f>IF($A112="","",PROPER(_xll.BDP($A112&amp;" Corp","NAME")))</f>
        <v/>
      </c>
      <c r="C112" s="17">
        <f>IF($A112="","",IFERROR(INDEX(Company_desc!$B$2:$B$1144,MATCH($A112,Company_desc!$A$2:$A$1144,0)),IFERROR(INDEX(SYZ_static!$Q$2:$Q$806,MATCH($A112,SYZ_static!$A$2:$A$806,0)),"")))</f>
        <v/>
      </c>
      <c r="D112" s="17">
        <f>IF($A112="","",IFERROR(INDEX(SYZ_static!$B$2:$B$806,MATCH($A112,SYZ_static!$A$2:$A$806,0)),""))</f>
        <v/>
      </c>
      <c r="E112" s="17">
        <f>IF($A112="","",_xll.BDP($A112&amp;" Corp","INDUSTRY_SECTOR"))</f>
        <v/>
      </c>
      <c r="F112" s="17">
        <f>IF($A112="","",PROPER(_xll.BDP($A112&amp;" Corp","COUNTRY_FULL_NAME")))</f>
        <v/>
      </c>
      <c r="G112" s="17">
        <f>IF($A112="","",_xll.BDP($A112&amp;" Corp","CRNCY"))</f>
        <v/>
      </c>
      <c r="H112" s="17">
        <f>IF($A112="","",IFERROR(INDEX(SYZ_static!$T$2:$T$806,MATCH($A112,SYZ_static!$A$2:$A$806,0)),_xll.BDP($A112&amp;" Corp","RTG_SP")))</f>
        <v/>
      </c>
      <c r="I112" s="17">
        <f>IF($A112="","",IFERROR(INDEX(SYZ_static!$S$2:$S$806,MATCH($A112,SYZ_static!$A$2:$A$806,0)),""))</f>
        <v/>
      </c>
      <c r="J112" s="17">
        <f>IF($A112="","",_xll.BDP($A112&amp;" Corp","PAYMENT_RANK"))</f>
        <v/>
      </c>
      <c r="K112" s="18">
        <f>IF($A112="","",_xll.BDP($A112&amp;" Corp","CPN"))</f>
        <v/>
      </c>
      <c r="L112" s="19">
        <f>IF($A112="","",_xll.BDP($A112&amp;" Corp","MATURITY"))</f>
        <v/>
      </c>
      <c r="M112" s="20">
        <f>IF($A112="","",IFERROR(_xll.BDP($A112&amp;" Corp","MIN_PIECE")/1000,""))</f>
        <v/>
      </c>
      <c r="N112" s="21">
        <f>IF($A112="","",_xll.BDP($A112&amp;" Corp","PX_LAST"))</f>
        <v/>
      </c>
      <c r="O112" s="21">
        <f>IF($A112="","",_xll.BDP($A112&amp;" Corp","YAS_BOND_YLD","YAS_YLD_FLAG=15"))</f>
        <v/>
      </c>
      <c r="P112" s="21">
        <f>IF($A112="","",_xll.BDP($A112&amp;" Corp","YAS_MOD_DUR"))</f>
        <v/>
      </c>
      <c r="Q112" s="22">
        <f>IF($A112="","",_xll.BDP($A112&amp;" Corp","YAS_OAS_SPRD"))</f>
        <v/>
      </c>
      <c r="R112" s="22">
        <f>IF($A112="","",_xll.BDP($A112&amp;" Corp","YAS_OAS_SPRD","SETTLE_DT",$B$2))</f>
        <v/>
      </c>
      <c r="S112" s="23">
        <f>IF($A112="","",IF(OR(NOT(ISNUMBER($Q112)),NOT(ISNUMBER($R112))),"",$Q112-$R112))</f>
        <v/>
      </c>
      <c r="T112" s="21">
        <f>IF($A112="","",_xll.BDP($A112&amp;" Corp","YAS_BOND_YLD","YAS_YLD_FLAG=15","SETTLE_DT",$B$2))</f>
        <v/>
      </c>
      <c r="U112" s="24">
        <f>IF($A112="","",IF(OR(NOT(ISNUMBER($O112)),NOT(ISNUMBER($T112))),"",$O112-$T112))</f>
        <v/>
      </c>
      <c r="V112" s="22">
        <f>IF(NOT(ISNUMBER($S112)),"",COUNTIFS($G$7:$G$850,$G112,$S$7:$S$850,"&gt;"&amp;$S112)+COUNTIFS($G$7:$G112,$G112,$S$7:$S112,$S112))</f>
        <v/>
      </c>
      <c r="W112" s="22">
        <f>IF(NOT(ISNUMBER($S112)),"",COUNTIFS($G$7:$G$850,$G112,$S$7:$S$850,"&lt;"&amp;$S112)+COUNTIFS($G$7:$G112,$G112,$S$7:$S112,$S112))</f>
        <v/>
      </c>
      <c r="X112" s="17">
        <f>IF($V112="","",$G112&amp;"|"&amp;$V112)</f>
        <v/>
      </c>
      <c r="Y112" s="17">
        <f>IF($W112="","",$G112&amp;"|"&amp;$W112)</f>
        <v/>
      </c>
    </row>
    <row r="113">
      <c r="A113" s="7" t="inlineStr">
        <is>
          <t>USP3699PGM34</t>
        </is>
      </c>
      <c r="B113" s="8">
        <f>IF($A113="","",PROPER(_xll.BDP($A113&amp;" Corp","NAME")))</f>
        <v/>
      </c>
      <c r="C113" s="8">
        <f>IF($A113="","",IFERROR(INDEX(Company_desc!$B$2:$B$1144,MATCH($A113,Company_desc!$A$2:$A$1144,0)),IFERROR(INDEX(SYZ_static!$Q$2:$Q$806,MATCH($A113,SYZ_static!$A$2:$A$806,0)),"")))</f>
        <v/>
      </c>
      <c r="D113" s="8">
        <f>IF($A113="","",IFERROR(INDEX(SYZ_static!$B$2:$B$806,MATCH($A113,SYZ_static!$A$2:$A$806,0)),""))</f>
        <v/>
      </c>
      <c r="E113" s="8">
        <f>IF($A113="","",_xll.BDP($A113&amp;" Corp","INDUSTRY_SECTOR"))</f>
        <v/>
      </c>
      <c r="F113" s="8">
        <f>IF($A113="","",PROPER(_xll.BDP($A113&amp;" Corp","COUNTRY_FULL_NAME")))</f>
        <v/>
      </c>
      <c r="G113" s="8">
        <f>IF($A113="","",_xll.BDP($A113&amp;" Corp","CRNCY"))</f>
        <v/>
      </c>
      <c r="H113" s="8">
        <f>IF($A113="","",IFERROR(INDEX(SYZ_static!$T$2:$T$806,MATCH($A113,SYZ_static!$A$2:$A$806,0)),_xll.BDP($A113&amp;" Corp","RTG_SP")))</f>
        <v/>
      </c>
      <c r="I113" s="8">
        <f>IF($A113="","",IFERROR(INDEX(SYZ_static!$S$2:$S$806,MATCH($A113,SYZ_static!$A$2:$A$806,0)),""))</f>
        <v/>
      </c>
      <c r="J113" s="8">
        <f>IF($A113="","",_xll.BDP($A113&amp;" Corp","PAYMENT_RANK"))</f>
        <v/>
      </c>
      <c r="K113" s="9">
        <f>IF($A113="","",_xll.BDP($A113&amp;" Corp","CPN"))</f>
        <v/>
      </c>
      <c r="L113" s="10">
        <f>IF($A113="","",_xll.BDP($A113&amp;" Corp","MATURITY"))</f>
        <v/>
      </c>
      <c r="M113" s="11">
        <f>IF($A113="","",IFERROR(_xll.BDP($A113&amp;" Corp","MIN_PIECE")/1000,""))</f>
        <v/>
      </c>
      <c r="N113" s="12">
        <f>IF($A113="","",_xll.BDP($A113&amp;" Corp","PX_LAST"))</f>
        <v/>
      </c>
      <c r="O113" s="12">
        <f>IF($A113="","",_xll.BDP($A113&amp;" Corp","YAS_BOND_YLD","YAS_YLD_FLAG=15"))</f>
        <v/>
      </c>
      <c r="P113" s="12">
        <f>IF($A113="","",_xll.BDP($A113&amp;" Corp","YAS_MOD_DUR"))</f>
        <v/>
      </c>
      <c r="Q113" s="13">
        <f>IF($A113="","",_xll.BDP($A113&amp;" Corp","YAS_OAS_SPRD"))</f>
        <v/>
      </c>
      <c r="R113" s="13">
        <f>IF($A113="","",_xll.BDP($A113&amp;" Corp","YAS_OAS_SPRD","SETTLE_DT",$B$2))</f>
        <v/>
      </c>
      <c r="S113" s="14">
        <f>IF($A113="","",IF(OR(NOT(ISNUMBER($Q113)),NOT(ISNUMBER($R113))),"",$Q113-$R113))</f>
        <v/>
      </c>
      <c r="T113" s="12">
        <f>IF($A113="","",_xll.BDP($A113&amp;" Corp","YAS_BOND_YLD","YAS_YLD_FLAG=15","SETTLE_DT",$B$2))</f>
        <v/>
      </c>
      <c r="U113" s="15">
        <f>IF($A113="","",IF(OR(NOT(ISNUMBER($O113)),NOT(ISNUMBER($T113))),"",$O113-$T113))</f>
        <v/>
      </c>
      <c r="V113" s="13">
        <f>IF(NOT(ISNUMBER($S113)),"",COUNTIFS($G$7:$G$850,$G113,$S$7:$S$850,"&gt;"&amp;$S113)+COUNTIFS($G$7:$G113,$G113,$S$7:$S113,$S113))</f>
        <v/>
      </c>
      <c r="W113" s="13">
        <f>IF(NOT(ISNUMBER($S113)),"",COUNTIFS($G$7:$G$850,$G113,$S$7:$S$850,"&lt;"&amp;$S113)+COUNTIFS($G$7:$G113,$G113,$S$7:$S113,$S113))</f>
        <v/>
      </c>
      <c r="X113" s="8">
        <f>IF($V113="","",$G113&amp;"|"&amp;$V113)</f>
        <v/>
      </c>
      <c r="Y113" s="8">
        <f>IF($W113="","",$G113&amp;"|"&amp;$W113)</f>
        <v/>
      </c>
    </row>
    <row r="114">
      <c r="A114" s="16" t="inlineStr">
        <is>
          <t>FR001400RIT6</t>
        </is>
      </c>
      <c r="B114" s="17">
        <f>IF($A114="","",PROPER(_xll.BDP($A114&amp;" Corp","NAME")))</f>
        <v/>
      </c>
      <c r="C114" s="17">
        <f>IF($A114="","",IFERROR(INDEX(Company_desc!$B$2:$B$1144,MATCH($A114,Company_desc!$A$2:$A$1144,0)),IFERROR(INDEX(SYZ_static!$Q$2:$Q$806,MATCH($A114,SYZ_static!$A$2:$A$806,0)),"")))</f>
        <v/>
      </c>
      <c r="D114" s="17">
        <f>IF($A114="","",IFERROR(INDEX(SYZ_static!$B$2:$B$806,MATCH($A114,SYZ_static!$A$2:$A$806,0)),""))</f>
        <v/>
      </c>
      <c r="E114" s="17">
        <f>IF($A114="","",_xll.BDP($A114&amp;" Corp","INDUSTRY_SECTOR"))</f>
        <v/>
      </c>
      <c r="F114" s="17">
        <f>IF($A114="","",PROPER(_xll.BDP($A114&amp;" Corp","COUNTRY_FULL_NAME")))</f>
        <v/>
      </c>
      <c r="G114" s="17">
        <f>IF($A114="","",_xll.BDP($A114&amp;" Corp","CRNCY"))</f>
        <v/>
      </c>
      <c r="H114" s="17">
        <f>IF($A114="","",IFERROR(INDEX(SYZ_static!$T$2:$T$806,MATCH($A114,SYZ_static!$A$2:$A$806,0)),_xll.BDP($A114&amp;" Corp","RTG_SP")))</f>
        <v/>
      </c>
      <c r="I114" s="17">
        <f>IF($A114="","",IFERROR(INDEX(SYZ_static!$S$2:$S$806,MATCH($A114,SYZ_static!$A$2:$A$806,0)),""))</f>
        <v/>
      </c>
      <c r="J114" s="17">
        <f>IF($A114="","",_xll.BDP($A114&amp;" Corp","PAYMENT_RANK"))</f>
        <v/>
      </c>
      <c r="K114" s="18">
        <f>IF($A114="","",_xll.BDP($A114&amp;" Corp","CPN"))</f>
        <v/>
      </c>
      <c r="L114" s="19">
        <f>IF($A114="","",_xll.BDP($A114&amp;" Corp","MATURITY"))</f>
        <v/>
      </c>
      <c r="M114" s="20">
        <f>IF($A114="","",IFERROR(_xll.BDP($A114&amp;" Corp","MIN_PIECE")/1000,""))</f>
        <v/>
      </c>
      <c r="N114" s="21">
        <f>IF($A114="","",_xll.BDP($A114&amp;" Corp","PX_LAST"))</f>
        <v/>
      </c>
      <c r="O114" s="21">
        <f>IF($A114="","",_xll.BDP($A114&amp;" Corp","YAS_BOND_YLD","YAS_YLD_FLAG=15"))</f>
        <v/>
      </c>
      <c r="P114" s="21">
        <f>IF($A114="","",_xll.BDP($A114&amp;" Corp","YAS_MOD_DUR"))</f>
        <v/>
      </c>
      <c r="Q114" s="22">
        <f>IF($A114="","",_xll.BDP($A114&amp;" Corp","YAS_OAS_SPRD"))</f>
        <v/>
      </c>
      <c r="R114" s="22">
        <f>IF($A114="","",_xll.BDP($A114&amp;" Corp","YAS_OAS_SPRD","SETTLE_DT",$B$2))</f>
        <v/>
      </c>
      <c r="S114" s="23">
        <f>IF($A114="","",IF(OR(NOT(ISNUMBER($Q114)),NOT(ISNUMBER($R114))),"",$Q114-$R114))</f>
        <v/>
      </c>
      <c r="T114" s="21">
        <f>IF($A114="","",_xll.BDP($A114&amp;" Corp","YAS_BOND_YLD","YAS_YLD_FLAG=15","SETTLE_DT",$B$2))</f>
        <v/>
      </c>
      <c r="U114" s="24">
        <f>IF($A114="","",IF(OR(NOT(ISNUMBER($O114)),NOT(ISNUMBER($T114))),"",$O114-$T114))</f>
        <v/>
      </c>
      <c r="V114" s="22">
        <f>IF(NOT(ISNUMBER($S114)),"",COUNTIFS($G$7:$G$850,$G114,$S$7:$S$850,"&gt;"&amp;$S114)+COUNTIFS($G$7:$G114,$G114,$S$7:$S114,$S114))</f>
        <v/>
      </c>
      <c r="W114" s="22">
        <f>IF(NOT(ISNUMBER($S114)),"",COUNTIFS($G$7:$G$850,$G114,$S$7:$S$850,"&lt;"&amp;$S114)+COUNTIFS($G$7:$G114,$G114,$S$7:$S114,$S114))</f>
        <v/>
      </c>
      <c r="X114" s="17">
        <f>IF($V114="","",$G114&amp;"|"&amp;$V114)</f>
        <v/>
      </c>
      <c r="Y114" s="17">
        <f>IF($W114="","",$G114&amp;"|"&amp;$W114)</f>
        <v/>
      </c>
    </row>
    <row r="115">
      <c r="A115" s="7" t="inlineStr">
        <is>
          <t>USP04568AC88</t>
        </is>
      </c>
      <c r="B115" s="8">
        <f>IF($A115="","",PROPER(_xll.BDP($A115&amp;" Corp","NAME")))</f>
        <v/>
      </c>
      <c r="C115" s="8">
        <f>IF($A115="","",IFERROR(INDEX(Company_desc!$B$2:$B$1144,MATCH($A115,Company_desc!$A$2:$A$1144,0)),IFERROR(INDEX(SYZ_static!$Q$2:$Q$806,MATCH($A115,SYZ_static!$A$2:$A$806,0)),"")))</f>
        <v/>
      </c>
      <c r="D115" s="8">
        <f>IF($A115="","",IFERROR(INDEX(SYZ_static!$B$2:$B$806,MATCH($A115,SYZ_static!$A$2:$A$806,0)),""))</f>
        <v/>
      </c>
      <c r="E115" s="8">
        <f>IF($A115="","",_xll.BDP($A115&amp;" Corp","INDUSTRY_SECTOR"))</f>
        <v/>
      </c>
      <c r="F115" s="8">
        <f>IF($A115="","",PROPER(_xll.BDP($A115&amp;" Corp","COUNTRY_FULL_NAME")))</f>
        <v/>
      </c>
      <c r="G115" s="8">
        <f>IF($A115="","",_xll.BDP($A115&amp;" Corp","CRNCY"))</f>
        <v/>
      </c>
      <c r="H115" s="8">
        <f>IF($A115="","",IFERROR(INDEX(SYZ_static!$T$2:$T$806,MATCH($A115,SYZ_static!$A$2:$A$806,0)),_xll.BDP($A115&amp;" Corp","RTG_SP")))</f>
        <v/>
      </c>
      <c r="I115" s="8">
        <f>IF($A115="","",IFERROR(INDEX(SYZ_static!$S$2:$S$806,MATCH($A115,SYZ_static!$A$2:$A$806,0)),""))</f>
        <v/>
      </c>
      <c r="J115" s="8">
        <f>IF($A115="","",_xll.BDP($A115&amp;" Corp","PAYMENT_RANK"))</f>
        <v/>
      </c>
      <c r="K115" s="9">
        <f>IF($A115="","",_xll.BDP($A115&amp;" Corp","CPN"))</f>
        <v/>
      </c>
      <c r="L115" s="10">
        <f>IF($A115="","",_xll.BDP($A115&amp;" Corp","MATURITY"))</f>
        <v/>
      </c>
      <c r="M115" s="11">
        <f>IF($A115="","",IFERROR(_xll.BDP($A115&amp;" Corp","MIN_PIECE")/1000,""))</f>
        <v/>
      </c>
      <c r="N115" s="12">
        <f>IF($A115="","",_xll.BDP($A115&amp;" Corp","PX_LAST"))</f>
        <v/>
      </c>
      <c r="O115" s="12">
        <f>IF($A115="","",_xll.BDP($A115&amp;" Corp","YAS_BOND_YLD","YAS_YLD_FLAG=15"))</f>
        <v/>
      </c>
      <c r="P115" s="12">
        <f>IF($A115="","",_xll.BDP($A115&amp;" Corp","YAS_MOD_DUR"))</f>
        <v/>
      </c>
      <c r="Q115" s="13">
        <f>IF($A115="","",_xll.BDP($A115&amp;" Corp","YAS_OAS_SPRD"))</f>
        <v/>
      </c>
      <c r="R115" s="13">
        <f>IF($A115="","",_xll.BDP($A115&amp;" Corp","YAS_OAS_SPRD","SETTLE_DT",$B$2))</f>
        <v/>
      </c>
      <c r="S115" s="14">
        <f>IF($A115="","",IF(OR(NOT(ISNUMBER($Q115)),NOT(ISNUMBER($R115))),"",$Q115-$R115))</f>
        <v/>
      </c>
      <c r="T115" s="12">
        <f>IF($A115="","",_xll.BDP($A115&amp;" Corp","YAS_BOND_YLD","YAS_YLD_FLAG=15","SETTLE_DT",$B$2))</f>
        <v/>
      </c>
      <c r="U115" s="15">
        <f>IF($A115="","",IF(OR(NOT(ISNUMBER($O115)),NOT(ISNUMBER($T115))),"",$O115-$T115))</f>
        <v/>
      </c>
      <c r="V115" s="13">
        <f>IF(NOT(ISNUMBER($S115)),"",COUNTIFS($G$7:$G$850,$G115,$S$7:$S$850,"&gt;"&amp;$S115)+COUNTIFS($G$7:$G115,$G115,$S$7:$S115,$S115))</f>
        <v/>
      </c>
      <c r="W115" s="13">
        <f>IF(NOT(ISNUMBER($S115)),"",COUNTIFS($G$7:$G$850,$G115,$S$7:$S$850,"&lt;"&amp;$S115)+COUNTIFS($G$7:$G115,$G115,$S$7:$S115,$S115))</f>
        <v/>
      </c>
      <c r="X115" s="8">
        <f>IF($V115="","",$G115&amp;"|"&amp;$V115)</f>
        <v/>
      </c>
      <c r="Y115" s="8">
        <f>IF($W115="","",$G115&amp;"|"&amp;$W115)</f>
        <v/>
      </c>
    </row>
    <row r="116">
      <c r="A116" s="16" t="inlineStr">
        <is>
          <t>USA8372TAC20</t>
        </is>
      </c>
      <c r="B116" s="17">
        <f>IF($A116="","",PROPER(_xll.BDP($A116&amp;" Corp","NAME")))</f>
        <v/>
      </c>
      <c r="C116" s="17">
        <f>IF($A116="","",IFERROR(INDEX(Company_desc!$B$2:$B$1144,MATCH($A116,Company_desc!$A$2:$A$1144,0)),IFERROR(INDEX(SYZ_static!$Q$2:$Q$806,MATCH($A116,SYZ_static!$A$2:$A$806,0)),"")))</f>
        <v/>
      </c>
      <c r="D116" s="17">
        <f>IF($A116="","",IFERROR(INDEX(SYZ_static!$B$2:$B$806,MATCH($A116,SYZ_static!$A$2:$A$806,0)),""))</f>
        <v/>
      </c>
      <c r="E116" s="17">
        <f>IF($A116="","",_xll.BDP($A116&amp;" Corp","INDUSTRY_SECTOR"))</f>
        <v/>
      </c>
      <c r="F116" s="17">
        <f>IF($A116="","",PROPER(_xll.BDP($A116&amp;" Corp","COUNTRY_FULL_NAME")))</f>
        <v/>
      </c>
      <c r="G116" s="17">
        <f>IF($A116="","",_xll.BDP($A116&amp;" Corp","CRNCY"))</f>
        <v/>
      </c>
      <c r="H116" s="17">
        <f>IF($A116="","",IFERROR(INDEX(SYZ_static!$T$2:$T$806,MATCH($A116,SYZ_static!$A$2:$A$806,0)),_xll.BDP($A116&amp;" Corp","RTG_SP")))</f>
        <v/>
      </c>
      <c r="I116" s="17">
        <f>IF($A116="","",IFERROR(INDEX(SYZ_static!$S$2:$S$806,MATCH($A116,SYZ_static!$A$2:$A$806,0)),""))</f>
        <v/>
      </c>
      <c r="J116" s="17">
        <f>IF($A116="","",_xll.BDP($A116&amp;" Corp","PAYMENT_RANK"))</f>
        <v/>
      </c>
      <c r="K116" s="18">
        <f>IF($A116="","",_xll.BDP($A116&amp;" Corp","CPN"))</f>
        <v/>
      </c>
      <c r="L116" s="19">
        <f>IF($A116="","",_xll.BDP($A116&amp;" Corp","MATURITY"))</f>
        <v/>
      </c>
      <c r="M116" s="20">
        <f>IF($A116="","",IFERROR(_xll.BDP($A116&amp;" Corp","MIN_PIECE")/1000,""))</f>
        <v/>
      </c>
      <c r="N116" s="21">
        <f>IF($A116="","",_xll.BDP($A116&amp;" Corp","PX_LAST"))</f>
        <v/>
      </c>
      <c r="O116" s="21">
        <f>IF($A116="","",_xll.BDP($A116&amp;" Corp","YAS_BOND_YLD","YAS_YLD_FLAG=15"))</f>
        <v/>
      </c>
      <c r="P116" s="21">
        <f>IF($A116="","",_xll.BDP($A116&amp;" Corp","YAS_MOD_DUR"))</f>
        <v/>
      </c>
      <c r="Q116" s="22">
        <f>IF($A116="","",_xll.BDP($A116&amp;" Corp","YAS_OAS_SPRD"))</f>
        <v/>
      </c>
      <c r="R116" s="22">
        <f>IF($A116="","",_xll.BDP($A116&amp;" Corp","YAS_OAS_SPRD","SETTLE_DT",$B$2))</f>
        <v/>
      </c>
      <c r="S116" s="23">
        <f>IF($A116="","",IF(OR(NOT(ISNUMBER($Q116)),NOT(ISNUMBER($R116))),"",$Q116-$R116))</f>
        <v/>
      </c>
      <c r="T116" s="21">
        <f>IF($A116="","",_xll.BDP($A116&amp;" Corp","YAS_BOND_YLD","YAS_YLD_FLAG=15","SETTLE_DT",$B$2))</f>
        <v/>
      </c>
      <c r="U116" s="24">
        <f>IF($A116="","",IF(OR(NOT(ISNUMBER($O116)),NOT(ISNUMBER($T116))),"",$O116-$T116))</f>
        <v/>
      </c>
      <c r="V116" s="22">
        <f>IF(NOT(ISNUMBER($S116)),"",COUNTIFS($G$7:$G$850,$G116,$S$7:$S$850,"&gt;"&amp;$S116)+COUNTIFS($G$7:$G116,$G116,$S$7:$S116,$S116))</f>
        <v/>
      </c>
      <c r="W116" s="22">
        <f>IF(NOT(ISNUMBER($S116)),"",COUNTIFS($G$7:$G$850,$G116,$S$7:$S$850,"&lt;"&amp;$S116)+COUNTIFS($G$7:$G116,$G116,$S$7:$S116,$S116))</f>
        <v/>
      </c>
      <c r="X116" s="17">
        <f>IF($V116="","",$G116&amp;"|"&amp;$V116)</f>
        <v/>
      </c>
      <c r="Y116" s="17">
        <f>IF($W116="","",$G116&amp;"|"&amp;$W116)</f>
        <v/>
      </c>
    </row>
    <row r="117">
      <c r="A117" s="7" t="inlineStr">
        <is>
          <t>USU05375AS64</t>
        </is>
      </c>
      <c r="B117" s="8">
        <f>IF($A117="","",PROPER(_xll.BDP($A117&amp;" Corp","NAME")))</f>
        <v/>
      </c>
      <c r="C117" s="8">
        <f>IF($A117="","",IFERROR(INDEX(Company_desc!$B$2:$B$1144,MATCH($A117,Company_desc!$A$2:$A$1144,0)),IFERROR(INDEX(SYZ_static!$Q$2:$Q$806,MATCH($A117,SYZ_static!$A$2:$A$806,0)),"")))</f>
        <v/>
      </c>
      <c r="D117" s="8">
        <f>IF($A117="","",IFERROR(INDEX(SYZ_static!$B$2:$B$806,MATCH($A117,SYZ_static!$A$2:$A$806,0)),""))</f>
        <v/>
      </c>
      <c r="E117" s="8">
        <f>IF($A117="","",_xll.BDP($A117&amp;" Corp","INDUSTRY_SECTOR"))</f>
        <v/>
      </c>
      <c r="F117" s="8">
        <f>IF($A117="","",PROPER(_xll.BDP($A117&amp;" Corp","COUNTRY_FULL_NAME")))</f>
        <v/>
      </c>
      <c r="G117" s="8">
        <f>IF($A117="","",_xll.BDP($A117&amp;" Corp","CRNCY"))</f>
        <v/>
      </c>
      <c r="H117" s="8">
        <f>IF($A117="","",IFERROR(INDEX(SYZ_static!$T$2:$T$806,MATCH($A117,SYZ_static!$A$2:$A$806,0)),_xll.BDP($A117&amp;" Corp","RTG_SP")))</f>
        <v/>
      </c>
      <c r="I117" s="8">
        <f>IF($A117="","",IFERROR(INDEX(SYZ_static!$S$2:$S$806,MATCH($A117,SYZ_static!$A$2:$A$806,0)),""))</f>
        <v/>
      </c>
      <c r="J117" s="8">
        <f>IF($A117="","",_xll.BDP($A117&amp;" Corp","PAYMENT_RANK"))</f>
        <v/>
      </c>
      <c r="K117" s="9">
        <f>IF($A117="","",_xll.BDP($A117&amp;" Corp","CPN"))</f>
        <v/>
      </c>
      <c r="L117" s="10">
        <f>IF($A117="","",_xll.BDP($A117&amp;" Corp","MATURITY"))</f>
        <v/>
      </c>
      <c r="M117" s="11">
        <f>IF($A117="","",IFERROR(_xll.BDP($A117&amp;" Corp","MIN_PIECE")/1000,""))</f>
        <v/>
      </c>
      <c r="N117" s="12">
        <f>IF($A117="","",_xll.BDP($A117&amp;" Corp","PX_LAST"))</f>
        <v/>
      </c>
      <c r="O117" s="12">
        <f>IF($A117="","",_xll.BDP($A117&amp;" Corp","YAS_BOND_YLD","YAS_YLD_FLAG=15"))</f>
        <v/>
      </c>
      <c r="P117" s="12">
        <f>IF($A117="","",_xll.BDP($A117&amp;" Corp","YAS_MOD_DUR"))</f>
        <v/>
      </c>
      <c r="Q117" s="13">
        <f>IF($A117="","",_xll.BDP($A117&amp;" Corp","YAS_OAS_SPRD"))</f>
        <v/>
      </c>
      <c r="R117" s="13">
        <f>IF($A117="","",_xll.BDP($A117&amp;" Corp","YAS_OAS_SPRD","SETTLE_DT",$B$2))</f>
        <v/>
      </c>
      <c r="S117" s="14">
        <f>IF($A117="","",IF(OR(NOT(ISNUMBER($Q117)),NOT(ISNUMBER($R117))),"",$Q117-$R117))</f>
        <v/>
      </c>
      <c r="T117" s="12">
        <f>IF($A117="","",_xll.BDP($A117&amp;" Corp","YAS_BOND_YLD","YAS_YLD_FLAG=15","SETTLE_DT",$B$2))</f>
        <v/>
      </c>
      <c r="U117" s="15">
        <f>IF($A117="","",IF(OR(NOT(ISNUMBER($O117)),NOT(ISNUMBER($T117))),"",$O117-$T117))</f>
        <v/>
      </c>
      <c r="V117" s="13">
        <f>IF(NOT(ISNUMBER($S117)),"",COUNTIFS($G$7:$G$850,$G117,$S$7:$S$850,"&gt;"&amp;$S117)+COUNTIFS($G$7:$G117,$G117,$S$7:$S117,$S117))</f>
        <v/>
      </c>
      <c r="W117" s="13">
        <f>IF(NOT(ISNUMBER($S117)),"",COUNTIFS($G$7:$G$850,$G117,$S$7:$S$850,"&lt;"&amp;$S117)+COUNTIFS($G$7:$G117,$G117,$S$7:$S117,$S117))</f>
        <v/>
      </c>
      <c r="X117" s="8">
        <f>IF($V117="","",$G117&amp;"|"&amp;$V117)</f>
        <v/>
      </c>
      <c r="Y117" s="8">
        <f>IF($W117="","",$G117&amp;"|"&amp;$W117)</f>
        <v/>
      </c>
    </row>
    <row r="118">
      <c r="A118" s="16" t="inlineStr">
        <is>
          <t>USL00849AA47</t>
        </is>
      </c>
      <c r="B118" s="17">
        <f>IF($A118="","",PROPER(_xll.BDP($A118&amp;" Corp","NAME")))</f>
        <v/>
      </c>
      <c r="C118" s="17">
        <f>IF($A118="","",IFERROR(INDEX(Company_desc!$B$2:$B$1144,MATCH($A118,Company_desc!$A$2:$A$1144,0)),IFERROR(INDEX(SYZ_static!$Q$2:$Q$806,MATCH($A118,SYZ_static!$A$2:$A$806,0)),"")))</f>
        <v/>
      </c>
      <c r="D118" s="17">
        <f>IF($A118="","",IFERROR(INDEX(SYZ_static!$B$2:$B$806,MATCH($A118,SYZ_static!$A$2:$A$806,0)),""))</f>
        <v/>
      </c>
      <c r="E118" s="17">
        <f>IF($A118="","",_xll.BDP($A118&amp;" Corp","INDUSTRY_SECTOR"))</f>
        <v/>
      </c>
      <c r="F118" s="17">
        <f>IF($A118="","",PROPER(_xll.BDP($A118&amp;" Corp","COUNTRY_FULL_NAME")))</f>
        <v/>
      </c>
      <c r="G118" s="17">
        <f>IF($A118="","",_xll.BDP($A118&amp;" Corp","CRNCY"))</f>
        <v/>
      </c>
      <c r="H118" s="17">
        <f>IF($A118="","",IFERROR(INDEX(SYZ_static!$T$2:$T$806,MATCH($A118,SYZ_static!$A$2:$A$806,0)),_xll.BDP($A118&amp;" Corp","RTG_SP")))</f>
        <v/>
      </c>
      <c r="I118" s="17">
        <f>IF($A118="","",IFERROR(INDEX(SYZ_static!$S$2:$S$806,MATCH($A118,SYZ_static!$A$2:$A$806,0)),""))</f>
        <v/>
      </c>
      <c r="J118" s="17">
        <f>IF($A118="","",_xll.BDP($A118&amp;" Corp","PAYMENT_RANK"))</f>
        <v/>
      </c>
      <c r="K118" s="18">
        <f>IF($A118="","",_xll.BDP($A118&amp;" Corp","CPN"))</f>
        <v/>
      </c>
      <c r="L118" s="19">
        <f>IF($A118="","",_xll.BDP($A118&amp;" Corp","MATURITY"))</f>
        <v/>
      </c>
      <c r="M118" s="20">
        <f>IF($A118="","",IFERROR(_xll.BDP($A118&amp;" Corp","MIN_PIECE")/1000,""))</f>
        <v/>
      </c>
      <c r="N118" s="21">
        <f>IF($A118="","",_xll.BDP($A118&amp;" Corp","PX_LAST"))</f>
        <v/>
      </c>
      <c r="O118" s="21">
        <f>IF($A118="","",_xll.BDP($A118&amp;" Corp","YAS_BOND_YLD","YAS_YLD_FLAG=15"))</f>
        <v/>
      </c>
      <c r="P118" s="21">
        <f>IF($A118="","",_xll.BDP($A118&amp;" Corp","YAS_MOD_DUR"))</f>
        <v/>
      </c>
      <c r="Q118" s="22">
        <f>IF($A118="","",_xll.BDP($A118&amp;" Corp","YAS_OAS_SPRD"))</f>
        <v/>
      </c>
      <c r="R118" s="22">
        <f>IF($A118="","",_xll.BDP($A118&amp;" Corp","YAS_OAS_SPRD","SETTLE_DT",$B$2))</f>
        <v/>
      </c>
      <c r="S118" s="23">
        <f>IF($A118="","",IF(OR(NOT(ISNUMBER($Q118)),NOT(ISNUMBER($R118))),"",$Q118-$R118))</f>
        <v/>
      </c>
      <c r="T118" s="21">
        <f>IF($A118="","",_xll.BDP($A118&amp;" Corp","YAS_BOND_YLD","YAS_YLD_FLAG=15","SETTLE_DT",$B$2))</f>
        <v/>
      </c>
      <c r="U118" s="24">
        <f>IF($A118="","",IF(OR(NOT(ISNUMBER($O118)),NOT(ISNUMBER($T118))),"",$O118-$T118))</f>
        <v/>
      </c>
      <c r="V118" s="22">
        <f>IF(NOT(ISNUMBER($S118)),"",COUNTIFS($G$7:$G$850,$G118,$S$7:$S$850,"&gt;"&amp;$S118)+COUNTIFS($G$7:$G118,$G118,$S$7:$S118,$S118))</f>
        <v/>
      </c>
      <c r="W118" s="22">
        <f>IF(NOT(ISNUMBER($S118)),"",COUNTIFS($G$7:$G$850,$G118,$S$7:$S$850,"&lt;"&amp;$S118)+COUNTIFS($G$7:$G118,$G118,$S$7:$S118,$S118))</f>
        <v/>
      </c>
      <c r="X118" s="17">
        <f>IF($V118="","",$G118&amp;"|"&amp;$V118)</f>
        <v/>
      </c>
      <c r="Y118" s="17">
        <f>IF($W118="","",$G118&amp;"|"&amp;$W118)</f>
        <v/>
      </c>
    </row>
    <row r="119">
      <c r="A119" s="7" t="inlineStr">
        <is>
          <t>XS2081474046</t>
        </is>
      </c>
      <c r="B119" s="8">
        <f>IF($A119="","",PROPER(_xll.BDP($A119&amp;" Corp","NAME")))</f>
        <v/>
      </c>
      <c r="C119" s="8">
        <f>IF($A119="","",IFERROR(INDEX(Company_desc!$B$2:$B$1144,MATCH($A119,Company_desc!$A$2:$A$1144,0)),IFERROR(INDEX(SYZ_static!$Q$2:$Q$806,MATCH($A119,SYZ_static!$A$2:$A$806,0)),"")))</f>
        <v/>
      </c>
      <c r="D119" s="8">
        <f>IF($A119="","",IFERROR(INDEX(SYZ_static!$B$2:$B$806,MATCH($A119,SYZ_static!$A$2:$A$806,0)),""))</f>
        <v/>
      </c>
      <c r="E119" s="8">
        <f>IF($A119="","",_xll.BDP($A119&amp;" Corp","INDUSTRY_SECTOR"))</f>
        <v/>
      </c>
      <c r="F119" s="8">
        <f>IF($A119="","",PROPER(_xll.BDP($A119&amp;" Corp","COUNTRY_FULL_NAME")))</f>
        <v/>
      </c>
      <c r="G119" s="8">
        <f>IF($A119="","",_xll.BDP($A119&amp;" Corp","CRNCY"))</f>
        <v/>
      </c>
      <c r="H119" s="8">
        <f>IF($A119="","",IFERROR(INDEX(SYZ_static!$T$2:$T$806,MATCH($A119,SYZ_static!$A$2:$A$806,0)),_xll.BDP($A119&amp;" Corp","RTG_SP")))</f>
        <v/>
      </c>
      <c r="I119" s="8">
        <f>IF($A119="","",IFERROR(INDEX(SYZ_static!$S$2:$S$806,MATCH($A119,SYZ_static!$A$2:$A$806,0)),""))</f>
        <v/>
      </c>
      <c r="J119" s="8">
        <f>IF($A119="","",_xll.BDP($A119&amp;" Corp","PAYMENT_RANK"))</f>
        <v/>
      </c>
      <c r="K119" s="9">
        <f>IF($A119="","",_xll.BDP($A119&amp;" Corp","CPN"))</f>
        <v/>
      </c>
      <c r="L119" s="10">
        <f>IF($A119="","",_xll.BDP($A119&amp;" Corp","MATURITY"))</f>
        <v/>
      </c>
      <c r="M119" s="11">
        <f>IF($A119="","",IFERROR(_xll.BDP($A119&amp;" Corp","MIN_PIECE")/1000,""))</f>
        <v/>
      </c>
      <c r="N119" s="12">
        <f>IF($A119="","",_xll.BDP($A119&amp;" Corp","PX_LAST"))</f>
        <v/>
      </c>
      <c r="O119" s="12">
        <f>IF($A119="","",_xll.BDP($A119&amp;" Corp","YAS_BOND_YLD","YAS_YLD_FLAG=15"))</f>
        <v/>
      </c>
      <c r="P119" s="12">
        <f>IF($A119="","",_xll.BDP($A119&amp;" Corp","YAS_MOD_DUR"))</f>
        <v/>
      </c>
      <c r="Q119" s="13">
        <f>IF($A119="","",_xll.BDP($A119&amp;" Corp","YAS_OAS_SPRD"))</f>
        <v/>
      </c>
      <c r="R119" s="13">
        <f>IF($A119="","",_xll.BDP($A119&amp;" Corp","YAS_OAS_SPRD","SETTLE_DT",$B$2))</f>
        <v/>
      </c>
      <c r="S119" s="14">
        <f>IF($A119="","",IF(OR(NOT(ISNUMBER($Q119)),NOT(ISNUMBER($R119))),"",$Q119-$R119))</f>
        <v/>
      </c>
      <c r="T119" s="12">
        <f>IF($A119="","",_xll.BDP($A119&amp;" Corp","YAS_BOND_YLD","YAS_YLD_FLAG=15","SETTLE_DT",$B$2))</f>
        <v/>
      </c>
      <c r="U119" s="15">
        <f>IF($A119="","",IF(OR(NOT(ISNUMBER($O119)),NOT(ISNUMBER($T119))),"",$O119-$T119))</f>
        <v/>
      </c>
      <c r="V119" s="13">
        <f>IF(NOT(ISNUMBER($S119)),"",COUNTIFS($G$7:$G$850,$G119,$S$7:$S$850,"&gt;"&amp;$S119)+COUNTIFS($G$7:$G119,$G119,$S$7:$S119,$S119))</f>
        <v/>
      </c>
      <c r="W119" s="13">
        <f>IF(NOT(ISNUMBER($S119)),"",COUNTIFS($G$7:$G$850,$G119,$S$7:$S$850,"&lt;"&amp;$S119)+COUNTIFS($G$7:$G119,$G119,$S$7:$S119,$S119))</f>
        <v/>
      </c>
      <c r="X119" s="8">
        <f>IF($V119="","",$G119&amp;"|"&amp;$V119)</f>
        <v/>
      </c>
      <c r="Y119" s="8">
        <f>IF($W119="","",$G119&amp;"|"&amp;$W119)</f>
        <v/>
      </c>
    </row>
    <row r="120">
      <c r="A120" s="16" t="inlineStr">
        <is>
          <t>XS2777627907</t>
        </is>
      </c>
      <c r="B120" s="17">
        <f>IF($A120="","",PROPER(_xll.BDP($A120&amp;" Corp","NAME")))</f>
        <v/>
      </c>
      <c r="C120" s="17">
        <f>IF($A120="","",IFERROR(INDEX(Company_desc!$B$2:$B$1144,MATCH($A120,Company_desc!$A$2:$A$1144,0)),IFERROR(INDEX(SYZ_static!$Q$2:$Q$806,MATCH($A120,SYZ_static!$A$2:$A$806,0)),"")))</f>
        <v/>
      </c>
      <c r="D120" s="17">
        <f>IF($A120="","",IFERROR(INDEX(SYZ_static!$B$2:$B$806,MATCH($A120,SYZ_static!$A$2:$A$806,0)),""))</f>
        <v/>
      </c>
      <c r="E120" s="17">
        <f>IF($A120="","",_xll.BDP($A120&amp;" Corp","INDUSTRY_SECTOR"))</f>
        <v/>
      </c>
      <c r="F120" s="17">
        <f>IF($A120="","",PROPER(_xll.BDP($A120&amp;" Corp","COUNTRY_FULL_NAME")))</f>
        <v/>
      </c>
      <c r="G120" s="17">
        <f>IF($A120="","",_xll.BDP($A120&amp;" Corp","CRNCY"))</f>
        <v/>
      </c>
      <c r="H120" s="17">
        <f>IF($A120="","",IFERROR(INDEX(SYZ_static!$T$2:$T$806,MATCH($A120,SYZ_static!$A$2:$A$806,0)),_xll.BDP($A120&amp;" Corp","RTG_SP")))</f>
        <v/>
      </c>
      <c r="I120" s="17">
        <f>IF($A120="","",IFERROR(INDEX(SYZ_static!$S$2:$S$806,MATCH($A120,SYZ_static!$A$2:$A$806,0)),""))</f>
        <v/>
      </c>
      <c r="J120" s="17">
        <f>IF($A120="","",_xll.BDP($A120&amp;" Corp","PAYMENT_RANK"))</f>
        <v/>
      </c>
      <c r="K120" s="18">
        <f>IF($A120="","",_xll.BDP($A120&amp;" Corp","CPN"))</f>
        <v/>
      </c>
      <c r="L120" s="19">
        <f>IF($A120="","",_xll.BDP($A120&amp;" Corp","MATURITY"))</f>
        <v/>
      </c>
      <c r="M120" s="20">
        <f>IF($A120="","",IFERROR(_xll.BDP($A120&amp;" Corp","MIN_PIECE")/1000,""))</f>
        <v/>
      </c>
      <c r="N120" s="21">
        <f>IF($A120="","",_xll.BDP($A120&amp;" Corp","PX_LAST"))</f>
        <v/>
      </c>
      <c r="O120" s="21">
        <f>IF($A120="","",_xll.BDP($A120&amp;" Corp","YAS_BOND_YLD","YAS_YLD_FLAG=15"))</f>
        <v/>
      </c>
      <c r="P120" s="21">
        <f>IF($A120="","",_xll.BDP($A120&amp;" Corp","YAS_MOD_DUR"))</f>
        <v/>
      </c>
      <c r="Q120" s="22">
        <f>IF($A120="","",_xll.BDP($A120&amp;" Corp","YAS_OAS_SPRD"))</f>
        <v/>
      </c>
      <c r="R120" s="22">
        <f>IF($A120="","",_xll.BDP($A120&amp;" Corp","YAS_OAS_SPRD","SETTLE_DT",$B$2))</f>
        <v/>
      </c>
      <c r="S120" s="23">
        <f>IF($A120="","",IF(OR(NOT(ISNUMBER($Q120)),NOT(ISNUMBER($R120))),"",$Q120-$R120))</f>
        <v/>
      </c>
      <c r="T120" s="21">
        <f>IF($A120="","",_xll.BDP($A120&amp;" Corp","YAS_BOND_YLD","YAS_YLD_FLAG=15","SETTLE_DT",$B$2))</f>
        <v/>
      </c>
      <c r="U120" s="24">
        <f>IF($A120="","",IF(OR(NOT(ISNUMBER($O120)),NOT(ISNUMBER($T120))),"",$O120-$T120))</f>
        <v/>
      </c>
      <c r="V120" s="22">
        <f>IF(NOT(ISNUMBER($S120)),"",COUNTIFS($G$7:$G$850,$G120,$S$7:$S$850,"&gt;"&amp;$S120)+COUNTIFS($G$7:$G120,$G120,$S$7:$S120,$S120))</f>
        <v/>
      </c>
      <c r="W120" s="22">
        <f>IF(NOT(ISNUMBER($S120)),"",COUNTIFS($G$7:$G$850,$G120,$S$7:$S$850,"&lt;"&amp;$S120)+COUNTIFS($G$7:$G120,$G120,$S$7:$S120,$S120))</f>
        <v/>
      </c>
      <c r="X120" s="17">
        <f>IF($V120="","",$G120&amp;"|"&amp;$V120)</f>
        <v/>
      </c>
      <c r="Y120" s="17">
        <f>IF($W120="","",$G120&amp;"|"&amp;$W120)</f>
        <v/>
      </c>
    </row>
    <row r="121">
      <c r="A121" s="7" t="inlineStr">
        <is>
          <t>XS2406607171</t>
        </is>
      </c>
      <c r="B121" s="8">
        <f>IF($A121="","",PROPER(_xll.BDP($A121&amp;" Corp","NAME")))</f>
        <v/>
      </c>
      <c r="C121" s="8">
        <f>IF($A121="","",IFERROR(INDEX(Company_desc!$B$2:$B$1144,MATCH($A121,Company_desc!$A$2:$A$1144,0)),IFERROR(INDEX(SYZ_static!$Q$2:$Q$806,MATCH($A121,SYZ_static!$A$2:$A$806,0)),"")))</f>
        <v/>
      </c>
      <c r="D121" s="8">
        <f>IF($A121="","",IFERROR(INDEX(SYZ_static!$B$2:$B$806,MATCH($A121,SYZ_static!$A$2:$A$806,0)),""))</f>
        <v/>
      </c>
      <c r="E121" s="8">
        <f>IF($A121="","",_xll.BDP($A121&amp;" Corp","INDUSTRY_SECTOR"))</f>
        <v/>
      </c>
      <c r="F121" s="8">
        <f>IF($A121="","",PROPER(_xll.BDP($A121&amp;" Corp","COUNTRY_FULL_NAME")))</f>
        <v/>
      </c>
      <c r="G121" s="8">
        <f>IF($A121="","",_xll.BDP($A121&amp;" Corp","CRNCY"))</f>
        <v/>
      </c>
      <c r="H121" s="8">
        <f>IF($A121="","",IFERROR(INDEX(SYZ_static!$T$2:$T$806,MATCH($A121,SYZ_static!$A$2:$A$806,0)),_xll.BDP($A121&amp;" Corp","RTG_SP")))</f>
        <v/>
      </c>
      <c r="I121" s="8">
        <f>IF($A121="","",IFERROR(INDEX(SYZ_static!$S$2:$S$806,MATCH($A121,SYZ_static!$A$2:$A$806,0)),""))</f>
        <v/>
      </c>
      <c r="J121" s="8">
        <f>IF($A121="","",_xll.BDP($A121&amp;" Corp","PAYMENT_RANK"))</f>
        <v/>
      </c>
      <c r="K121" s="9">
        <f>IF($A121="","",_xll.BDP($A121&amp;" Corp","CPN"))</f>
        <v/>
      </c>
      <c r="L121" s="10">
        <f>IF($A121="","",_xll.BDP($A121&amp;" Corp","MATURITY"))</f>
        <v/>
      </c>
      <c r="M121" s="11">
        <f>IF($A121="","",IFERROR(_xll.BDP($A121&amp;" Corp","MIN_PIECE")/1000,""))</f>
        <v/>
      </c>
      <c r="N121" s="12">
        <f>IF($A121="","",_xll.BDP($A121&amp;" Corp","PX_LAST"))</f>
        <v/>
      </c>
      <c r="O121" s="12">
        <f>IF($A121="","",_xll.BDP($A121&amp;" Corp","YAS_BOND_YLD","YAS_YLD_FLAG=15"))</f>
        <v/>
      </c>
      <c r="P121" s="12">
        <f>IF($A121="","",_xll.BDP($A121&amp;" Corp","YAS_MOD_DUR"))</f>
        <v/>
      </c>
      <c r="Q121" s="13">
        <f>IF($A121="","",_xll.BDP($A121&amp;" Corp","YAS_OAS_SPRD"))</f>
        <v/>
      </c>
      <c r="R121" s="13">
        <f>IF($A121="","",_xll.BDP($A121&amp;" Corp","YAS_OAS_SPRD","SETTLE_DT",$B$2))</f>
        <v/>
      </c>
      <c r="S121" s="14">
        <f>IF($A121="","",IF(OR(NOT(ISNUMBER($Q121)),NOT(ISNUMBER($R121))),"",$Q121-$R121))</f>
        <v/>
      </c>
      <c r="T121" s="12">
        <f>IF($A121="","",_xll.BDP($A121&amp;" Corp","YAS_BOND_YLD","YAS_YLD_FLAG=15","SETTLE_DT",$B$2))</f>
        <v/>
      </c>
      <c r="U121" s="15">
        <f>IF($A121="","",IF(OR(NOT(ISNUMBER($O121)),NOT(ISNUMBER($T121))),"",$O121-$T121))</f>
        <v/>
      </c>
      <c r="V121" s="13">
        <f>IF(NOT(ISNUMBER($S121)),"",COUNTIFS($G$7:$G$850,$G121,$S$7:$S$850,"&gt;"&amp;$S121)+COUNTIFS($G$7:$G121,$G121,$S$7:$S121,$S121))</f>
        <v/>
      </c>
      <c r="W121" s="13">
        <f>IF(NOT(ISNUMBER($S121)),"",COUNTIFS($G$7:$G$850,$G121,$S$7:$S$850,"&lt;"&amp;$S121)+COUNTIFS($G$7:$G121,$G121,$S$7:$S121,$S121))</f>
        <v/>
      </c>
      <c r="X121" s="8">
        <f>IF($V121="","",$G121&amp;"|"&amp;$V121)</f>
        <v/>
      </c>
      <c r="Y121" s="8">
        <f>IF($W121="","",$G121&amp;"|"&amp;$W121)</f>
        <v/>
      </c>
    </row>
    <row r="122">
      <c r="A122" s="16" t="inlineStr">
        <is>
          <t>USP98088AA83</t>
        </is>
      </c>
      <c r="B122" s="17">
        <f>IF($A122="","",PROPER(_xll.BDP($A122&amp;" Corp","NAME")))</f>
        <v/>
      </c>
      <c r="C122" s="17">
        <f>IF($A122="","",IFERROR(INDEX(Company_desc!$B$2:$B$1144,MATCH($A122,Company_desc!$A$2:$A$1144,0)),IFERROR(INDEX(SYZ_static!$Q$2:$Q$806,MATCH($A122,SYZ_static!$A$2:$A$806,0)),"")))</f>
        <v/>
      </c>
      <c r="D122" s="17">
        <f>IF($A122="","",IFERROR(INDEX(SYZ_static!$B$2:$B$806,MATCH($A122,SYZ_static!$A$2:$A$806,0)),""))</f>
        <v/>
      </c>
      <c r="E122" s="17">
        <f>IF($A122="","",_xll.BDP($A122&amp;" Corp","INDUSTRY_SECTOR"))</f>
        <v/>
      </c>
      <c r="F122" s="17">
        <f>IF($A122="","",PROPER(_xll.BDP($A122&amp;" Corp","COUNTRY_FULL_NAME")))</f>
        <v/>
      </c>
      <c r="G122" s="17">
        <f>IF($A122="","",_xll.BDP($A122&amp;" Corp","CRNCY"))</f>
        <v/>
      </c>
      <c r="H122" s="17">
        <f>IF($A122="","",IFERROR(INDEX(SYZ_static!$T$2:$T$806,MATCH($A122,SYZ_static!$A$2:$A$806,0)),_xll.BDP($A122&amp;" Corp","RTG_SP")))</f>
        <v/>
      </c>
      <c r="I122" s="17">
        <f>IF($A122="","",IFERROR(INDEX(SYZ_static!$S$2:$S$806,MATCH($A122,SYZ_static!$A$2:$A$806,0)),""))</f>
        <v/>
      </c>
      <c r="J122" s="17">
        <f>IF($A122="","",_xll.BDP($A122&amp;" Corp","PAYMENT_RANK"))</f>
        <v/>
      </c>
      <c r="K122" s="18">
        <f>IF($A122="","",_xll.BDP($A122&amp;" Corp","CPN"))</f>
        <v/>
      </c>
      <c r="L122" s="19">
        <f>IF($A122="","",_xll.BDP($A122&amp;" Corp","MATURITY"))</f>
        <v/>
      </c>
      <c r="M122" s="20">
        <f>IF($A122="","",IFERROR(_xll.BDP($A122&amp;" Corp","MIN_PIECE")/1000,""))</f>
        <v/>
      </c>
      <c r="N122" s="21">
        <f>IF($A122="","",_xll.BDP($A122&amp;" Corp","PX_LAST"))</f>
        <v/>
      </c>
      <c r="O122" s="21">
        <f>IF($A122="","",_xll.BDP($A122&amp;" Corp","YAS_BOND_YLD","YAS_YLD_FLAG=15"))</f>
        <v/>
      </c>
      <c r="P122" s="21">
        <f>IF($A122="","",_xll.BDP($A122&amp;" Corp","YAS_MOD_DUR"))</f>
        <v/>
      </c>
      <c r="Q122" s="22">
        <f>IF($A122="","",_xll.BDP($A122&amp;" Corp","YAS_OAS_SPRD"))</f>
        <v/>
      </c>
      <c r="R122" s="22">
        <f>IF($A122="","",_xll.BDP($A122&amp;" Corp","YAS_OAS_SPRD","SETTLE_DT",$B$2))</f>
        <v/>
      </c>
      <c r="S122" s="23">
        <f>IF($A122="","",IF(OR(NOT(ISNUMBER($Q122)),NOT(ISNUMBER($R122))),"",$Q122-$R122))</f>
        <v/>
      </c>
      <c r="T122" s="21">
        <f>IF($A122="","",_xll.BDP($A122&amp;" Corp","YAS_BOND_YLD","YAS_YLD_FLAG=15","SETTLE_DT",$B$2))</f>
        <v/>
      </c>
      <c r="U122" s="24">
        <f>IF($A122="","",IF(OR(NOT(ISNUMBER($O122)),NOT(ISNUMBER($T122))),"",$O122-$T122))</f>
        <v/>
      </c>
      <c r="V122" s="22">
        <f>IF(NOT(ISNUMBER($S122)),"",COUNTIFS($G$7:$G$850,$G122,$S$7:$S$850,"&gt;"&amp;$S122)+COUNTIFS($G$7:$G122,$G122,$S$7:$S122,$S122))</f>
        <v/>
      </c>
      <c r="W122" s="22">
        <f>IF(NOT(ISNUMBER($S122)),"",COUNTIFS($G$7:$G$850,$G122,$S$7:$S$850,"&lt;"&amp;$S122)+COUNTIFS($G$7:$G122,$G122,$S$7:$S122,$S122))</f>
        <v/>
      </c>
      <c r="X122" s="17">
        <f>IF($V122="","",$G122&amp;"|"&amp;$V122)</f>
        <v/>
      </c>
      <c r="Y122" s="17">
        <f>IF($W122="","",$G122&amp;"|"&amp;$W122)</f>
        <v/>
      </c>
    </row>
    <row r="123">
      <c r="A123" s="7" t="inlineStr">
        <is>
          <t>XS2587708624</t>
        </is>
      </c>
      <c r="B123" s="8">
        <f>IF($A123="","",PROPER(_xll.BDP($A123&amp;" Corp","NAME")))</f>
        <v/>
      </c>
      <c r="C123" s="8">
        <f>IF($A123="","",IFERROR(INDEX(Company_desc!$B$2:$B$1144,MATCH($A123,Company_desc!$A$2:$A$1144,0)),IFERROR(INDEX(SYZ_static!$Q$2:$Q$806,MATCH($A123,SYZ_static!$A$2:$A$806,0)),"")))</f>
        <v/>
      </c>
      <c r="D123" s="8">
        <f>IF($A123="","",IFERROR(INDEX(SYZ_static!$B$2:$B$806,MATCH($A123,SYZ_static!$A$2:$A$806,0)),""))</f>
        <v/>
      </c>
      <c r="E123" s="8">
        <f>IF($A123="","",_xll.BDP($A123&amp;" Corp","INDUSTRY_SECTOR"))</f>
        <v/>
      </c>
      <c r="F123" s="8">
        <f>IF($A123="","",PROPER(_xll.BDP($A123&amp;" Corp","COUNTRY_FULL_NAME")))</f>
        <v/>
      </c>
      <c r="G123" s="8">
        <f>IF($A123="","",_xll.BDP($A123&amp;" Corp","CRNCY"))</f>
        <v/>
      </c>
      <c r="H123" s="8">
        <f>IF($A123="","",IFERROR(INDEX(SYZ_static!$T$2:$T$806,MATCH($A123,SYZ_static!$A$2:$A$806,0)),_xll.BDP($A123&amp;" Corp","RTG_SP")))</f>
        <v/>
      </c>
      <c r="I123" s="8">
        <f>IF($A123="","",IFERROR(INDEX(SYZ_static!$S$2:$S$806,MATCH($A123,SYZ_static!$A$2:$A$806,0)),""))</f>
        <v/>
      </c>
      <c r="J123" s="8">
        <f>IF($A123="","",_xll.BDP($A123&amp;" Corp","PAYMENT_RANK"))</f>
        <v/>
      </c>
      <c r="K123" s="9">
        <f>IF($A123="","",_xll.BDP($A123&amp;" Corp","CPN"))</f>
        <v/>
      </c>
      <c r="L123" s="10">
        <f>IF($A123="","",_xll.BDP($A123&amp;" Corp","MATURITY"))</f>
        <v/>
      </c>
      <c r="M123" s="11">
        <f>IF($A123="","",IFERROR(_xll.BDP($A123&amp;" Corp","MIN_PIECE")/1000,""))</f>
        <v/>
      </c>
      <c r="N123" s="12">
        <f>IF($A123="","",_xll.BDP($A123&amp;" Corp","PX_LAST"))</f>
        <v/>
      </c>
      <c r="O123" s="12">
        <f>IF($A123="","",_xll.BDP($A123&amp;" Corp","YAS_BOND_YLD","YAS_YLD_FLAG=15"))</f>
        <v/>
      </c>
      <c r="P123" s="12">
        <f>IF($A123="","",_xll.BDP($A123&amp;" Corp","YAS_MOD_DUR"))</f>
        <v/>
      </c>
      <c r="Q123" s="13">
        <f>IF($A123="","",_xll.BDP($A123&amp;" Corp","YAS_OAS_SPRD"))</f>
        <v/>
      </c>
      <c r="R123" s="13">
        <f>IF($A123="","",_xll.BDP($A123&amp;" Corp","YAS_OAS_SPRD","SETTLE_DT",$B$2))</f>
        <v/>
      </c>
      <c r="S123" s="14">
        <f>IF($A123="","",IF(OR(NOT(ISNUMBER($Q123)),NOT(ISNUMBER($R123))),"",$Q123-$R123))</f>
        <v/>
      </c>
      <c r="T123" s="12">
        <f>IF($A123="","",_xll.BDP($A123&amp;" Corp","YAS_BOND_YLD","YAS_YLD_FLAG=15","SETTLE_DT",$B$2))</f>
        <v/>
      </c>
      <c r="U123" s="15">
        <f>IF($A123="","",IF(OR(NOT(ISNUMBER($O123)),NOT(ISNUMBER($T123))),"",$O123-$T123))</f>
        <v/>
      </c>
      <c r="V123" s="13">
        <f>IF(NOT(ISNUMBER($S123)),"",COUNTIFS($G$7:$G$850,$G123,$S$7:$S$850,"&gt;"&amp;$S123)+COUNTIFS($G$7:$G123,$G123,$S$7:$S123,$S123))</f>
        <v/>
      </c>
      <c r="W123" s="13">
        <f>IF(NOT(ISNUMBER($S123)),"",COUNTIFS($G$7:$G$850,$G123,$S$7:$S$850,"&lt;"&amp;$S123)+COUNTIFS($G$7:$G123,$G123,$S$7:$S123,$S123))</f>
        <v/>
      </c>
      <c r="X123" s="8">
        <f>IF($V123="","",$G123&amp;"|"&amp;$V123)</f>
        <v/>
      </c>
      <c r="Y123" s="8">
        <f>IF($W123="","",$G123&amp;"|"&amp;$W123)</f>
        <v/>
      </c>
    </row>
    <row r="124">
      <c r="A124" s="16" t="inlineStr">
        <is>
          <t>USU9094LAD02</t>
        </is>
      </c>
      <c r="B124" s="17">
        <f>IF($A124="","",PROPER(_xll.BDP($A124&amp;" Corp","NAME")))</f>
        <v/>
      </c>
      <c r="C124" s="17">
        <f>IF($A124="","",IFERROR(INDEX(Company_desc!$B$2:$B$1144,MATCH($A124,Company_desc!$A$2:$A$1144,0)),IFERROR(INDEX(SYZ_static!$Q$2:$Q$806,MATCH($A124,SYZ_static!$A$2:$A$806,0)),"")))</f>
        <v/>
      </c>
      <c r="D124" s="17">
        <f>IF($A124="","",IFERROR(INDEX(SYZ_static!$B$2:$B$806,MATCH($A124,SYZ_static!$A$2:$A$806,0)),""))</f>
        <v/>
      </c>
      <c r="E124" s="17">
        <f>IF($A124="","",_xll.BDP($A124&amp;" Corp","INDUSTRY_SECTOR"))</f>
        <v/>
      </c>
      <c r="F124" s="17">
        <f>IF($A124="","",PROPER(_xll.BDP($A124&amp;" Corp","COUNTRY_FULL_NAME")))</f>
        <v/>
      </c>
      <c r="G124" s="17">
        <f>IF($A124="","",_xll.BDP($A124&amp;" Corp","CRNCY"))</f>
        <v/>
      </c>
      <c r="H124" s="17">
        <f>IF($A124="","",IFERROR(INDEX(SYZ_static!$T$2:$T$806,MATCH($A124,SYZ_static!$A$2:$A$806,0)),_xll.BDP($A124&amp;" Corp","RTG_SP")))</f>
        <v/>
      </c>
      <c r="I124" s="17">
        <f>IF($A124="","",IFERROR(INDEX(SYZ_static!$S$2:$S$806,MATCH($A124,SYZ_static!$A$2:$A$806,0)),""))</f>
        <v/>
      </c>
      <c r="J124" s="17">
        <f>IF($A124="","",_xll.BDP($A124&amp;" Corp","PAYMENT_RANK"))</f>
        <v/>
      </c>
      <c r="K124" s="18">
        <f>IF($A124="","",_xll.BDP($A124&amp;" Corp","CPN"))</f>
        <v/>
      </c>
      <c r="L124" s="19">
        <f>IF($A124="","",_xll.BDP($A124&amp;" Corp","MATURITY"))</f>
        <v/>
      </c>
      <c r="M124" s="20">
        <f>IF($A124="","",IFERROR(_xll.BDP($A124&amp;" Corp","MIN_PIECE")/1000,""))</f>
        <v/>
      </c>
      <c r="N124" s="21">
        <f>IF($A124="","",_xll.BDP($A124&amp;" Corp","PX_LAST"))</f>
        <v/>
      </c>
      <c r="O124" s="21">
        <f>IF($A124="","",_xll.BDP($A124&amp;" Corp","YAS_BOND_YLD","YAS_YLD_FLAG=15"))</f>
        <v/>
      </c>
      <c r="P124" s="21">
        <f>IF($A124="","",_xll.BDP($A124&amp;" Corp","YAS_MOD_DUR"))</f>
        <v/>
      </c>
      <c r="Q124" s="22">
        <f>IF($A124="","",_xll.BDP($A124&amp;" Corp","YAS_OAS_SPRD"))</f>
        <v/>
      </c>
      <c r="R124" s="22">
        <f>IF($A124="","",_xll.BDP($A124&amp;" Corp","YAS_OAS_SPRD","SETTLE_DT",$B$2))</f>
        <v/>
      </c>
      <c r="S124" s="23">
        <f>IF($A124="","",IF(OR(NOT(ISNUMBER($Q124)),NOT(ISNUMBER($R124))),"",$Q124-$R124))</f>
        <v/>
      </c>
      <c r="T124" s="21">
        <f>IF($A124="","",_xll.BDP($A124&amp;" Corp","YAS_BOND_YLD","YAS_YLD_FLAG=15","SETTLE_DT",$B$2))</f>
        <v/>
      </c>
      <c r="U124" s="24">
        <f>IF($A124="","",IF(OR(NOT(ISNUMBER($O124)),NOT(ISNUMBER($T124))),"",$O124-$T124))</f>
        <v/>
      </c>
      <c r="V124" s="22">
        <f>IF(NOT(ISNUMBER($S124)),"",COUNTIFS($G$7:$G$850,$G124,$S$7:$S$850,"&gt;"&amp;$S124)+COUNTIFS($G$7:$G124,$G124,$S$7:$S124,$S124))</f>
        <v/>
      </c>
      <c r="W124" s="22">
        <f>IF(NOT(ISNUMBER($S124)),"",COUNTIFS($G$7:$G$850,$G124,$S$7:$S$850,"&lt;"&amp;$S124)+COUNTIFS($G$7:$G124,$G124,$S$7:$S124,$S124))</f>
        <v/>
      </c>
      <c r="X124" s="17">
        <f>IF($V124="","",$G124&amp;"|"&amp;$V124)</f>
        <v/>
      </c>
      <c r="Y124" s="17">
        <f>IF($W124="","",$G124&amp;"|"&amp;$W124)</f>
        <v/>
      </c>
    </row>
    <row r="125">
      <c r="A125" s="7" t="inlineStr">
        <is>
          <t>XS2592804434</t>
        </is>
      </c>
      <c r="B125" s="8">
        <f>IF($A125="","",PROPER(_xll.BDP($A125&amp;" Corp","NAME")))</f>
        <v/>
      </c>
      <c r="C125" s="8">
        <f>IF($A125="","",IFERROR(INDEX(Company_desc!$B$2:$B$1144,MATCH($A125,Company_desc!$A$2:$A$1144,0)),IFERROR(INDEX(SYZ_static!$Q$2:$Q$806,MATCH($A125,SYZ_static!$A$2:$A$806,0)),"")))</f>
        <v/>
      </c>
      <c r="D125" s="8">
        <f>IF($A125="","",IFERROR(INDEX(SYZ_static!$B$2:$B$806,MATCH($A125,SYZ_static!$A$2:$A$806,0)),""))</f>
        <v/>
      </c>
      <c r="E125" s="8">
        <f>IF($A125="","",_xll.BDP($A125&amp;" Corp","INDUSTRY_SECTOR"))</f>
        <v/>
      </c>
      <c r="F125" s="8">
        <f>IF($A125="","",PROPER(_xll.BDP($A125&amp;" Corp","COUNTRY_FULL_NAME")))</f>
        <v/>
      </c>
      <c r="G125" s="8">
        <f>IF($A125="","",_xll.BDP($A125&amp;" Corp","CRNCY"))</f>
        <v/>
      </c>
      <c r="H125" s="8">
        <f>IF($A125="","",IFERROR(INDEX(SYZ_static!$T$2:$T$806,MATCH($A125,SYZ_static!$A$2:$A$806,0)),_xll.BDP($A125&amp;" Corp","RTG_SP")))</f>
        <v/>
      </c>
      <c r="I125" s="8">
        <f>IF($A125="","",IFERROR(INDEX(SYZ_static!$S$2:$S$806,MATCH($A125,SYZ_static!$A$2:$A$806,0)),""))</f>
        <v/>
      </c>
      <c r="J125" s="8">
        <f>IF($A125="","",_xll.BDP($A125&amp;" Corp","PAYMENT_RANK"))</f>
        <v/>
      </c>
      <c r="K125" s="9">
        <f>IF($A125="","",_xll.BDP($A125&amp;" Corp","CPN"))</f>
        <v/>
      </c>
      <c r="L125" s="10">
        <f>IF($A125="","",_xll.BDP($A125&amp;" Corp","MATURITY"))</f>
        <v/>
      </c>
      <c r="M125" s="11">
        <f>IF($A125="","",IFERROR(_xll.BDP($A125&amp;" Corp","MIN_PIECE")/1000,""))</f>
        <v/>
      </c>
      <c r="N125" s="12">
        <f>IF($A125="","",_xll.BDP($A125&amp;" Corp","PX_LAST"))</f>
        <v/>
      </c>
      <c r="O125" s="12">
        <f>IF($A125="","",_xll.BDP($A125&amp;" Corp","YAS_BOND_YLD","YAS_YLD_FLAG=15"))</f>
        <v/>
      </c>
      <c r="P125" s="12">
        <f>IF($A125="","",_xll.BDP($A125&amp;" Corp","YAS_MOD_DUR"))</f>
        <v/>
      </c>
      <c r="Q125" s="13">
        <f>IF($A125="","",_xll.BDP($A125&amp;" Corp","YAS_OAS_SPRD"))</f>
        <v/>
      </c>
      <c r="R125" s="13">
        <f>IF($A125="","",_xll.BDP($A125&amp;" Corp","YAS_OAS_SPRD","SETTLE_DT",$B$2))</f>
        <v/>
      </c>
      <c r="S125" s="14">
        <f>IF($A125="","",IF(OR(NOT(ISNUMBER($Q125)),NOT(ISNUMBER($R125))),"",$Q125-$R125))</f>
        <v/>
      </c>
      <c r="T125" s="12">
        <f>IF($A125="","",_xll.BDP($A125&amp;" Corp","YAS_BOND_YLD","YAS_YLD_FLAG=15","SETTLE_DT",$B$2))</f>
        <v/>
      </c>
      <c r="U125" s="15">
        <f>IF($A125="","",IF(OR(NOT(ISNUMBER($O125)),NOT(ISNUMBER($T125))),"",$O125-$T125))</f>
        <v/>
      </c>
      <c r="V125" s="13">
        <f>IF(NOT(ISNUMBER($S125)),"",COUNTIFS($G$7:$G$850,$G125,$S$7:$S$850,"&gt;"&amp;$S125)+COUNTIFS($G$7:$G125,$G125,$S$7:$S125,$S125))</f>
        <v/>
      </c>
      <c r="W125" s="13">
        <f>IF(NOT(ISNUMBER($S125)),"",COUNTIFS($G$7:$G$850,$G125,$S$7:$S$850,"&lt;"&amp;$S125)+COUNTIFS($G$7:$G125,$G125,$S$7:$S125,$S125))</f>
        <v/>
      </c>
      <c r="X125" s="8">
        <f>IF($V125="","",$G125&amp;"|"&amp;$V125)</f>
        <v/>
      </c>
      <c r="Y125" s="8">
        <f>IF($W125="","",$G125&amp;"|"&amp;$W125)</f>
        <v/>
      </c>
    </row>
    <row r="126">
      <c r="A126" s="16" t="inlineStr">
        <is>
          <t>XS0630584166</t>
        </is>
      </c>
      <c r="B126" s="17">
        <f>IF($A126="","",PROPER(_xll.BDP($A126&amp;" Corp","NAME")))</f>
        <v/>
      </c>
      <c r="C126" s="17">
        <f>IF($A126="","",IFERROR(INDEX(Company_desc!$B$2:$B$1144,MATCH($A126,Company_desc!$A$2:$A$1144,0)),IFERROR(INDEX(SYZ_static!$Q$2:$Q$806,MATCH($A126,SYZ_static!$A$2:$A$806,0)),"")))</f>
        <v/>
      </c>
      <c r="D126" s="17">
        <f>IF($A126="","",IFERROR(INDEX(SYZ_static!$B$2:$B$806,MATCH($A126,SYZ_static!$A$2:$A$806,0)),""))</f>
        <v/>
      </c>
      <c r="E126" s="17">
        <f>IF($A126="","",_xll.BDP($A126&amp;" Corp","INDUSTRY_SECTOR"))</f>
        <v/>
      </c>
      <c r="F126" s="17">
        <f>IF($A126="","",PROPER(_xll.BDP($A126&amp;" Corp","COUNTRY_FULL_NAME")))</f>
        <v/>
      </c>
      <c r="G126" s="17">
        <f>IF($A126="","",_xll.BDP($A126&amp;" Corp","CRNCY"))</f>
        <v/>
      </c>
      <c r="H126" s="17">
        <f>IF($A126="","",IFERROR(INDEX(SYZ_static!$T$2:$T$806,MATCH($A126,SYZ_static!$A$2:$A$806,0)),_xll.BDP($A126&amp;" Corp","RTG_SP")))</f>
        <v/>
      </c>
      <c r="I126" s="17">
        <f>IF($A126="","",IFERROR(INDEX(SYZ_static!$S$2:$S$806,MATCH($A126,SYZ_static!$A$2:$A$806,0)),""))</f>
        <v/>
      </c>
      <c r="J126" s="17">
        <f>IF($A126="","",_xll.BDP($A126&amp;" Corp","PAYMENT_RANK"))</f>
        <v/>
      </c>
      <c r="K126" s="18">
        <f>IF($A126="","",_xll.BDP($A126&amp;" Corp","CPN"))</f>
        <v/>
      </c>
      <c r="L126" s="19">
        <f>IF($A126="","",_xll.BDP($A126&amp;" Corp","MATURITY"))</f>
        <v/>
      </c>
      <c r="M126" s="20">
        <f>IF($A126="","",IFERROR(_xll.BDP($A126&amp;" Corp","MIN_PIECE")/1000,""))</f>
        <v/>
      </c>
      <c r="N126" s="21">
        <f>IF($A126="","",_xll.BDP($A126&amp;" Corp","PX_LAST"))</f>
        <v/>
      </c>
      <c r="O126" s="21">
        <f>IF($A126="","",_xll.BDP($A126&amp;" Corp","YAS_BOND_YLD","YAS_YLD_FLAG=15"))</f>
        <v/>
      </c>
      <c r="P126" s="21">
        <f>IF($A126="","",_xll.BDP($A126&amp;" Corp","YAS_MOD_DUR"))</f>
        <v/>
      </c>
      <c r="Q126" s="22">
        <f>IF($A126="","",_xll.BDP($A126&amp;" Corp","YAS_OAS_SPRD"))</f>
        <v/>
      </c>
      <c r="R126" s="22">
        <f>IF($A126="","",_xll.BDP($A126&amp;" Corp","YAS_OAS_SPRD","SETTLE_DT",$B$2))</f>
        <v/>
      </c>
      <c r="S126" s="23">
        <f>IF($A126="","",IF(OR(NOT(ISNUMBER($Q126)),NOT(ISNUMBER($R126))),"",$Q126-$R126))</f>
        <v/>
      </c>
      <c r="T126" s="21">
        <f>IF($A126="","",_xll.BDP($A126&amp;" Corp","YAS_BOND_YLD","YAS_YLD_FLAG=15","SETTLE_DT",$B$2))</f>
        <v/>
      </c>
      <c r="U126" s="24">
        <f>IF($A126="","",IF(OR(NOT(ISNUMBER($O126)),NOT(ISNUMBER($T126))),"",$O126-$T126))</f>
        <v/>
      </c>
      <c r="V126" s="22">
        <f>IF(NOT(ISNUMBER($S126)),"",COUNTIFS($G$7:$G$850,$G126,$S$7:$S$850,"&gt;"&amp;$S126)+COUNTIFS($G$7:$G126,$G126,$S$7:$S126,$S126))</f>
        <v/>
      </c>
      <c r="W126" s="22">
        <f>IF(NOT(ISNUMBER($S126)),"",COUNTIFS($G$7:$G$850,$G126,$S$7:$S$850,"&lt;"&amp;$S126)+COUNTIFS($G$7:$G126,$G126,$S$7:$S126,$S126))</f>
        <v/>
      </c>
      <c r="X126" s="17">
        <f>IF($V126="","",$G126&amp;"|"&amp;$V126)</f>
        <v/>
      </c>
      <c r="Y126" s="17">
        <f>IF($W126="","",$G126&amp;"|"&amp;$W126)</f>
        <v/>
      </c>
    </row>
    <row r="127">
      <c r="A127" s="7" t="inlineStr">
        <is>
          <t>US05971BAK52</t>
        </is>
      </c>
      <c r="B127" s="8">
        <f>IF($A127="","",PROPER(_xll.BDP($A127&amp;" Corp","NAME")))</f>
        <v/>
      </c>
      <c r="C127" s="8">
        <f>IF($A127="","",IFERROR(INDEX(Company_desc!$B$2:$B$1144,MATCH($A127,Company_desc!$A$2:$A$1144,0)),IFERROR(INDEX(SYZ_static!$Q$2:$Q$806,MATCH($A127,SYZ_static!$A$2:$A$806,0)),"")))</f>
        <v/>
      </c>
      <c r="D127" s="8">
        <f>IF($A127="","",IFERROR(INDEX(SYZ_static!$B$2:$B$806,MATCH($A127,SYZ_static!$A$2:$A$806,0)),""))</f>
        <v/>
      </c>
      <c r="E127" s="8">
        <f>IF($A127="","",_xll.BDP($A127&amp;" Corp","INDUSTRY_SECTOR"))</f>
        <v/>
      </c>
      <c r="F127" s="8">
        <f>IF($A127="","",PROPER(_xll.BDP($A127&amp;" Corp","COUNTRY_FULL_NAME")))</f>
        <v/>
      </c>
      <c r="G127" s="8">
        <f>IF($A127="","",_xll.BDP($A127&amp;" Corp","CRNCY"))</f>
        <v/>
      </c>
      <c r="H127" s="8">
        <f>IF($A127="","",IFERROR(INDEX(SYZ_static!$T$2:$T$806,MATCH($A127,SYZ_static!$A$2:$A$806,0)),_xll.BDP($A127&amp;" Corp","RTG_SP")))</f>
        <v/>
      </c>
      <c r="I127" s="8">
        <f>IF($A127="","",IFERROR(INDEX(SYZ_static!$S$2:$S$806,MATCH($A127,SYZ_static!$A$2:$A$806,0)),""))</f>
        <v/>
      </c>
      <c r="J127" s="8">
        <f>IF($A127="","",_xll.BDP($A127&amp;" Corp","PAYMENT_RANK"))</f>
        <v/>
      </c>
      <c r="K127" s="9">
        <f>IF($A127="","",_xll.BDP($A127&amp;" Corp","CPN"))</f>
        <v/>
      </c>
      <c r="L127" s="10">
        <f>IF($A127="","",_xll.BDP($A127&amp;" Corp","MATURITY"))</f>
        <v/>
      </c>
      <c r="M127" s="11">
        <f>IF($A127="","",IFERROR(_xll.BDP($A127&amp;" Corp","MIN_PIECE")/1000,""))</f>
        <v/>
      </c>
      <c r="N127" s="12">
        <f>IF($A127="","",_xll.BDP($A127&amp;" Corp","PX_LAST"))</f>
        <v/>
      </c>
      <c r="O127" s="12">
        <f>IF($A127="","",_xll.BDP($A127&amp;" Corp","YAS_BOND_YLD","YAS_YLD_FLAG=15"))</f>
        <v/>
      </c>
      <c r="P127" s="12">
        <f>IF($A127="","",_xll.BDP($A127&amp;" Corp","YAS_MOD_DUR"))</f>
        <v/>
      </c>
      <c r="Q127" s="13">
        <f>IF($A127="","",_xll.BDP($A127&amp;" Corp","YAS_OAS_SPRD"))</f>
        <v/>
      </c>
      <c r="R127" s="13">
        <f>IF($A127="","",_xll.BDP($A127&amp;" Corp","YAS_OAS_SPRD","SETTLE_DT",$B$2))</f>
        <v/>
      </c>
      <c r="S127" s="14">
        <f>IF($A127="","",IF(OR(NOT(ISNUMBER($Q127)),NOT(ISNUMBER($R127))),"",$Q127-$R127))</f>
        <v/>
      </c>
      <c r="T127" s="12">
        <f>IF($A127="","",_xll.BDP($A127&amp;" Corp","YAS_BOND_YLD","YAS_YLD_FLAG=15","SETTLE_DT",$B$2))</f>
        <v/>
      </c>
      <c r="U127" s="15">
        <f>IF($A127="","",IF(OR(NOT(ISNUMBER($O127)),NOT(ISNUMBER($T127))),"",$O127-$T127))</f>
        <v/>
      </c>
      <c r="V127" s="13">
        <f>IF(NOT(ISNUMBER($S127)),"",COUNTIFS($G$7:$G$850,$G127,$S$7:$S$850,"&gt;"&amp;$S127)+COUNTIFS($G$7:$G127,$G127,$S$7:$S127,$S127))</f>
        <v/>
      </c>
      <c r="W127" s="13">
        <f>IF(NOT(ISNUMBER($S127)),"",COUNTIFS($G$7:$G$850,$G127,$S$7:$S$850,"&lt;"&amp;$S127)+COUNTIFS($G$7:$G127,$G127,$S$7:$S127,$S127))</f>
        <v/>
      </c>
      <c r="X127" s="8">
        <f>IF($V127="","",$G127&amp;"|"&amp;$V127)</f>
        <v/>
      </c>
      <c r="Y127" s="8">
        <f>IF($W127="","",$G127&amp;"|"&amp;$W127)</f>
        <v/>
      </c>
    </row>
    <row r="128">
      <c r="A128" s="16" t="inlineStr">
        <is>
          <t>XS2724457457</t>
        </is>
      </c>
      <c r="B128" s="17">
        <f>IF($A128="","",PROPER(_xll.BDP($A128&amp;" Corp","NAME")))</f>
        <v/>
      </c>
      <c r="C128" s="17">
        <f>IF($A128="","",IFERROR(INDEX(Company_desc!$B$2:$B$1144,MATCH($A128,Company_desc!$A$2:$A$1144,0)),IFERROR(INDEX(SYZ_static!$Q$2:$Q$806,MATCH($A128,SYZ_static!$A$2:$A$806,0)),"")))</f>
        <v/>
      </c>
      <c r="D128" s="17">
        <f>IF($A128="","",IFERROR(INDEX(SYZ_static!$B$2:$B$806,MATCH($A128,SYZ_static!$A$2:$A$806,0)),""))</f>
        <v/>
      </c>
      <c r="E128" s="17">
        <f>IF($A128="","",_xll.BDP($A128&amp;" Corp","INDUSTRY_SECTOR"))</f>
        <v/>
      </c>
      <c r="F128" s="17">
        <f>IF($A128="","",PROPER(_xll.BDP($A128&amp;" Corp","COUNTRY_FULL_NAME")))</f>
        <v/>
      </c>
      <c r="G128" s="17">
        <f>IF($A128="","",_xll.BDP($A128&amp;" Corp","CRNCY"))</f>
        <v/>
      </c>
      <c r="H128" s="17">
        <f>IF($A128="","",IFERROR(INDEX(SYZ_static!$T$2:$T$806,MATCH($A128,SYZ_static!$A$2:$A$806,0)),_xll.BDP($A128&amp;" Corp","RTG_SP")))</f>
        <v/>
      </c>
      <c r="I128" s="17">
        <f>IF($A128="","",IFERROR(INDEX(SYZ_static!$S$2:$S$806,MATCH($A128,SYZ_static!$A$2:$A$806,0)),""))</f>
        <v/>
      </c>
      <c r="J128" s="17">
        <f>IF($A128="","",_xll.BDP($A128&amp;" Corp","PAYMENT_RANK"))</f>
        <v/>
      </c>
      <c r="K128" s="18">
        <f>IF($A128="","",_xll.BDP($A128&amp;" Corp","CPN"))</f>
        <v/>
      </c>
      <c r="L128" s="19">
        <f>IF($A128="","",_xll.BDP($A128&amp;" Corp","MATURITY"))</f>
        <v/>
      </c>
      <c r="M128" s="20">
        <f>IF($A128="","",IFERROR(_xll.BDP($A128&amp;" Corp","MIN_PIECE")/1000,""))</f>
        <v/>
      </c>
      <c r="N128" s="21">
        <f>IF($A128="","",_xll.BDP($A128&amp;" Corp","PX_LAST"))</f>
        <v/>
      </c>
      <c r="O128" s="21">
        <f>IF($A128="","",_xll.BDP($A128&amp;" Corp","YAS_BOND_YLD","YAS_YLD_FLAG=15"))</f>
        <v/>
      </c>
      <c r="P128" s="21">
        <f>IF($A128="","",_xll.BDP($A128&amp;" Corp","YAS_MOD_DUR"))</f>
        <v/>
      </c>
      <c r="Q128" s="22">
        <f>IF($A128="","",_xll.BDP($A128&amp;" Corp","YAS_OAS_SPRD"))</f>
        <v/>
      </c>
      <c r="R128" s="22">
        <f>IF($A128="","",_xll.BDP($A128&amp;" Corp","YAS_OAS_SPRD","SETTLE_DT",$B$2))</f>
        <v/>
      </c>
      <c r="S128" s="23">
        <f>IF($A128="","",IF(OR(NOT(ISNUMBER($Q128)),NOT(ISNUMBER($R128))),"",$Q128-$R128))</f>
        <v/>
      </c>
      <c r="T128" s="21">
        <f>IF($A128="","",_xll.BDP($A128&amp;" Corp","YAS_BOND_YLD","YAS_YLD_FLAG=15","SETTLE_DT",$B$2))</f>
        <v/>
      </c>
      <c r="U128" s="24">
        <f>IF($A128="","",IF(OR(NOT(ISNUMBER($O128)),NOT(ISNUMBER($T128))),"",$O128-$T128))</f>
        <v/>
      </c>
      <c r="V128" s="22">
        <f>IF(NOT(ISNUMBER($S128)),"",COUNTIFS($G$7:$G$850,$G128,$S$7:$S$850,"&gt;"&amp;$S128)+COUNTIFS($G$7:$G128,$G128,$S$7:$S128,$S128))</f>
        <v/>
      </c>
      <c r="W128" s="22">
        <f>IF(NOT(ISNUMBER($S128)),"",COUNTIFS($G$7:$G$850,$G128,$S$7:$S$850,"&lt;"&amp;$S128)+COUNTIFS($G$7:$G128,$G128,$S$7:$S128,$S128))</f>
        <v/>
      </c>
      <c r="X128" s="17">
        <f>IF($V128="","",$G128&amp;"|"&amp;$V128)</f>
        <v/>
      </c>
      <c r="Y128" s="17">
        <f>IF($W128="","",$G128&amp;"|"&amp;$W128)</f>
        <v/>
      </c>
    </row>
    <row r="129">
      <c r="A129" s="7" t="inlineStr">
        <is>
          <t>USL7915RAA43</t>
        </is>
      </c>
      <c r="B129" s="8">
        <f>IF($A129="","",PROPER(_xll.BDP($A129&amp;" Corp","NAME")))</f>
        <v/>
      </c>
      <c r="C129" s="8">
        <f>IF($A129="","",IFERROR(INDEX(Company_desc!$B$2:$B$1144,MATCH($A129,Company_desc!$A$2:$A$1144,0)),IFERROR(INDEX(SYZ_static!$Q$2:$Q$806,MATCH($A129,SYZ_static!$A$2:$A$806,0)),"")))</f>
        <v/>
      </c>
      <c r="D129" s="8">
        <f>IF($A129="","",IFERROR(INDEX(SYZ_static!$B$2:$B$806,MATCH($A129,SYZ_static!$A$2:$A$806,0)),""))</f>
        <v/>
      </c>
      <c r="E129" s="8">
        <f>IF($A129="","",_xll.BDP($A129&amp;" Corp","INDUSTRY_SECTOR"))</f>
        <v/>
      </c>
      <c r="F129" s="8">
        <f>IF($A129="","",PROPER(_xll.BDP($A129&amp;" Corp","COUNTRY_FULL_NAME")))</f>
        <v/>
      </c>
      <c r="G129" s="8">
        <f>IF($A129="","",_xll.BDP($A129&amp;" Corp","CRNCY"))</f>
        <v/>
      </c>
      <c r="H129" s="8">
        <f>IF($A129="","",IFERROR(INDEX(SYZ_static!$T$2:$T$806,MATCH($A129,SYZ_static!$A$2:$A$806,0)),_xll.BDP($A129&amp;" Corp","RTG_SP")))</f>
        <v/>
      </c>
      <c r="I129" s="8">
        <f>IF($A129="","",IFERROR(INDEX(SYZ_static!$S$2:$S$806,MATCH($A129,SYZ_static!$A$2:$A$806,0)),""))</f>
        <v/>
      </c>
      <c r="J129" s="8">
        <f>IF($A129="","",_xll.BDP($A129&amp;" Corp","PAYMENT_RANK"))</f>
        <v/>
      </c>
      <c r="K129" s="9">
        <f>IF($A129="","",_xll.BDP($A129&amp;" Corp","CPN"))</f>
        <v/>
      </c>
      <c r="L129" s="10">
        <f>IF($A129="","",_xll.BDP($A129&amp;" Corp","MATURITY"))</f>
        <v/>
      </c>
      <c r="M129" s="11">
        <f>IF($A129="","",IFERROR(_xll.BDP($A129&amp;" Corp","MIN_PIECE")/1000,""))</f>
        <v/>
      </c>
      <c r="N129" s="12">
        <f>IF($A129="","",_xll.BDP($A129&amp;" Corp","PX_LAST"))</f>
        <v/>
      </c>
      <c r="O129" s="12">
        <f>IF($A129="","",_xll.BDP($A129&amp;" Corp","YAS_BOND_YLD","YAS_YLD_FLAG=15"))</f>
        <v/>
      </c>
      <c r="P129" s="12">
        <f>IF($A129="","",_xll.BDP($A129&amp;" Corp","YAS_MOD_DUR"))</f>
        <v/>
      </c>
      <c r="Q129" s="13">
        <f>IF($A129="","",_xll.BDP($A129&amp;" Corp","YAS_OAS_SPRD"))</f>
        <v/>
      </c>
      <c r="R129" s="13">
        <f>IF($A129="","",_xll.BDP($A129&amp;" Corp","YAS_OAS_SPRD","SETTLE_DT",$B$2))</f>
        <v/>
      </c>
      <c r="S129" s="14">
        <f>IF($A129="","",IF(OR(NOT(ISNUMBER($Q129)),NOT(ISNUMBER($R129))),"",$Q129-$R129))</f>
        <v/>
      </c>
      <c r="T129" s="12">
        <f>IF($A129="","",_xll.BDP($A129&amp;" Corp","YAS_BOND_YLD","YAS_YLD_FLAG=15","SETTLE_DT",$B$2))</f>
        <v/>
      </c>
      <c r="U129" s="15">
        <f>IF($A129="","",IF(OR(NOT(ISNUMBER($O129)),NOT(ISNUMBER($T129))),"",$O129-$T129))</f>
        <v/>
      </c>
      <c r="V129" s="13">
        <f>IF(NOT(ISNUMBER($S129)),"",COUNTIFS($G$7:$G$850,$G129,$S$7:$S$850,"&gt;"&amp;$S129)+COUNTIFS($G$7:$G129,$G129,$S$7:$S129,$S129))</f>
        <v/>
      </c>
      <c r="W129" s="13">
        <f>IF(NOT(ISNUMBER($S129)),"",COUNTIFS($G$7:$G$850,$G129,$S$7:$S$850,"&lt;"&amp;$S129)+COUNTIFS($G$7:$G129,$G129,$S$7:$S129,$S129))</f>
        <v/>
      </c>
      <c r="X129" s="8">
        <f>IF($V129="","",$G129&amp;"|"&amp;$V129)</f>
        <v/>
      </c>
      <c r="Y129" s="8">
        <f>IF($W129="","",$G129&amp;"|"&amp;$W129)</f>
        <v/>
      </c>
    </row>
    <row r="130">
      <c r="A130" s="16" t="inlineStr">
        <is>
          <t>USY2R27RAB56</t>
        </is>
      </c>
      <c r="B130" s="17">
        <f>IF($A130="","",PROPER(_xll.BDP($A130&amp;" Corp","NAME")))</f>
        <v/>
      </c>
      <c r="C130" s="17">
        <f>IF($A130="","",IFERROR(INDEX(Company_desc!$B$2:$B$1144,MATCH($A130,Company_desc!$A$2:$A$1144,0)),IFERROR(INDEX(SYZ_static!$Q$2:$Q$806,MATCH($A130,SYZ_static!$A$2:$A$806,0)),"")))</f>
        <v/>
      </c>
      <c r="D130" s="17">
        <f>IF($A130="","",IFERROR(INDEX(SYZ_static!$B$2:$B$806,MATCH($A130,SYZ_static!$A$2:$A$806,0)),""))</f>
        <v/>
      </c>
      <c r="E130" s="17">
        <f>IF($A130="","",_xll.BDP($A130&amp;" Corp","INDUSTRY_SECTOR"))</f>
        <v/>
      </c>
      <c r="F130" s="17">
        <f>IF($A130="","",PROPER(_xll.BDP($A130&amp;" Corp","COUNTRY_FULL_NAME")))</f>
        <v/>
      </c>
      <c r="G130" s="17">
        <f>IF($A130="","",_xll.BDP($A130&amp;" Corp","CRNCY"))</f>
        <v/>
      </c>
      <c r="H130" s="17">
        <f>IF($A130="","",IFERROR(INDEX(SYZ_static!$T$2:$T$806,MATCH($A130,SYZ_static!$A$2:$A$806,0)),_xll.BDP($A130&amp;" Corp","RTG_SP")))</f>
        <v/>
      </c>
      <c r="I130" s="17">
        <f>IF($A130="","",IFERROR(INDEX(SYZ_static!$S$2:$S$806,MATCH($A130,SYZ_static!$A$2:$A$806,0)),""))</f>
        <v/>
      </c>
      <c r="J130" s="17">
        <f>IF($A130="","",_xll.BDP($A130&amp;" Corp","PAYMENT_RANK"))</f>
        <v/>
      </c>
      <c r="K130" s="18">
        <f>IF($A130="","",_xll.BDP($A130&amp;" Corp","CPN"))</f>
        <v/>
      </c>
      <c r="L130" s="19">
        <f>IF($A130="","",_xll.BDP($A130&amp;" Corp","MATURITY"))</f>
        <v/>
      </c>
      <c r="M130" s="20">
        <f>IF($A130="","",IFERROR(_xll.BDP($A130&amp;" Corp","MIN_PIECE")/1000,""))</f>
        <v/>
      </c>
      <c r="N130" s="21">
        <f>IF($A130="","",_xll.BDP($A130&amp;" Corp","PX_LAST"))</f>
        <v/>
      </c>
      <c r="O130" s="21">
        <f>IF($A130="","",_xll.BDP($A130&amp;" Corp","YAS_BOND_YLD","YAS_YLD_FLAG=15"))</f>
        <v/>
      </c>
      <c r="P130" s="21">
        <f>IF($A130="","",_xll.BDP($A130&amp;" Corp","YAS_MOD_DUR"))</f>
        <v/>
      </c>
      <c r="Q130" s="22">
        <f>IF($A130="","",_xll.BDP($A130&amp;" Corp","YAS_OAS_SPRD"))</f>
        <v/>
      </c>
      <c r="R130" s="22">
        <f>IF($A130="","",_xll.BDP($A130&amp;" Corp","YAS_OAS_SPRD","SETTLE_DT",$B$2))</f>
        <v/>
      </c>
      <c r="S130" s="23">
        <f>IF($A130="","",IF(OR(NOT(ISNUMBER($Q130)),NOT(ISNUMBER($R130))),"",$Q130-$R130))</f>
        <v/>
      </c>
      <c r="T130" s="21">
        <f>IF($A130="","",_xll.BDP($A130&amp;" Corp","YAS_BOND_YLD","YAS_YLD_FLAG=15","SETTLE_DT",$B$2))</f>
        <v/>
      </c>
      <c r="U130" s="24">
        <f>IF($A130="","",IF(OR(NOT(ISNUMBER($O130)),NOT(ISNUMBER($T130))),"",$O130-$T130))</f>
        <v/>
      </c>
      <c r="V130" s="22">
        <f>IF(NOT(ISNUMBER($S130)),"",COUNTIFS($G$7:$G$850,$G130,$S$7:$S$850,"&gt;"&amp;$S130)+COUNTIFS($G$7:$G130,$G130,$S$7:$S130,$S130))</f>
        <v/>
      </c>
      <c r="W130" s="22">
        <f>IF(NOT(ISNUMBER($S130)),"",COUNTIFS($G$7:$G$850,$G130,$S$7:$S$850,"&lt;"&amp;$S130)+COUNTIFS($G$7:$G130,$G130,$S$7:$S130,$S130))</f>
        <v/>
      </c>
      <c r="X130" s="17">
        <f>IF($V130="","",$G130&amp;"|"&amp;$V130)</f>
        <v/>
      </c>
      <c r="Y130" s="17">
        <f>IF($W130="","",$G130&amp;"|"&amp;$W130)</f>
        <v/>
      </c>
    </row>
    <row r="131">
      <c r="A131" s="7" t="inlineStr">
        <is>
          <t>XS2975136214</t>
        </is>
      </c>
      <c r="B131" s="8">
        <f>IF($A131="","",PROPER(_xll.BDP($A131&amp;" Corp","NAME")))</f>
        <v/>
      </c>
      <c r="C131" s="8">
        <f>IF($A131="","",IFERROR(INDEX(Company_desc!$B$2:$B$1144,MATCH($A131,Company_desc!$A$2:$A$1144,0)),IFERROR(INDEX(SYZ_static!$Q$2:$Q$806,MATCH($A131,SYZ_static!$A$2:$A$806,0)),"")))</f>
        <v/>
      </c>
      <c r="D131" s="8">
        <f>IF($A131="","",IFERROR(INDEX(SYZ_static!$B$2:$B$806,MATCH($A131,SYZ_static!$A$2:$A$806,0)),""))</f>
        <v/>
      </c>
      <c r="E131" s="8">
        <f>IF($A131="","",_xll.BDP($A131&amp;" Corp","INDUSTRY_SECTOR"))</f>
        <v/>
      </c>
      <c r="F131" s="8">
        <f>IF($A131="","",PROPER(_xll.BDP($A131&amp;" Corp","COUNTRY_FULL_NAME")))</f>
        <v/>
      </c>
      <c r="G131" s="8">
        <f>IF($A131="","",_xll.BDP($A131&amp;" Corp","CRNCY"))</f>
        <v/>
      </c>
      <c r="H131" s="8">
        <f>IF($A131="","",IFERROR(INDEX(SYZ_static!$T$2:$T$806,MATCH($A131,SYZ_static!$A$2:$A$806,0)),_xll.BDP($A131&amp;" Corp","RTG_SP")))</f>
        <v/>
      </c>
      <c r="I131" s="8">
        <f>IF($A131="","",IFERROR(INDEX(SYZ_static!$S$2:$S$806,MATCH($A131,SYZ_static!$A$2:$A$806,0)),""))</f>
        <v/>
      </c>
      <c r="J131" s="8">
        <f>IF($A131="","",_xll.BDP($A131&amp;" Corp","PAYMENT_RANK"))</f>
        <v/>
      </c>
      <c r="K131" s="9">
        <f>IF($A131="","",_xll.BDP($A131&amp;" Corp","CPN"))</f>
        <v/>
      </c>
      <c r="L131" s="10">
        <f>IF($A131="","",_xll.BDP($A131&amp;" Corp","MATURITY"))</f>
        <v/>
      </c>
      <c r="M131" s="11">
        <f>IF($A131="","",IFERROR(_xll.BDP($A131&amp;" Corp","MIN_PIECE")/1000,""))</f>
        <v/>
      </c>
      <c r="N131" s="12">
        <f>IF($A131="","",_xll.BDP($A131&amp;" Corp","PX_LAST"))</f>
        <v/>
      </c>
      <c r="O131" s="12">
        <f>IF($A131="","",_xll.BDP($A131&amp;" Corp","YAS_BOND_YLD","YAS_YLD_FLAG=15"))</f>
        <v/>
      </c>
      <c r="P131" s="12">
        <f>IF($A131="","",_xll.BDP($A131&amp;" Corp","YAS_MOD_DUR"))</f>
        <v/>
      </c>
      <c r="Q131" s="13">
        <f>IF($A131="","",_xll.BDP($A131&amp;" Corp","YAS_OAS_SPRD"))</f>
        <v/>
      </c>
      <c r="R131" s="13">
        <f>IF($A131="","",_xll.BDP($A131&amp;" Corp","YAS_OAS_SPRD","SETTLE_DT",$B$2))</f>
        <v/>
      </c>
      <c r="S131" s="14">
        <f>IF($A131="","",IF(OR(NOT(ISNUMBER($Q131)),NOT(ISNUMBER($R131))),"",$Q131-$R131))</f>
        <v/>
      </c>
      <c r="T131" s="12">
        <f>IF($A131="","",_xll.BDP($A131&amp;" Corp","YAS_BOND_YLD","YAS_YLD_FLAG=15","SETTLE_DT",$B$2))</f>
        <v/>
      </c>
      <c r="U131" s="15">
        <f>IF($A131="","",IF(OR(NOT(ISNUMBER($O131)),NOT(ISNUMBER($T131))),"",$O131-$T131))</f>
        <v/>
      </c>
      <c r="V131" s="13">
        <f>IF(NOT(ISNUMBER($S131)),"",COUNTIFS($G$7:$G$850,$G131,$S$7:$S$850,"&gt;"&amp;$S131)+COUNTIFS($G$7:$G131,$G131,$S$7:$S131,$S131))</f>
        <v/>
      </c>
      <c r="W131" s="13">
        <f>IF(NOT(ISNUMBER($S131)),"",COUNTIFS($G$7:$G$850,$G131,$S$7:$S$850,"&lt;"&amp;$S131)+COUNTIFS($G$7:$G131,$G131,$S$7:$S131,$S131))</f>
        <v/>
      </c>
      <c r="X131" s="8">
        <f>IF($V131="","",$G131&amp;"|"&amp;$V131)</f>
        <v/>
      </c>
      <c r="Y131" s="8">
        <f>IF($W131="","",$G131&amp;"|"&amp;$W131)</f>
        <v/>
      </c>
    </row>
    <row r="132">
      <c r="A132" s="16" t="inlineStr">
        <is>
          <t>XS2431029441</t>
        </is>
      </c>
      <c r="B132" s="17">
        <f>IF($A132="","",PROPER(_xll.BDP($A132&amp;" Corp","NAME")))</f>
        <v/>
      </c>
      <c r="C132" s="17">
        <f>IF($A132="","",IFERROR(INDEX(Company_desc!$B$2:$B$1144,MATCH($A132,Company_desc!$A$2:$A$1144,0)),IFERROR(INDEX(SYZ_static!$Q$2:$Q$806,MATCH($A132,SYZ_static!$A$2:$A$806,0)),"")))</f>
        <v/>
      </c>
      <c r="D132" s="17">
        <f>IF($A132="","",IFERROR(INDEX(SYZ_static!$B$2:$B$806,MATCH($A132,SYZ_static!$A$2:$A$806,0)),""))</f>
        <v/>
      </c>
      <c r="E132" s="17">
        <f>IF($A132="","",_xll.BDP($A132&amp;" Corp","INDUSTRY_SECTOR"))</f>
        <v/>
      </c>
      <c r="F132" s="17">
        <f>IF($A132="","",PROPER(_xll.BDP($A132&amp;" Corp","COUNTRY_FULL_NAME")))</f>
        <v/>
      </c>
      <c r="G132" s="17">
        <f>IF($A132="","",_xll.BDP($A132&amp;" Corp","CRNCY"))</f>
        <v/>
      </c>
      <c r="H132" s="17">
        <f>IF($A132="","",IFERROR(INDEX(SYZ_static!$T$2:$T$806,MATCH($A132,SYZ_static!$A$2:$A$806,0)),_xll.BDP($A132&amp;" Corp","RTG_SP")))</f>
        <v/>
      </c>
      <c r="I132" s="17">
        <f>IF($A132="","",IFERROR(INDEX(SYZ_static!$S$2:$S$806,MATCH($A132,SYZ_static!$A$2:$A$806,0)),""))</f>
        <v/>
      </c>
      <c r="J132" s="17">
        <f>IF($A132="","",_xll.BDP($A132&amp;" Corp","PAYMENT_RANK"))</f>
        <v/>
      </c>
      <c r="K132" s="18">
        <f>IF($A132="","",_xll.BDP($A132&amp;" Corp","CPN"))</f>
        <v/>
      </c>
      <c r="L132" s="19">
        <f>IF($A132="","",_xll.BDP($A132&amp;" Corp","MATURITY"))</f>
        <v/>
      </c>
      <c r="M132" s="20">
        <f>IF($A132="","",IFERROR(_xll.BDP($A132&amp;" Corp","MIN_PIECE")/1000,""))</f>
        <v/>
      </c>
      <c r="N132" s="21">
        <f>IF($A132="","",_xll.BDP($A132&amp;" Corp","PX_LAST"))</f>
        <v/>
      </c>
      <c r="O132" s="21">
        <f>IF($A132="","",_xll.BDP($A132&amp;" Corp","YAS_BOND_YLD","YAS_YLD_FLAG=15"))</f>
        <v/>
      </c>
      <c r="P132" s="21">
        <f>IF($A132="","",_xll.BDP($A132&amp;" Corp","YAS_MOD_DUR"))</f>
        <v/>
      </c>
      <c r="Q132" s="22">
        <f>IF($A132="","",_xll.BDP($A132&amp;" Corp","YAS_OAS_SPRD"))</f>
        <v/>
      </c>
      <c r="R132" s="22">
        <f>IF($A132="","",_xll.BDP($A132&amp;" Corp","YAS_OAS_SPRD","SETTLE_DT",$B$2))</f>
        <v/>
      </c>
      <c r="S132" s="23">
        <f>IF($A132="","",IF(OR(NOT(ISNUMBER($Q132)),NOT(ISNUMBER($R132))),"",$Q132-$R132))</f>
        <v/>
      </c>
      <c r="T132" s="21">
        <f>IF($A132="","",_xll.BDP($A132&amp;" Corp","YAS_BOND_YLD","YAS_YLD_FLAG=15","SETTLE_DT",$B$2))</f>
        <v/>
      </c>
      <c r="U132" s="24">
        <f>IF($A132="","",IF(OR(NOT(ISNUMBER($O132)),NOT(ISNUMBER($T132))),"",$O132-$T132))</f>
        <v/>
      </c>
      <c r="V132" s="22">
        <f>IF(NOT(ISNUMBER($S132)),"",COUNTIFS($G$7:$G$850,$G132,$S$7:$S$850,"&gt;"&amp;$S132)+COUNTIFS($G$7:$G132,$G132,$S$7:$S132,$S132))</f>
        <v/>
      </c>
      <c r="W132" s="22">
        <f>IF(NOT(ISNUMBER($S132)),"",COUNTIFS($G$7:$G$850,$G132,$S$7:$S$850,"&lt;"&amp;$S132)+COUNTIFS($G$7:$G132,$G132,$S$7:$S132,$S132))</f>
        <v/>
      </c>
      <c r="X132" s="17">
        <f>IF($V132="","",$G132&amp;"|"&amp;$V132)</f>
        <v/>
      </c>
      <c r="Y132" s="17">
        <f>IF($W132="","",$G132&amp;"|"&amp;$W132)</f>
        <v/>
      </c>
    </row>
    <row r="133">
      <c r="A133" s="7" t="inlineStr">
        <is>
          <t>XS0556373347</t>
        </is>
      </c>
      <c r="B133" s="8">
        <f>IF($A133="","",PROPER(_xll.BDP($A133&amp;" Corp","NAME")))</f>
        <v/>
      </c>
      <c r="C133" s="8">
        <f>IF($A133="","",IFERROR(INDEX(Company_desc!$B$2:$B$1144,MATCH($A133,Company_desc!$A$2:$A$1144,0)),IFERROR(INDEX(SYZ_static!$Q$2:$Q$806,MATCH($A133,SYZ_static!$A$2:$A$806,0)),"")))</f>
        <v/>
      </c>
      <c r="D133" s="8">
        <f>IF($A133="","",IFERROR(INDEX(SYZ_static!$B$2:$B$806,MATCH($A133,SYZ_static!$A$2:$A$806,0)),""))</f>
        <v/>
      </c>
      <c r="E133" s="8">
        <f>IF($A133="","",_xll.BDP($A133&amp;" Corp","INDUSTRY_SECTOR"))</f>
        <v/>
      </c>
      <c r="F133" s="8">
        <f>IF($A133="","",PROPER(_xll.BDP($A133&amp;" Corp","COUNTRY_FULL_NAME")))</f>
        <v/>
      </c>
      <c r="G133" s="8">
        <f>IF($A133="","",_xll.BDP($A133&amp;" Corp","CRNCY"))</f>
        <v/>
      </c>
      <c r="H133" s="8">
        <f>IF($A133="","",IFERROR(INDEX(SYZ_static!$T$2:$T$806,MATCH($A133,SYZ_static!$A$2:$A$806,0)),_xll.BDP($A133&amp;" Corp","RTG_SP")))</f>
        <v/>
      </c>
      <c r="I133" s="8">
        <f>IF($A133="","",IFERROR(INDEX(SYZ_static!$S$2:$S$806,MATCH($A133,SYZ_static!$A$2:$A$806,0)),""))</f>
        <v/>
      </c>
      <c r="J133" s="8">
        <f>IF($A133="","",_xll.BDP($A133&amp;" Corp","PAYMENT_RANK"))</f>
        <v/>
      </c>
      <c r="K133" s="9">
        <f>IF($A133="","",_xll.BDP($A133&amp;" Corp","CPN"))</f>
        <v/>
      </c>
      <c r="L133" s="10">
        <f>IF($A133="","",_xll.BDP($A133&amp;" Corp","MATURITY"))</f>
        <v/>
      </c>
      <c r="M133" s="11">
        <f>IF($A133="","",IFERROR(_xll.BDP($A133&amp;" Corp","MIN_PIECE")/1000,""))</f>
        <v/>
      </c>
      <c r="N133" s="12">
        <f>IF($A133="","",_xll.BDP($A133&amp;" Corp","PX_LAST"))</f>
        <v/>
      </c>
      <c r="O133" s="12">
        <f>IF($A133="","",_xll.BDP($A133&amp;" Corp","YAS_BOND_YLD","YAS_YLD_FLAG=15"))</f>
        <v/>
      </c>
      <c r="P133" s="12">
        <f>IF($A133="","",_xll.BDP($A133&amp;" Corp","YAS_MOD_DUR"))</f>
        <v/>
      </c>
      <c r="Q133" s="13">
        <f>IF($A133="","",_xll.BDP($A133&amp;" Corp","YAS_OAS_SPRD"))</f>
        <v/>
      </c>
      <c r="R133" s="13">
        <f>IF($A133="","",_xll.BDP($A133&amp;" Corp","YAS_OAS_SPRD","SETTLE_DT",$B$2))</f>
        <v/>
      </c>
      <c r="S133" s="14">
        <f>IF($A133="","",IF(OR(NOT(ISNUMBER($Q133)),NOT(ISNUMBER($R133))),"",$Q133-$R133))</f>
        <v/>
      </c>
      <c r="T133" s="12">
        <f>IF($A133="","",_xll.BDP($A133&amp;" Corp","YAS_BOND_YLD","YAS_YLD_FLAG=15","SETTLE_DT",$B$2))</f>
        <v/>
      </c>
      <c r="U133" s="15">
        <f>IF($A133="","",IF(OR(NOT(ISNUMBER($O133)),NOT(ISNUMBER($T133))),"",$O133-$T133))</f>
        <v/>
      </c>
      <c r="V133" s="13">
        <f>IF(NOT(ISNUMBER($S133)),"",COUNTIFS($G$7:$G$850,$G133,$S$7:$S$850,"&gt;"&amp;$S133)+COUNTIFS($G$7:$G133,$G133,$S$7:$S133,$S133))</f>
        <v/>
      </c>
      <c r="W133" s="13">
        <f>IF(NOT(ISNUMBER($S133)),"",COUNTIFS($G$7:$G$850,$G133,$S$7:$S$850,"&lt;"&amp;$S133)+COUNTIFS($G$7:$G133,$G133,$S$7:$S133,$S133))</f>
        <v/>
      </c>
      <c r="X133" s="8">
        <f>IF($V133="","",$G133&amp;"|"&amp;$V133)</f>
        <v/>
      </c>
      <c r="Y133" s="8">
        <f>IF($W133="","",$G133&amp;"|"&amp;$W133)</f>
        <v/>
      </c>
    </row>
    <row r="134">
      <c r="A134" s="16" t="inlineStr">
        <is>
          <t>USP04568AB06</t>
        </is>
      </c>
      <c r="B134" s="17">
        <f>IF($A134="","",PROPER(_xll.BDP($A134&amp;" Corp","NAME")))</f>
        <v/>
      </c>
      <c r="C134" s="17">
        <f>IF($A134="","",IFERROR(INDEX(Company_desc!$B$2:$B$1144,MATCH($A134,Company_desc!$A$2:$A$1144,0)),IFERROR(INDEX(SYZ_static!$Q$2:$Q$806,MATCH($A134,SYZ_static!$A$2:$A$806,0)),"")))</f>
        <v/>
      </c>
      <c r="D134" s="17">
        <f>IF($A134="","",IFERROR(INDEX(SYZ_static!$B$2:$B$806,MATCH($A134,SYZ_static!$A$2:$A$806,0)),""))</f>
        <v/>
      </c>
      <c r="E134" s="17">
        <f>IF($A134="","",_xll.BDP($A134&amp;" Corp","INDUSTRY_SECTOR"))</f>
        <v/>
      </c>
      <c r="F134" s="17">
        <f>IF($A134="","",PROPER(_xll.BDP($A134&amp;" Corp","COUNTRY_FULL_NAME")))</f>
        <v/>
      </c>
      <c r="G134" s="17">
        <f>IF($A134="","",_xll.BDP($A134&amp;" Corp","CRNCY"))</f>
        <v/>
      </c>
      <c r="H134" s="17">
        <f>IF($A134="","",IFERROR(INDEX(SYZ_static!$T$2:$T$806,MATCH($A134,SYZ_static!$A$2:$A$806,0)),_xll.BDP($A134&amp;" Corp","RTG_SP")))</f>
        <v/>
      </c>
      <c r="I134" s="17">
        <f>IF($A134="","",IFERROR(INDEX(SYZ_static!$S$2:$S$806,MATCH($A134,SYZ_static!$A$2:$A$806,0)),""))</f>
        <v/>
      </c>
      <c r="J134" s="17">
        <f>IF($A134="","",_xll.BDP($A134&amp;" Corp","PAYMENT_RANK"))</f>
        <v/>
      </c>
      <c r="K134" s="18">
        <f>IF($A134="","",_xll.BDP($A134&amp;" Corp","CPN"))</f>
        <v/>
      </c>
      <c r="L134" s="19">
        <f>IF($A134="","",_xll.BDP($A134&amp;" Corp","MATURITY"))</f>
        <v/>
      </c>
      <c r="M134" s="20">
        <f>IF($A134="","",IFERROR(_xll.BDP($A134&amp;" Corp","MIN_PIECE")/1000,""))</f>
        <v/>
      </c>
      <c r="N134" s="21">
        <f>IF($A134="","",_xll.BDP($A134&amp;" Corp","PX_LAST"))</f>
        <v/>
      </c>
      <c r="O134" s="21">
        <f>IF($A134="","",_xll.BDP($A134&amp;" Corp","YAS_BOND_YLD","YAS_YLD_FLAG=15"))</f>
        <v/>
      </c>
      <c r="P134" s="21">
        <f>IF($A134="","",_xll.BDP($A134&amp;" Corp","YAS_MOD_DUR"))</f>
        <v/>
      </c>
      <c r="Q134" s="22">
        <f>IF($A134="","",_xll.BDP($A134&amp;" Corp","YAS_OAS_SPRD"))</f>
        <v/>
      </c>
      <c r="R134" s="22">
        <f>IF($A134="","",_xll.BDP($A134&amp;" Corp","YAS_OAS_SPRD","SETTLE_DT",$B$2))</f>
        <v/>
      </c>
      <c r="S134" s="23">
        <f>IF($A134="","",IF(OR(NOT(ISNUMBER($Q134)),NOT(ISNUMBER($R134))),"",$Q134-$R134))</f>
        <v/>
      </c>
      <c r="T134" s="21">
        <f>IF($A134="","",_xll.BDP($A134&amp;" Corp","YAS_BOND_YLD","YAS_YLD_FLAG=15","SETTLE_DT",$B$2))</f>
        <v/>
      </c>
      <c r="U134" s="24">
        <f>IF($A134="","",IF(OR(NOT(ISNUMBER($O134)),NOT(ISNUMBER($T134))),"",$O134-$T134))</f>
        <v/>
      </c>
      <c r="V134" s="22">
        <f>IF(NOT(ISNUMBER($S134)),"",COUNTIFS($G$7:$G$850,$G134,$S$7:$S$850,"&gt;"&amp;$S134)+COUNTIFS($G$7:$G134,$G134,$S$7:$S134,$S134))</f>
        <v/>
      </c>
      <c r="W134" s="22">
        <f>IF(NOT(ISNUMBER($S134)),"",COUNTIFS($G$7:$G$850,$G134,$S$7:$S$850,"&lt;"&amp;$S134)+COUNTIFS($G$7:$G134,$G134,$S$7:$S134,$S134))</f>
        <v/>
      </c>
      <c r="X134" s="17">
        <f>IF($V134="","",$G134&amp;"|"&amp;$V134)</f>
        <v/>
      </c>
      <c r="Y134" s="17">
        <f>IF($W134="","",$G134&amp;"|"&amp;$W134)</f>
        <v/>
      </c>
    </row>
    <row r="135">
      <c r="A135" s="7" t="inlineStr">
        <is>
          <t>US05947LBB36</t>
        </is>
      </c>
      <c r="B135" s="8">
        <f>IF($A135="","",PROPER(_xll.BDP($A135&amp;" Corp","NAME")))</f>
        <v/>
      </c>
      <c r="C135" s="8">
        <f>IF($A135="","",IFERROR(INDEX(Company_desc!$B$2:$B$1144,MATCH($A135,Company_desc!$A$2:$A$1144,0)),IFERROR(INDEX(SYZ_static!$Q$2:$Q$806,MATCH($A135,SYZ_static!$A$2:$A$806,0)),"")))</f>
        <v/>
      </c>
      <c r="D135" s="8">
        <f>IF($A135="","",IFERROR(INDEX(SYZ_static!$B$2:$B$806,MATCH($A135,SYZ_static!$A$2:$A$806,0)),""))</f>
        <v/>
      </c>
      <c r="E135" s="8">
        <f>IF($A135="","",_xll.BDP($A135&amp;" Corp","INDUSTRY_SECTOR"))</f>
        <v/>
      </c>
      <c r="F135" s="8">
        <f>IF($A135="","",PROPER(_xll.BDP($A135&amp;" Corp","COUNTRY_FULL_NAME")))</f>
        <v/>
      </c>
      <c r="G135" s="8">
        <f>IF($A135="","",_xll.BDP($A135&amp;" Corp","CRNCY"))</f>
        <v/>
      </c>
      <c r="H135" s="8">
        <f>IF($A135="","",IFERROR(INDEX(SYZ_static!$T$2:$T$806,MATCH($A135,SYZ_static!$A$2:$A$806,0)),_xll.BDP($A135&amp;" Corp","RTG_SP")))</f>
        <v/>
      </c>
      <c r="I135" s="8">
        <f>IF($A135="","",IFERROR(INDEX(SYZ_static!$S$2:$S$806,MATCH($A135,SYZ_static!$A$2:$A$806,0)),""))</f>
        <v/>
      </c>
      <c r="J135" s="8">
        <f>IF($A135="","",_xll.BDP($A135&amp;" Corp","PAYMENT_RANK"))</f>
        <v/>
      </c>
      <c r="K135" s="9">
        <f>IF($A135="","",_xll.BDP($A135&amp;" Corp","CPN"))</f>
        <v/>
      </c>
      <c r="L135" s="10">
        <f>IF($A135="","",_xll.BDP($A135&amp;" Corp","MATURITY"))</f>
        <v/>
      </c>
      <c r="M135" s="11">
        <f>IF($A135="","",IFERROR(_xll.BDP($A135&amp;" Corp","MIN_PIECE")/1000,""))</f>
        <v/>
      </c>
      <c r="N135" s="12">
        <f>IF($A135="","",_xll.BDP($A135&amp;" Corp","PX_LAST"))</f>
        <v/>
      </c>
      <c r="O135" s="12">
        <f>IF($A135="","",_xll.BDP($A135&amp;" Corp","YAS_BOND_YLD","YAS_YLD_FLAG=15"))</f>
        <v/>
      </c>
      <c r="P135" s="12">
        <f>IF($A135="","",_xll.BDP($A135&amp;" Corp","YAS_MOD_DUR"))</f>
        <v/>
      </c>
      <c r="Q135" s="13">
        <f>IF($A135="","",_xll.BDP($A135&amp;" Corp","YAS_OAS_SPRD"))</f>
        <v/>
      </c>
      <c r="R135" s="13">
        <f>IF($A135="","",_xll.BDP($A135&amp;" Corp","YAS_OAS_SPRD","SETTLE_DT",$B$2))</f>
        <v/>
      </c>
      <c r="S135" s="14">
        <f>IF($A135="","",IF(OR(NOT(ISNUMBER($Q135)),NOT(ISNUMBER($R135))),"",$Q135-$R135))</f>
        <v/>
      </c>
      <c r="T135" s="12">
        <f>IF($A135="","",_xll.BDP($A135&amp;" Corp","YAS_BOND_YLD","YAS_YLD_FLAG=15","SETTLE_DT",$B$2))</f>
        <v/>
      </c>
      <c r="U135" s="15">
        <f>IF($A135="","",IF(OR(NOT(ISNUMBER($O135)),NOT(ISNUMBER($T135))),"",$O135-$T135))</f>
        <v/>
      </c>
      <c r="V135" s="13">
        <f>IF(NOT(ISNUMBER($S135)),"",COUNTIFS($G$7:$G$850,$G135,$S$7:$S$850,"&gt;"&amp;$S135)+COUNTIFS($G$7:$G135,$G135,$S$7:$S135,$S135))</f>
        <v/>
      </c>
      <c r="W135" s="13">
        <f>IF(NOT(ISNUMBER($S135)),"",COUNTIFS($G$7:$G$850,$G135,$S$7:$S$850,"&lt;"&amp;$S135)+COUNTIFS($G$7:$G135,$G135,$S$7:$S135,$S135))</f>
        <v/>
      </c>
      <c r="X135" s="8">
        <f>IF($V135="","",$G135&amp;"|"&amp;$V135)</f>
        <v/>
      </c>
      <c r="Y135" s="8">
        <f>IF($W135="","",$G135&amp;"|"&amp;$W135)</f>
        <v/>
      </c>
    </row>
    <row r="136">
      <c r="A136" s="16" t="inlineStr">
        <is>
          <t>USU1022EAF52</t>
        </is>
      </c>
      <c r="B136" s="17">
        <f>IF($A136="","",PROPER(_xll.BDP($A136&amp;" Corp","NAME")))</f>
        <v/>
      </c>
      <c r="C136" s="17">
        <f>IF($A136="","",IFERROR(INDEX(Company_desc!$B$2:$B$1144,MATCH($A136,Company_desc!$A$2:$A$1144,0)),IFERROR(INDEX(SYZ_static!$Q$2:$Q$806,MATCH($A136,SYZ_static!$A$2:$A$806,0)),"")))</f>
        <v/>
      </c>
      <c r="D136" s="17">
        <f>IF($A136="","",IFERROR(INDEX(SYZ_static!$B$2:$B$806,MATCH($A136,SYZ_static!$A$2:$A$806,0)),""))</f>
        <v/>
      </c>
      <c r="E136" s="17">
        <f>IF($A136="","",_xll.BDP($A136&amp;" Corp","INDUSTRY_SECTOR"))</f>
        <v/>
      </c>
      <c r="F136" s="17">
        <f>IF($A136="","",PROPER(_xll.BDP($A136&amp;" Corp","COUNTRY_FULL_NAME")))</f>
        <v/>
      </c>
      <c r="G136" s="17">
        <f>IF($A136="","",_xll.BDP($A136&amp;" Corp","CRNCY"))</f>
        <v/>
      </c>
      <c r="H136" s="17">
        <f>IF($A136="","",IFERROR(INDEX(SYZ_static!$T$2:$T$806,MATCH($A136,SYZ_static!$A$2:$A$806,0)),_xll.BDP($A136&amp;" Corp","RTG_SP")))</f>
        <v/>
      </c>
      <c r="I136" s="17">
        <f>IF($A136="","",IFERROR(INDEX(SYZ_static!$S$2:$S$806,MATCH($A136,SYZ_static!$A$2:$A$806,0)),""))</f>
        <v/>
      </c>
      <c r="J136" s="17">
        <f>IF($A136="","",_xll.BDP($A136&amp;" Corp","PAYMENT_RANK"))</f>
        <v/>
      </c>
      <c r="K136" s="18">
        <f>IF($A136="","",_xll.BDP($A136&amp;" Corp","CPN"))</f>
        <v/>
      </c>
      <c r="L136" s="19">
        <f>IF($A136="","",_xll.BDP($A136&amp;" Corp","MATURITY"))</f>
        <v/>
      </c>
      <c r="M136" s="20">
        <f>IF($A136="","",IFERROR(_xll.BDP($A136&amp;" Corp","MIN_PIECE")/1000,""))</f>
        <v/>
      </c>
      <c r="N136" s="21">
        <f>IF($A136="","",_xll.BDP($A136&amp;" Corp","PX_LAST"))</f>
        <v/>
      </c>
      <c r="O136" s="21">
        <f>IF($A136="","",_xll.BDP($A136&amp;" Corp","YAS_BOND_YLD","YAS_YLD_FLAG=15"))</f>
        <v/>
      </c>
      <c r="P136" s="21">
        <f>IF($A136="","",_xll.BDP($A136&amp;" Corp","YAS_MOD_DUR"))</f>
        <v/>
      </c>
      <c r="Q136" s="22">
        <f>IF($A136="","",_xll.BDP($A136&amp;" Corp","YAS_OAS_SPRD"))</f>
        <v/>
      </c>
      <c r="R136" s="22">
        <f>IF($A136="","",_xll.BDP($A136&amp;" Corp","YAS_OAS_SPRD","SETTLE_DT",$B$2))</f>
        <v/>
      </c>
      <c r="S136" s="23">
        <f>IF($A136="","",IF(OR(NOT(ISNUMBER($Q136)),NOT(ISNUMBER($R136))),"",$Q136-$R136))</f>
        <v/>
      </c>
      <c r="T136" s="21">
        <f>IF($A136="","",_xll.BDP($A136&amp;" Corp","YAS_BOND_YLD","YAS_YLD_FLAG=15","SETTLE_DT",$B$2))</f>
        <v/>
      </c>
      <c r="U136" s="24">
        <f>IF($A136="","",IF(OR(NOT(ISNUMBER($O136)),NOT(ISNUMBER($T136))),"",$O136-$T136))</f>
        <v/>
      </c>
      <c r="V136" s="22">
        <f>IF(NOT(ISNUMBER($S136)),"",COUNTIFS($G$7:$G$850,$G136,$S$7:$S$850,"&gt;"&amp;$S136)+COUNTIFS($G$7:$G136,$G136,$S$7:$S136,$S136))</f>
        <v/>
      </c>
      <c r="W136" s="22">
        <f>IF(NOT(ISNUMBER($S136)),"",COUNTIFS($G$7:$G$850,$G136,$S$7:$S$850,"&lt;"&amp;$S136)+COUNTIFS($G$7:$G136,$G136,$S$7:$S136,$S136))</f>
        <v/>
      </c>
      <c r="X136" s="17">
        <f>IF($V136="","",$G136&amp;"|"&amp;$V136)</f>
        <v/>
      </c>
      <c r="Y136" s="17">
        <f>IF($W136="","",$G136&amp;"|"&amp;$W136)</f>
        <v/>
      </c>
    </row>
    <row r="137">
      <c r="A137" s="7" t="inlineStr">
        <is>
          <t>USH42097DT18</t>
        </is>
      </c>
      <c r="B137" s="8">
        <f>IF($A137="","",PROPER(_xll.BDP($A137&amp;" Corp","NAME")))</f>
        <v/>
      </c>
      <c r="C137" s="8">
        <f>IF($A137="","",IFERROR(INDEX(Company_desc!$B$2:$B$1144,MATCH($A137,Company_desc!$A$2:$A$1144,0)),IFERROR(INDEX(SYZ_static!$Q$2:$Q$806,MATCH($A137,SYZ_static!$A$2:$A$806,0)),"")))</f>
        <v/>
      </c>
      <c r="D137" s="8">
        <f>IF($A137="","",IFERROR(INDEX(SYZ_static!$B$2:$B$806,MATCH($A137,SYZ_static!$A$2:$A$806,0)),""))</f>
        <v/>
      </c>
      <c r="E137" s="8">
        <f>IF($A137="","",_xll.BDP($A137&amp;" Corp","INDUSTRY_SECTOR"))</f>
        <v/>
      </c>
      <c r="F137" s="8">
        <f>IF($A137="","",PROPER(_xll.BDP($A137&amp;" Corp","COUNTRY_FULL_NAME")))</f>
        <v/>
      </c>
      <c r="G137" s="8">
        <f>IF($A137="","",_xll.BDP($A137&amp;" Corp","CRNCY"))</f>
        <v/>
      </c>
      <c r="H137" s="8">
        <f>IF($A137="","",IFERROR(INDEX(SYZ_static!$T$2:$T$806,MATCH($A137,SYZ_static!$A$2:$A$806,0)),_xll.BDP($A137&amp;" Corp","RTG_SP")))</f>
        <v/>
      </c>
      <c r="I137" s="8">
        <f>IF($A137="","",IFERROR(INDEX(SYZ_static!$S$2:$S$806,MATCH($A137,SYZ_static!$A$2:$A$806,0)),""))</f>
        <v/>
      </c>
      <c r="J137" s="8">
        <f>IF($A137="","",_xll.BDP($A137&amp;" Corp","PAYMENT_RANK"))</f>
        <v/>
      </c>
      <c r="K137" s="9">
        <f>IF($A137="","",_xll.BDP($A137&amp;" Corp","CPN"))</f>
        <v/>
      </c>
      <c r="L137" s="10">
        <f>IF($A137="","",_xll.BDP($A137&amp;" Corp","MATURITY"))</f>
        <v/>
      </c>
      <c r="M137" s="11">
        <f>IF($A137="","",IFERROR(_xll.BDP($A137&amp;" Corp","MIN_PIECE")/1000,""))</f>
        <v/>
      </c>
      <c r="N137" s="12">
        <f>IF($A137="","",_xll.BDP($A137&amp;" Corp","PX_LAST"))</f>
        <v/>
      </c>
      <c r="O137" s="12">
        <f>IF($A137="","",_xll.BDP($A137&amp;" Corp","YAS_BOND_YLD","YAS_YLD_FLAG=15"))</f>
        <v/>
      </c>
      <c r="P137" s="12">
        <f>IF($A137="","",_xll.BDP($A137&amp;" Corp","YAS_MOD_DUR"))</f>
        <v/>
      </c>
      <c r="Q137" s="13">
        <f>IF($A137="","",_xll.BDP($A137&amp;" Corp","YAS_OAS_SPRD"))</f>
        <v/>
      </c>
      <c r="R137" s="13">
        <f>IF($A137="","",_xll.BDP($A137&amp;" Corp","YAS_OAS_SPRD","SETTLE_DT",$B$2))</f>
        <v/>
      </c>
      <c r="S137" s="14">
        <f>IF($A137="","",IF(OR(NOT(ISNUMBER($Q137)),NOT(ISNUMBER($R137))),"",$Q137-$R137))</f>
        <v/>
      </c>
      <c r="T137" s="12">
        <f>IF($A137="","",_xll.BDP($A137&amp;" Corp","YAS_BOND_YLD","YAS_YLD_FLAG=15","SETTLE_DT",$B$2))</f>
        <v/>
      </c>
      <c r="U137" s="15">
        <f>IF($A137="","",IF(OR(NOT(ISNUMBER($O137)),NOT(ISNUMBER($T137))),"",$O137-$T137))</f>
        <v/>
      </c>
      <c r="V137" s="13">
        <f>IF(NOT(ISNUMBER($S137)),"",COUNTIFS($G$7:$G$850,$G137,$S$7:$S$850,"&gt;"&amp;$S137)+COUNTIFS($G$7:$G137,$G137,$S$7:$S137,$S137))</f>
        <v/>
      </c>
      <c r="W137" s="13">
        <f>IF(NOT(ISNUMBER($S137)),"",COUNTIFS($G$7:$G$850,$G137,$S$7:$S$850,"&lt;"&amp;$S137)+COUNTIFS($G$7:$G137,$G137,$S$7:$S137,$S137))</f>
        <v/>
      </c>
      <c r="X137" s="8">
        <f>IF($V137="","",$G137&amp;"|"&amp;$V137)</f>
        <v/>
      </c>
      <c r="Y137" s="8">
        <f>IF($W137="","",$G137&amp;"|"&amp;$W137)</f>
        <v/>
      </c>
    </row>
    <row r="138">
      <c r="A138" s="16" t="inlineStr">
        <is>
          <t>USG2440JAG07</t>
        </is>
      </c>
      <c r="B138" s="17">
        <f>IF($A138="","",PROPER(_xll.BDP($A138&amp;" Corp","NAME")))</f>
        <v/>
      </c>
      <c r="C138" s="17">
        <f>IF($A138="","",IFERROR(INDEX(Company_desc!$B$2:$B$1144,MATCH($A138,Company_desc!$A$2:$A$1144,0)),IFERROR(INDEX(SYZ_static!$Q$2:$Q$806,MATCH($A138,SYZ_static!$A$2:$A$806,0)),"")))</f>
        <v/>
      </c>
      <c r="D138" s="17">
        <f>IF($A138="","",IFERROR(INDEX(SYZ_static!$B$2:$B$806,MATCH($A138,SYZ_static!$A$2:$A$806,0)),""))</f>
        <v/>
      </c>
      <c r="E138" s="17">
        <f>IF($A138="","",_xll.BDP($A138&amp;" Corp","INDUSTRY_SECTOR"))</f>
        <v/>
      </c>
      <c r="F138" s="17">
        <f>IF($A138="","",PROPER(_xll.BDP($A138&amp;" Corp","COUNTRY_FULL_NAME")))</f>
        <v/>
      </c>
      <c r="G138" s="17">
        <f>IF($A138="","",_xll.BDP($A138&amp;" Corp","CRNCY"))</f>
        <v/>
      </c>
      <c r="H138" s="17">
        <f>IF($A138="","",IFERROR(INDEX(SYZ_static!$T$2:$T$806,MATCH($A138,SYZ_static!$A$2:$A$806,0)),_xll.BDP($A138&amp;" Corp","RTG_SP")))</f>
        <v/>
      </c>
      <c r="I138" s="17">
        <f>IF($A138="","",IFERROR(INDEX(SYZ_static!$S$2:$S$806,MATCH($A138,SYZ_static!$A$2:$A$806,0)),""))</f>
        <v/>
      </c>
      <c r="J138" s="17">
        <f>IF($A138="","",_xll.BDP($A138&amp;" Corp","PAYMENT_RANK"))</f>
        <v/>
      </c>
      <c r="K138" s="18">
        <f>IF($A138="","",_xll.BDP($A138&amp;" Corp","CPN"))</f>
        <v/>
      </c>
      <c r="L138" s="19">
        <f>IF($A138="","",_xll.BDP($A138&amp;" Corp","MATURITY"))</f>
        <v/>
      </c>
      <c r="M138" s="20">
        <f>IF($A138="","",IFERROR(_xll.BDP($A138&amp;" Corp","MIN_PIECE")/1000,""))</f>
        <v/>
      </c>
      <c r="N138" s="21">
        <f>IF($A138="","",_xll.BDP($A138&amp;" Corp","PX_LAST"))</f>
        <v/>
      </c>
      <c r="O138" s="21">
        <f>IF($A138="","",_xll.BDP($A138&amp;" Corp","YAS_BOND_YLD","YAS_YLD_FLAG=15"))</f>
        <v/>
      </c>
      <c r="P138" s="21">
        <f>IF($A138="","",_xll.BDP($A138&amp;" Corp","YAS_MOD_DUR"))</f>
        <v/>
      </c>
      <c r="Q138" s="22">
        <f>IF($A138="","",_xll.BDP($A138&amp;" Corp","YAS_OAS_SPRD"))</f>
        <v/>
      </c>
      <c r="R138" s="22">
        <f>IF($A138="","",_xll.BDP($A138&amp;" Corp","YAS_OAS_SPRD","SETTLE_DT",$B$2))</f>
        <v/>
      </c>
      <c r="S138" s="23">
        <f>IF($A138="","",IF(OR(NOT(ISNUMBER($Q138)),NOT(ISNUMBER($R138))),"",$Q138-$R138))</f>
        <v/>
      </c>
      <c r="T138" s="21">
        <f>IF($A138="","",_xll.BDP($A138&amp;" Corp","YAS_BOND_YLD","YAS_YLD_FLAG=15","SETTLE_DT",$B$2))</f>
        <v/>
      </c>
      <c r="U138" s="24">
        <f>IF($A138="","",IF(OR(NOT(ISNUMBER($O138)),NOT(ISNUMBER($T138))),"",$O138-$T138))</f>
        <v/>
      </c>
      <c r="V138" s="22">
        <f>IF(NOT(ISNUMBER($S138)),"",COUNTIFS($G$7:$G$850,$G138,$S$7:$S$850,"&gt;"&amp;$S138)+COUNTIFS($G$7:$G138,$G138,$S$7:$S138,$S138))</f>
        <v/>
      </c>
      <c r="W138" s="22">
        <f>IF(NOT(ISNUMBER($S138)),"",COUNTIFS($G$7:$G$850,$G138,$S$7:$S$850,"&lt;"&amp;$S138)+COUNTIFS($G$7:$G138,$G138,$S$7:$S138,$S138))</f>
        <v/>
      </c>
      <c r="X138" s="17">
        <f>IF($V138="","",$G138&amp;"|"&amp;$V138)</f>
        <v/>
      </c>
      <c r="Y138" s="17">
        <f>IF($W138="","",$G138&amp;"|"&amp;$W138)</f>
        <v/>
      </c>
    </row>
    <row r="139">
      <c r="A139" s="7" t="inlineStr">
        <is>
          <t>XS2984222989</t>
        </is>
      </c>
      <c r="B139" s="8">
        <f>IF($A139="","",PROPER(_xll.BDP($A139&amp;" Corp","NAME")))</f>
        <v/>
      </c>
      <c r="C139" s="8">
        <f>IF($A139="","",IFERROR(INDEX(Company_desc!$B$2:$B$1144,MATCH($A139,Company_desc!$A$2:$A$1144,0)),IFERROR(INDEX(SYZ_static!$Q$2:$Q$806,MATCH($A139,SYZ_static!$A$2:$A$806,0)),"")))</f>
        <v/>
      </c>
      <c r="D139" s="8">
        <f>IF($A139="","",IFERROR(INDEX(SYZ_static!$B$2:$B$806,MATCH($A139,SYZ_static!$A$2:$A$806,0)),""))</f>
        <v/>
      </c>
      <c r="E139" s="8">
        <f>IF($A139="","",_xll.BDP($A139&amp;" Corp","INDUSTRY_SECTOR"))</f>
        <v/>
      </c>
      <c r="F139" s="8">
        <f>IF($A139="","",PROPER(_xll.BDP($A139&amp;" Corp","COUNTRY_FULL_NAME")))</f>
        <v/>
      </c>
      <c r="G139" s="8">
        <f>IF($A139="","",_xll.BDP($A139&amp;" Corp","CRNCY"))</f>
        <v/>
      </c>
      <c r="H139" s="8">
        <f>IF($A139="","",IFERROR(INDEX(SYZ_static!$T$2:$T$806,MATCH($A139,SYZ_static!$A$2:$A$806,0)),_xll.BDP($A139&amp;" Corp","RTG_SP")))</f>
        <v/>
      </c>
      <c r="I139" s="8">
        <f>IF($A139="","",IFERROR(INDEX(SYZ_static!$S$2:$S$806,MATCH($A139,SYZ_static!$A$2:$A$806,0)),""))</f>
        <v/>
      </c>
      <c r="J139" s="8">
        <f>IF($A139="","",_xll.BDP($A139&amp;" Corp","PAYMENT_RANK"))</f>
        <v/>
      </c>
      <c r="K139" s="9">
        <f>IF($A139="","",_xll.BDP($A139&amp;" Corp","CPN"))</f>
        <v/>
      </c>
      <c r="L139" s="10">
        <f>IF($A139="","",_xll.BDP($A139&amp;" Corp","MATURITY"))</f>
        <v/>
      </c>
      <c r="M139" s="11">
        <f>IF($A139="","",IFERROR(_xll.BDP($A139&amp;" Corp","MIN_PIECE")/1000,""))</f>
        <v/>
      </c>
      <c r="N139" s="12">
        <f>IF($A139="","",_xll.BDP($A139&amp;" Corp","PX_LAST"))</f>
        <v/>
      </c>
      <c r="O139" s="12">
        <f>IF($A139="","",_xll.BDP($A139&amp;" Corp","YAS_BOND_YLD","YAS_YLD_FLAG=15"))</f>
        <v/>
      </c>
      <c r="P139" s="12">
        <f>IF($A139="","",_xll.BDP($A139&amp;" Corp","YAS_MOD_DUR"))</f>
        <v/>
      </c>
      <c r="Q139" s="13">
        <f>IF($A139="","",_xll.BDP($A139&amp;" Corp","YAS_OAS_SPRD"))</f>
        <v/>
      </c>
      <c r="R139" s="13">
        <f>IF($A139="","",_xll.BDP($A139&amp;" Corp","YAS_OAS_SPRD","SETTLE_DT",$B$2))</f>
        <v/>
      </c>
      <c r="S139" s="14">
        <f>IF($A139="","",IF(OR(NOT(ISNUMBER($Q139)),NOT(ISNUMBER($R139))),"",$Q139-$R139))</f>
        <v/>
      </c>
      <c r="T139" s="12">
        <f>IF($A139="","",_xll.BDP($A139&amp;" Corp","YAS_BOND_YLD","YAS_YLD_FLAG=15","SETTLE_DT",$B$2))</f>
        <v/>
      </c>
      <c r="U139" s="15">
        <f>IF($A139="","",IF(OR(NOT(ISNUMBER($O139)),NOT(ISNUMBER($T139))),"",$O139-$T139))</f>
        <v/>
      </c>
      <c r="V139" s="13">
        <f>IF(NOT(ISNUMBER($S139)),"",COUNTIFS($G$7:$G$850,$G139,$S$7:$S$850,"&gt;"&amp;$S139)+COUNTIFS($G$7:$G139,$G139,$S$7:$S139,$S139))</f>
        <v/>
      </c>
      <c r="W139" s="13">
        <f>IF(NOT(ISNUMBER($S139)),"",COUNTIFS($G$7:$G$850,$G139,$S$7:$S$850,"&lt;"&amp;$S139)+COUNTIFS($G$7:$G139,$G139,$S$7:$S139,$S139))</f>
        <v/>
      </c>
      <c r="X139" s="8">
        <f>IF($V139="","",$G139&amp;"|"&amp;$V139)</f>
        <v/>
      </c>
      <c r="Y139" s="8">
        <f>IF($W139="","",$G139&amp;"|"&amp;$W139)</f>
        <v/>
      </c>
    </row>
    <row r="140">
      <c r="A140" s="16" t="inlineStr">
        <is>
          <t>XS2802883731</t>
        </is>
      </c>
      <c r="B140" s="17">
        <f>IF($A140="","",PROPER(_xll.BDP($A140&amp;" Corp","NAME")))</f>
        <v/>
      </c>
      <c r="C140" s="17">
        <f>IF($A140="","",IFERROR(INDEX(Company_desc!$B$2:$B$1144,MATCH($A140,Company_desc!$A$2:$A$1144,0)),IFERROR(INDEX(SYZ_static!$Q$2:$Q$806,MATCH($A140,SYZ_static!$A$2:$A$806,0)),"")))</f>
        <v/>
      </c>
      <c r="D140" s="17">
        <f>IF($A140="","",IFERROR(INDEX(SYZ_static!$B$2:$B$806,MATCH($A140,SYZ_static!$A$2:$A$806,0)),""))</f>
        <v/>
      </c>
      <c r="E140" s="17">
        <f>IF($A140="","",_xll.BDP($A140&amp;" Corp","INDUSTRY_SECTOR"))</f>
        <v/>
      </c>
      <c r="F140" s="17">
        <f>IF($A140="","",PROPER(_xll.BDP($A140&amp;" Corp","COUNTRY_FULL_NAME")))</f>
        <v/>
      </c>
      <c r="G140" s="17">
        <f>IF($A140="","",_xll.BDP($A140&amp;" Corp","CRNCY"))</f>
        <v/>
      </c>
      <c r="H140" s="17">
        <f>IF($A140="","",IFERROR(INDEX(SYZ_static!$T$2:$T$806,MATCH($A140,SYZ_static!$A$2:$A$806,0)),_xll.BDP($A140&amp;" Corp","RTG_SP")))</f>
        <v/>
      </c>
      <c r="I140" s="17">
        <f>IF($A140="","",IFERROR(INDEX(SYZ_static!$S$2:$S$806,MATCH($A140,SYZ_static!$A$2:$A$806,0)),""))</f>
        <v/>
      </c>
      <c r="J140" s="17">
        <f>IF($A140="","",_xll.BDP($A140&amp;" Corp","PAYMENT_RANK"))</f>
        <v/>
      </c>
      <c r="K140" s="18">
        <f>IF($A140="","",_xll.BDP($A140&amp;" Corp","CPN"))</f>
        <v/>
      </c>
      <c r="L140" s="19">
        <f>IF($A140="","",_xll.BDP($A140&amp;" Corp","MATURITY"))</f>
        <v/>
      </c>
      <c r="M140" s="20">
        <f>IF($A140="","",IFERROR(_xll.BDP($A140&amp;" Corp","MIN_PIECE")/1000,""))</f>
        <v/>
      </c>
      <c r="N140" s="21">
        <f>IF($A140="","",_xll.BDP($A140&amp;" Corp","PX_LAST"))</f>
        <v/>
      </c>
      <c r="O140" s="21">
        <f>IF($A140="","",_xll.BDP($A140&amp;" Corp","YAS_BOND_YLD","YAS_YLD_FLAG=15"))</f>
        <v/>
      </c>
      <c r="P140" s="21">
        <f>IF($A140="","",_xll.BDP($A140&amp;" Corp","YAS_MOD_DUR"))</f>
        <v/>
      </c>
      <c r="Q140" s="22">
        <f>IF($A140="","",_xll.BDP($A140&amp;" Corp","YAS_OAS_SPRD"))</f>
        <v/>
      </c>
      <c r="R140" s="22">
        <f>IF($A140="","",_xll.BDP($A140&amp;" Corp","YAS_OAS_SPRD","SETTLE_DT",$B$2))</f>
        <v/>
      </c>
      <c r="S140" s="23">
        <f>IF($A140="","",IF(OR(NOT(ISNUMBER($Q140)),NOT(ISNUMBER($R140))),"",$Q140-$R140))</f>
        <v/>
      </c>
      <c r="T140" s="21">
        <f>IF($A140="","",_xll.BDP($A140&amp;" Corp","YAS_BOND_YLD","YAS_YLD_FLAG=15","SETTLE_DT",$B$2))</f>
        <v/>
      </c>
      <c r="U140" s="24">
        <f>IF($A140="","",IF(OR(NOT(ISNUMBER($O140)),NOT(ISNUMBER($T140))),"",$O140-$T140))</f>
        <v/>
      </c>
      <c r="V140" s="22">
        <f>IF(NOT(ISNUMBER($S140)),"",COUNTIFS($G$7:$G$850,$G140,$S$7:$S$850,"&gt;"&amp;$S140)+COUNTIFS($G$7:$G140,$G140,$S$7:$S140,$S140))</f>
        <v/>
      </c>
      <c r="W140" s="22">
        <f>IF(NOT(ISNUMBER($S140)),"",COUNTIFS($G$7:$G$850,$G140,$S$7:$S$850,"&lt;"&amp;$S140)+COUNTIFS($G$7:$G140,$G140,$S$7:$S140,$S140))</f>
        <v/>
      </c>
      <c r="X140" s="17">
        <f>IF($V140="","",$G140&amp;"|"&amp;$V140)</f>
        <v/>
      </c>
      <c r="Y140" s="17">
        <f>IF($W140="","",$G140&amp;"|"&amp;$W140)</f>
        <v/>
      </c>
    </row>
    <row r="141">
      <c r="A141" s="7" t="inlineStr">
        <is>
          <t>USP30179BQ04</t>
        </is>
      </c>
      <c r="B141" s="8">
        <f>IF($A141="","",PROPER(_xll.BDP($A141&amp;" Corp","NAME")))</f>
        <v/>
      </c>
      <c r="C141" s="8">
        <f>IF($A141="","",IFERROR(INDEX(Company_desc!$B$2:$B$1144,MATCH($A141,Company_desc!$A$2:$A$1144,0)),IFERROR(INDEX(SYZ_static!$Q$2:$Q$806,MATCH($A141,SYZ_static!$A$2:$A$806,0)),"")))</f>
        <v/>
      </c>
      <c r="D141" s="8">
        <f>IF($A141="","",IFERROR(INDEX(SYZ_static!$B$2:$B$806,MATCH($A141,SYZ_static!$A$2:$A$806,0)),""))</f>
        <v/>
      </c>
      <c r="E141" s="8">
        <f>IF($A141="","",_xll.BDP($A141&amp;" Corp","INDUSTRY_SECTOR"))</f>
        <v/>
      </c>
      <c r="F141" s="8">
        <f>IF($A141="","",PROPER(_xll.BDP($A141&amp;" Corp","COUNTRY_FULL_NAME")))</f>
        <v/>
      </c>
      <c r="G141" s="8">
        <f>IF($A141="","",_xll.BDP($A141&amp;" Corp","CRNCY"))</f>
        <v/>
      </c>
      <c r="H141" s="8">
        <f>IF($A141="","",IFERROR(INDEX(SYZ_static!$T$2:$T$806,MATCH($A141,SYZ_static!$A$2:$A$806,0)),_xll.BDP($A141&amp;" Corp","RTG_SP")))</f>
        <v/>
      </c>
      <c r="I141" s="8">
        <f>IF($A141="","",IFERROR(INDEX(SYZ_static!$S$2:$S$806,MATCH($A141,SYZ_static!$A$2:$A$806,0)),""))</f>
        <v/>
      </c>
      <c r="J141" s="8">
        <f>IF($A141="","",_xll.BDP($A141&amp;" Corp","PAYMENT_RANK"))</f>
        <v/>
      </c>
      <c r="K141" s="9">
        <f>IF($A141="","",_xll.BDP($A141&amp;" Corp","CPN"))</f>
        <v/>
      </c>
      <c r="L141" s="10">
        <f>IF($A141="","",_xll.BDP($A141&amp;" Corp","MATURITY"))</f>
        <v/>
      </c>
      <c r="M141" s="11">
        <f>IF($A141="","",IFERROR(_xll.BDP($A141&amp;" Corp","MIN_PIECE")/1000,""))</f>
        <v/>
      </c>
      <c r="N141" s="12">
        <f>IF($A141="","",_xll.BDP($A141&amp;" Corp","PX_LAST"))</f>
        <v/>
      </c>
      <c r="O141" s="12">
        <f>IF($A141="","",_xll.BDP($A141&amp;" Corp","YAS_BOND_YLD","YAS_YLD_FLAG=15"))</f>
        <v/>
      </c>
      <c r="P141" s="12">
        <f>IF($A141="","",_xll.BDP($A141&amp;" Corp","YAS_MOD_DUR"))</f>
        <v/>
      </c>
      <c r="Q141" s="13">
        <f>IF($A141="","",_xll.BDP($A141&amp;" Corp","YAS_OAS_SPRD"))</f>
        <v/>
      </c>
      <c r="R141" s="13">
        <f>IF($A141="","",_xll.BDP($A141&amp;" Corp","YAS_OAS_SPRD","SETTLE_DT",$B$2))</f>
        <v/>
      </c>
      <c r="S141" s="14">
        <f>IF($A141="","",IF(OR(NOT(ISNUMBER($Q141)),NOT(ISNUMBER($R141))),"",$Q141-$R141))</f>
        <v/>
      </c>
      <c r="T141" s="12">
        <f>IF($A141="","",_xll.BDP($A141&amp;" Corp","YAS_BOND_YLD","YAS_YLD_FLAG=15","SETTLE_DT",$B$2))</f>
        <v/>
      </c>
      <c r="U141" s="15">
        <f>IF($A141="","",IF(OR(NOT(ISNUMBER($O141)),NOT(ISNUMBER($T141))),"",$O141-$T141))</f>
        <v/>
      </c>
      <c r="V141" s="13">
        <f>IF(NOT(ISNUMBER($S141)),"",COUNTIFS($G$7:$G$850,$G141,$S$7:$S$850,"&gt;"&amp;$S141)+COUNTIFS($G$7:$G141,$G141,$S$7:$S141,$S141))</f>
        <v/>
      </c>
      <c r="W141" s="13">
        <f>IF(NOT(ISNUMBER($S141)),"",COUNTIFS($G$7:$G$850,$G141,$S$7:$S$850,"&lt;"&amp;$S141)+COUNTIFS($G$7:$G141,$G141,$S$7:$S141,$S141))</f>
        <v/>
      </c>
      <c r="X141" s="8">
        <f>IF($V141="","",$G141&amp;"|"&amp;$V141)</f>
        <v/>
      </c>
      <c r="Y141" s="8">
        <f>IF($W141="","",$G141&amp;"|"&amp;$W141)</f>
        <v/>
      </c>
    </row>
    <row r="142">
      <c r="A142" s="16" t="inlineStr">
        <is>
          <t>US38141GC449</t>
        </is>
      </c>
      <c r="B142" s="17">
        <f>IF($A142="","",PROPER(_xll.BDP($A142&amp;" Corp","NAME")))</f>
        <v/>
      </c>
      <c r="C142" s="17">
        <f>IF($A142="","",IFERROR(INDEX(Company_desc!$B$2:$B$1144,MATCH($A142,Company_desc!$A$2:$A$1144,0)),IFERROR(INDEX(SYZ_static!$Q$2:$Q$806,MATCH($A142,SYZ_static!$A$2:$A$806,0)),"")))</f>
        <v/>
      </c>
      <c r="D142" s="17">
        <f>IF($A142="","",IFERROR(INDEX(SYZ_static!$B$2:$B$806,MATCH($A142,SYZ_static!$A$2:$A$806,0)),""))</f>
        <v/>
      </c>
      <c r="E142" s="17">
        <f>IF($A142="","",_xll.BDP($A142&amp;" Corp","INDUSTRY_SECTOR"))</f>
        <v/>
      </c>
      <c r="F142" s="17">
        <f>IF($A142="","",PROPER(_xll.BDP($A142&amp;" Corp","COUNTRY_FULL_NAME")))</f>
        <v/>
      </c>
      <c r="G142" s="17">
        <f>IF($A142="","",_xll.BDP($A142&amp;" Corp","CRNCY"))</f>
        <v/>
      </c>
      <c r="H142" s="17">
        <f>IF($A142="","",IFERROR(INDEX(SYZ_static!$T$2:$T$806,MATCH($A142,SYZ_static!$A$2:$A$806,0)),_xll.BDP($A142&amp;" Corp","RTG_SP")))</f>
        <v/>
      </c>
      <c r="I142" s="17">
        <f>IF($A142="","",IFERROR(INDEX(SYZ_static!$S$2:$S$806,MATCH($A142,SYZ_static!$A$2:$A$806,0)),""))</f>
        <v/>
      </c>
      <c r="J142" s="17">
        <f>IF($A142="","",_xll.BDP($A142&amp;" Corp","PAYMENT_RANK"))</f>
        <v/>
      </c>
      <c r="K142" s="18">
        <f>IF($A142="","",_xll.BDP($A142&amp;" Corp","CPN"))</f>
        <v/>
      </c>
      <c r="L142" s="19">
        <f>IF($A142="","",_xll.BDP($A142&amp;" Corp","MATURITY"))</f>
        <v/>
      </c>
      <c r="M142" s="20">
        <f>IF($A142="","",IFERROR(_xll.BDP($A142&amp;" Corp","MIN_PIECE")/1000,""))</f>
        <v/>
      </c>
      <c r="N142" s="21">
        <f>IF($A142="","",_xll.BDP($A142&amp;" Corp","PX_LAST"))</f>
        <v/>
      </c>
      <c r="O142" s="21">
        <f>IF($A142="","",_xll.BDP($A142&amp;" Corp","YAS_BOND_YLD","YAS_YLD_FLAG=15"))</f>
        <v/>
      </c>
      <c r="P142" s="21">
        <f>IF($A142="","",_xll.BDP($A142&amp;" Corp","YAS_MOD_DUR"))</f>
        <v/>
      </c>
      <c r="Q142" s="22">
        <f>IF($A142="","",_xll.BDP($A142&amp;" Corp","YAS_OAS_SPRD"))</f>
        <v/>
      </c>
      <c r="R142" s="22">
        <f>IF($A142="","",_xll.BDP($A142&amp;" Corp","YAS_OAS_SPRD","SETTLE_DT",$B$2))</f>
        <v/>
      </c>
      <c r="S142" s="23">
        <f>IF($A142="","",IF(OR(NOT(ISNUMBER($Q142)),NOT(ISNUMBER($R142))),"",$Q142-$R142))</f>
        <v/>
      </c>
      <c r="T142" s="21">
        <f>IF($A142="","",_xll.BDP($A142&amp;" Corp","YAS_BOND_YLD","YAS_YLD_FLAG=15","SETTLE_DT",$B$2))</f>
        <v/>
      </c>
      <c r="U142" s="24">
        <f>IF($A142="","",IF(OR(NOT(ISNUMBER($O142)),NOT(ISNUMBER($T142))),"",$O142-$T142))</f>
        <v/>
      </c>
      <c r="V142" s="22">
        <f>IF(NOT(ISNUMBER($S142)),"",COUNTIFS($G$7:$G$850,$G142,$S$7:$S$850,"&gt;"&amp;$S142)+COUNTIFS($G$7:$G142,$G142,$S$7:$S142,$S142))</f>
        <v/>
      </c>
      <c r="W142" s="22">
        <f>IF(NOT(ISNUMBER($S142)),"",COUNTIFS($G$7:$G$850,$G142,$S$7:$S$850,"&lt;"&amp;$S142)+COUNTIFS($G$7:$G142,$G142,$S$7:$S142,$S142))</f>
        <v/>
      </c>
      <c r="X142" s="17">
        <f>IF($V142="","",$G142&amp;"|"&amp;$V142)</f>
        <v/>
      </c>
      <c r="Y142" s="17">
        <f>IF($W142="","",$G142&amp;"|"&amp;$W142)</f>
        <v/>
      </c>
    </row>
    <row r="143">
      <c r="A143" s="7" t="inlineStr">
        <is>
          <t>FR001400Q6Z9</t>
        </is>
      </c>
      <c r="B143" s="8">
        <f>IF($A143="","",PROPER(_xll.BDP($A143&amp;" Corp","NAME")))</f>
        <v/>
      </c>
      <c r="C143" s="8">
        <f>IF($A143="","",IFERROR(INDEX(Company_desc!$B$2:$B$1144,MATCH($A143,Company_desc!$A$2:$A$1144,0)),IFERROR(INDEX(SYZ_static!$Q$2:$Q$806,MATCH($A143,SYZ_static!$A$2:$A$806,0)),"")))</f>
        <v/>
      </c>
      <c r="D143" s="8">
        <f>IF($A143="","",IFERROR(INDEX(SYZ_static!$B$2:$B$806,MATCH($A143,SYZ_static!$A$2:$A$806,0)),""))</f>
        <v/>
      </c>
      <c r="E143" s="8">
        <f>IF($A143="","",_xll.BDP($A143&amp;" Corp","INDUSTRY_SECTOR"))</f>
        <v/>
      </c>
      <c r="F143" s="8">
        <f>IF($A143="","",PROPER(_xll.BDP($A143&amp;" Corp","COUNTRY_FULL_NAME")))</f>
        <v/>
      </c>
      <c r="G143" s="8">
        <f>IF($A143="","",_xll.BDP($A143&amp;" Corp","CRNCY"))</f>
        <v/>
      </c>
      <c r="H143" s="8">
        <f>IF($A143="","",IFERROR(INDEX(SYZ_static!$T$2:$T$806,MATCH($A143,SYZ_static!$A$2:$A$806,0)),_xll.BDP($A143&amp;" Corp","RTG_SP")))</f>
        <v/>
      </c>
      <c r="I143" s="8">
        <f>IF($A143="","",IFERROR(INDEX(SYZ_static!$S$2:$S$806,MATCH($A143,SYZ_static!$A$2:$A$806,0)),""))</f>
        <v/>
      </c>
      <c r="J143" s="8">
        <f>IF($A143="","",_xll.BDP($A143&amp;" Corp","PAYMENT_RANK"))</f>
        <v/>
      </c>
      <c r="K143" s="9">
        <f>IF($A143="","",_xll.BDP($A143&amp;" Corp","CPN"))</f>
        <v/>
      </c>
      <c r="L143" s="10">
        <f>IF($A143="","",_xll.BDP($A143&amp;" Corp","MATURITY"))</f>
        <v/>
      </c>
      <c r="M143" s="11">
        <f>IF($A143="","",IFERROR(_xll.BDP($A143&amp;" Corp","MIN_PIECE")/1000,""))</f>
        <v/>
      </c>
      <c r="N143" s="12">
        <f>IF($A143="","",_xll.BDP($A143&amp;" Corp","PX_LAST"))</f>
        <v/>
      </c>
      <c r="O143" s="12">
        <f>IF($A143="","",_xll.BDP($A143&amp;" Corp","YAS_BOND_YLD","YAS_YLD_FLAG=15"))</f>
        <v/>
      </c>
      <c r="P143" s="12">
        <f>IF($A143="","",_xll.BDP($A143&amp;" Corp","YAS_MOD_DUR"))</f>
        <v/>
      </c>
      <c r="Q143" s="13">
        <f>IF($A143="","",_xll.BDP($A143&amp;" Corp","YAS_OAS_SPRD"))</f>
        <v/>
      </c>
      <c r="R143" s="13">
        <f>IF($A143="","",_xll.BDP($A143&amp;" Corp","YAS_OAS_SPRD","SETTLE_DT",$B$2))</f>
        <v/>
      </c>
      <c r="S143" s="14">
        <f>IF($A143="","",IF(OR(NOT(ISNUMBER($Q143)),NOT(ISNUMBER($R143))),"",$Q143-$R143))</f>
        <v/>
      </c>
      <c r="T143" s="12">
        <f>IF($A143="","",_xll.BDP($A143&amp;" Corp","YAS_BOND_YLD","YAS_YLD_FLAG=15","SETTLE_DT",$B$2))</f>
        <v/>
      </c>
      <c r="U143" s="15">
        <f>IF($A143="","",IF(OR(NOT(ISNUMBER($O143)),NOT(ISNUMBER($T143))),"",$O143-$T143))</f>
        <v/>
      </c>
      <c r="V143" s="13">
        <f>IF(NOT(ISNUMBER($S143)),"",COUNTIFS($G$7:$G$850,$G143,$S$7:$S$850,"&gt;"&amp;$S143)+COUNTIFS($G$7:$G143,$G143,$S$7:$S143,$S143))</f>
        <v/>
      </c>
      <c r="W143" s="13">
        <f>IF(NOT(ISNUMBER($S143)),"",COUNTIFS($G$7:$G$850,$G143,$S$7:$S$850,"&lt;"&amp;$S143)+COUNTIFS($G$7:$G143,$G143,$S$7:$S143,$S143))</f>
        <v/>
      </c>
      <c r="X143" s="8">
        <f>IF($V143="","",$G143&amp;"|"&amp;$V143)</f>
        <v/>
      </c>
      <c r="Y143" s="8">
        <f>IF($W143="","",$G143&amp;"|"&amp;$W143)</f>
        <v/>
      </c>
    </row>
    <row r="144">
      <c r="A144" s="16" t="inlineStr">
        <is>
          <t>XS2434515313</t>
        </is>
      </c>
      <c r="B144" s="17">
        <f>IF($A144="","",PROPER(_xll.BDP($A144&amp;" Corp","NAME")))</f>
        <v/>
      </c>
      <c r="C144" s="17">
        <f>IF($A144="","",IFERROR(INDEX(Company_desc!$B$2:$B$1144,MATCH($A144,Company_desc!$A$2:$A$1144,0)),IFERROR(INDEX(SYZ_static!$Q$2:$Q$806,MATCH($A144,SYZ_static!$A$2:$A$806,0)),"")))</f>
        <v/>
      </c>
      <c r="D144" s="17">
        <f>IF($A144="","",IFERROR(INDEX(SYZ_static!$B$2:$B$806,MATCH($A144,SYZ_static!$A$2:$A$806,0)),""))</f>
        <v/>
      </c>
      <c r="E144" s="17">
        <f>IF($A144="","",_xll.BDP($A144&amp;" Corp","INDUSTRY_SECTOR"))</f>
        <v/>
      </c>
      <c r="F144" s="17">
        <f>IF($A144="","",PROPER(_xll.BDP($A144&amp;" Corp","COUNTRY_FULL_NAME")))</f>
        <v/>
      </c>
      <c r="G144" s="17">
        <f>IF($A144="","",_xll.BDP($A144&amp;" Corp","CRNCY"))</f>
        <v/>
      </c>
      <c r="H144" s="17">
        <f>IF($A144="","",IFERROR(INDEX(SYZ_static!$T$2:$T$806,MATCH($A144,SYZ_static!$A$2:$A$806,0)),_xll.BDP($A144&amp;" Corp","RTG_SP")))</f>
        <v/>
      </c>
      <c r="I144" s="17">
        <f>IF($A144="","",IFERROR(INDEX(SYZ_static!$S$2:$S$806,MATCH($A144,SYZ_static!$A$2:$A$806,0)),""))</f>
        <v/>
      </c>
      <c r="J144" s="17">
        <f>IF($A144="","",_xll.BDP($A144&amp;" Corp","PAYMENT_RANK"))</f>
        <v/>
      </c>
      <c r="K144" s="18">
        <f>IF($A144="","",_xll.BDP($A144&amp;" Corp","CPN"))</f>
        <v/>
      </c>
      <c r="L144" s="19">
        <f>IF($A144="","",_xll.BDP($A144&amp;" Corp","MATURITY"))</f>
        <v/>
      </c>
      <c r="M144" s="20">
        <f>IF($A144="","",IFERROR(_xll.BDP($A144&amp;" Corp","MIN_PIECE")/1000,""))</f>
        <v/>
      </c>
      <c r="N144" s="21">
        <f>IF($A144="","",_xll.BDP($A144&amp;" Corp","PX_LAST"))</f>
        <v/>
      </c>
      <c r="O144" s="21">
        <f>IF($A144="","",_xll.BDP($A144&amp;" Corp","YAS_BOND_YLD","YAS_YLD_FLAG=15"))</f>
        <v/>
      </c>
      <c r="P144" s="21">
        <f>IF($A144="","",_xll.BDP($A144&amp;" Corp","YAS_MOD_DUR"))</f>
        <v/>
      </c>
      <c r="Q144" s="22">
        <f>IF($A144="","",_xll.BDP($A144&amp;" Corp","YAS_OAS_SPRD"))</f>
        <v/>
      </c>
      <c r="R144" s="22">
        <f>IF($A144="","",_xll.BDP($A144&amp;" Corp","YAS_OAS_SPRD","SETTLE_DT",$B$2))</f>
        <v/>
      </c>
      <c r="S144" s="23">
        <f>IF($A144="","",IF(OR(NOT(ISNUMBER($Q144)),NOT(ISNUMBER($R144))),"",$Q144-$R144))</f>
        <v/>
      </c>
      <c r="T144" s="21">
        <f>IF($A144="","",_xll.BDP($A144&amp;" Corp","YAS_BOND_YLD","YAS_YLD_FLAG=15","SETTLE_DT",$B$2))</f>
        <v/>
      </c>
      <c r="U144" s="24">
        <f>IF($A144="","",IF(OR(NOT(ISNUMBER($O144)),NOT(ISNUMBER($T144))),"",$O144-$T144))</f>
        <v/>
      </c>
      <c r="V144" s="22">
        <f>IF(NOT(ISNUMBER($S144)),"",COUNTIFS($G$7:$G$850,$G144,$S$7:$S$850,"&gt;"&amp;$S144)+COUNTIFS($G$7:$G144,$G144,$S$7:$S144,$S144))</f>
        <v/>
      </c>
      <c r="W144" s="22">
        <f>IF(NOT(ISNUMBER($S144)),"",COUNTIFS($G$7:$G$850,$G144,$S$7:$S$850,"&lt;"&amp;$S144)+COUNTIFS($G$7:$G144,$G144,$S$7:$S144,$S144))</f>
        <v/>
      </c>
      <c r="X144" s="17">
        <f>IF($V144="","",$G144&amp;"|"&amp;$V144)</f>
        <v/>
      </c>
      <c r="Y144" s="17">
        <f>IF($W144="","",$G144&amp;"|"&amp;$W144)</f>
        <v/>
      </c>
    </row>
    <row r="145">
      <c r="A145" s="7" t="inlineStr">
        <is>
          <t>US88167AAR23</t>
        </is>
      </c>
      <c r="B145" s="8">
        <f>IF($A145="","",PROPER(_xll.BDP($A145&amp;" Corp","NAME")))</f>
        <v/>
      </c>
      <c r="C145" s="8">
        <f>IF($A145="","",IFERROR(INDEX(Company_desc!$B$2:$B$1144,MATCH($A145,Company_desc!$A$2:$A$1144,0)),IFERROR(INDEX(SYZ_static!$Q$2:$Q$806,MATCH($A145,SYZ_static!$A$2:$A$806,0)),"")))</f>
        <v/>
      </c>
      <c r="D145" s="8">
        <f>IF($A145="","",IFERROR(INDEX(SYZ_static!$B$2:$B$806,MATCH($A145,SYZ_static!$A$2:$A$806,0)),""))</f>
        <v/>
      </c>
      <c r="E145" s="8">
        <f>IF($A145="","",_xll.BDP($A145&amp;" Corp","INDUSTRY_SECTOR"))</f>
        <v/>
      </c>
      <c r="F145" s="8">
        <f>IF($A145="","",PROPER(_xll.BDP($A145&amp;" Corp","COUNTRY_FULL_NAME")))</f>
        <v/>
      </c>
      <c r="G145" s="8">
        <f>IF($A145="","",_xll.BDP($A145&amp;" Corp","CRNCY"))</f>
        <v/>
      </c>
      <c r="H145" s="8">
        <f>IF($A145="","",IFERROR(INDEX(SYZ_static!$T$2:$T$806,MATCH($A145,SYZ_static!$A$2:$A$806,0)),_xll.BDP($A145&amp;" Corp","RTG_SP")))</f>
        <v/>
      </c>
      <c r="I145" s="8">
        <f>IF($A145="","",IFERROR(INDEX(SYZ_static!$S$2:$S$806,MATCH($A145,SYZ_static!$A$2:$A$806,0)),""))</f>
        <v/>
      </c>
      <c r="J145" s="8">
        <f>IF($A145="","",_xll.BDP($A145&amp;" Corp","PAYMENT_RANK"))</f>
        <v/>
      </c>
      <c r="K145" s="9">
        <f>IF($A145="","",_xll.BDP($A145&amp;" Corp","CPN"))</f>
        <v/>
      </c>
      <c r="L145" s="10">
        <f>IF($A145="","",_xll.BDP($A145&amp;" Corp","MATURITY"))</f>
        <v/>
      </c>
      <c r="M145" s="11">
        <f>IF($A145="","",IFERROR(_xll.BDP($A145&amp;" Corp","MIN_PIECE")/1000,""))</f>
        <v/>
      </c>
      <c r="N145" s="12">
        <f>IF($A145="","",_xll.BDP($A145&amp;" Corp","PX_LAST"))</f>
        <v/>
      </c>
      <c r="O145" s="12">
        <f>IF($A145="","",_xll.BDP($A145&amp;" Corp","YAS_BOND_YLD","YAS_YLD_FLAG=15"))</f>
        <v/>
      </c>
      <c r="P145" s="12">
        <f>IF($A145="","",_xll.BDP($A145&amp;" Corp","YAS_MOD_DUR"))</f>
        <v/>
      </c>
      <c r="Q145" s="13">
        <f>IF($A145="","",_xll.BDP($A145&amp;" Corp","YAS_OAS_SPRD"))</f>
        <v/>
      </c>
      <c r="R145" s="13">
        <f>IF($A145="","",_xll.BDP($A145&amp;" Corp","YAS_OAS_SPRD","SETTLE_DT",$B$2))</f>
        <v/>
      </c>
      <c r="S145" s="14">
        <f>IF($A145="","",IF(OR(NOT(ISNUMBER($Q145)),NOT(ISNUMBER($R145))),"",$Q145-$R145))</f>
        <v/>
      </c>
      <c r="T145" s="12">
        <f>IF($A145="","",_xll.BDP($A145&amp;" Corp","YAS_BOND_YLD","YAS_YLD_FLAG=15","SETTLE_DT",$B$2))</f>
        <v/>
      </c>
      <c r="U145" s="15">
        <f>IF($A145="","",IF(OR(NOT(ISNUMBER($O145)),NOT(ISNUMBER($T145))),"",$O145-$T145))</f>
        <v/>
      </c>
      <c r="V145" s="13">
        <f>IF(NOT(ISNUMBER($S145)),"",COUNTIFS($G$7:$G$850,$G145,$S$7:$S$850,"&gt;"&amp;$S145)+COUNTIFS($G$7:$G145,$G145,$S$7:$S145,$S145))</f>
        <v/>
      </c>
      <c r="W145" s="13">
        <f>IF(NOT(ISNUMBER($S145)),"",COUNTIFS($G$7:$G$850,$G145,$S$7:$S$850,"&lt;"&amp;$S145)+COUNTIFS($G$7:$G145,$G145,$S$7:$S145,$S145))</f>
        <v/>
      </c>
      <c r="X145" s="8">
        <f>IF($V145="","",$G145&amp;"|"&amp;$V145)</f>
        <v/>
      </c>
      <c r="Y145" s="8">
        <f>IF($W145="","",$G145&amp;"|"&amp;$W145)</f>
        <v/>
      </c>
    </row>
    <row r="146">
      <c r="A146" s="16" t="inlineStr">
        <is>
          <t>XS2393518597</t>
        </is>
      </c>
      <c r="B146" s="17">
        <f>IF($A146="","",PROPER(_xll.BDP($A146&amp;" Corp","NAME")))</f>
        <v/>
      </c>
      <c r="C146" s="17">
        <f>IF($A146="","",IFERROR(INDEX(Company_desc!$B$2:$B$1144,MATCH($A146,Company_desc!$A$2:$A$1144,0)),IFERROR(INDEX(SYZ_static!$Q$2:$Q$806,MATCH($A146,SYZ_static!$A$2:$A$806,0)),"")))</f>
        <v/>
      </c>
      <c r="D146" s="17">
        <f>IF($A146="","",IFERROR(INDEX(SYZ_static!$B$2:$B$806,MATCH($A146,SYZ_static!$A$2:$A$806,0)),""))</f>
        <v/>
      </c>
      <c r="E146" s="17">
        <f>IF($A146="","",_xll.BDP($A146&amp;" Corp","INDUSTRY_SECTOR"))</f>
        <v/>
      </c>
      <c r="F146" s="17">
        <f>IF($A146="","",PROPER(_xll.BDP($A146&amp;" Corp","COUNTRY_FULL_NAME")))</f>
        <v/>
      </c>
      <c r="G146" s="17">
        <f>IF($A146="","",_xll.BDP($A146&amp;" Corp","CRNCY"))</f>
        <v/>
      </c>
      <c r="H146" s="17">
        <f>IF($A146="","",IFERROR(INDEX(SYZ_static!$T$2:$T$806,MATCH($A146,SYZ_static!$A$2:$A$806,0)),_xll.BDP($A146&amp;" Corp","RTG_SP")))</f>
        <v/>
      </c>
      <c r="I146" s="17">
        <f>IF($A146="","",IFERROR(INDEX(SYZ_static!$S$2:$S$806,MATCH($A146,SYZ_static!$A$2:$A$806,0)),""))</f>
        <v/>
      </c>
      <c r="J146" s="17">
        <f>IF($A146="","",_xll.BDP($A146&amp;" Corp","PAYMENT_RANK"))</f>
        <v/>
      </c>
      <c r="K146" s="18">
        <f>IF($A146="","",_xll.BDP($A146&amp;" Corp","CPN"))</f>
        <v/>
      </c>
      <c r="L146" s="19">
        <f>IF($A146="","",_xll.BDP($A146&amp;" Corp","MATURITY"))</f>
        <v/>
      </c>
      <c r="M146" s="20">
        <f>IF($A146="","",IFERROR(_xll.BDP($A146&amp;" Corp","MIN_PIECE")/1000,""))</f>
        <v/>
      </c>
      <c r="N146" s="21">
        <f>IF($A146="","",_xll.BDP($A146&amp;" Corp","PX_LAST"))</f>
        <v/>
      </c>
      <c r="O146" s="21">
        <f>IF($A146="","",_xll.BDP($A146&amp;" Corp","YAS_BOND_YLD","YAS_YLD_FLAG=15"))</f>
        <v/>
      </c>
      <c r="P146" s="21">
        <f>IF($A146="","",_xll.BDP($A146&amp;" Corp","YAS_MOD_DUR"))</f>
        <v/>
      </c>
      <c r="Q146" s="22">
        <f>IF($A146="","",_xll.BDP($A146&amp;" Corp","YAS_OAS_SPRD"))</f>
        <v/>
      </c>
      <c r="R146" s="22">
        <f>IF($A146="","",_xll.BDP($A146&amp;" Corp","YAS_OAS_SPRD","SETTLE_DT",$B$2))</f>
        <v/>
      </c>
      <c r="S146" s="23">
        <f>IF($A146="","",IF(OR(NOT(ISNUMBER($Q146)),NOT(ISNUMBER($R146))),"",$Q146-$R146))</f>
        <v/>
      </c>
      <c r="T146" s="21">
        <f>IF($A146="","",_xll.BDP($A146&amp;" Corp","YAS_BOND_YLD","YAS_YLD_FLAG=15","SETTLE_DT",$B$2))</f>
        <v/>
      </c>
      <c r="U146" s="24">
        <f>IF($A146="","",IF(OR(NOT(ISNUMBER($O146)),NOT(ISNUMBER($T146))),"",$O146-$T146))</f>
        <v/>
      </c>
      <c r="V146" s="22">
        <f>IF(NOT(ISNUMBER($S146)),"",COUNTIFS($G$7:$G$850,$G146,$S$7:$S$850,"&gt;"&amp;$S146)+COUNTIFS($G$7:$G146,$G146,$S$7:$S146,$S146))</f>
        <v/>
      </c>
      <c r="W146" s="22">
        <f>IF(NOT(ISNUMBER($S146)),"",COUNTIFS($G$7:$G$850,$G146,$S$7:$S$850,"&lt;"&amp;$S146)+COUNTIFS($G$7:$G146,$G146,$S$7:$S146,$S146))</f>
        <v/>
      </c>
      <c r="X146" s="17">
        <f>IF($V146="","",$G146&amp;"|"&amp;$V146)</f>
        <v/>
      </c>
      <c r="Y146" s="17">
        <f>IF($W146="","",$G146&amp;"|"&amp;$W146)</f>
        <v/>
      </c>
    </row>
    <row r="147">
      <c r="A147" s="7" t="inlineStr">
        <is>
          <t>US345397C270</t>
        </is>
      </c>
      <c r="B147" s="8">
        <f>IF($A147="","",PROPER(_xll.BDP($A147&amp;" Corp","NAME")))</f>
        <v/>
      </c>
      <c r="C147" s="8">
        <f>IF($A147="","",IFERROR(INDEX(Company_desc!$B$2:$B$1144,MATCH($A147,Company_desc!$A$2:$A$1144,0)),IFERROR(INDEX(SYZ_static!$Q$2:$Q$806,MATCH($A147,SYZ_static!$A$2:$A$806,0)),"")))</f>
        <v/>
      </c>
      <c r="D147" s="8">
        <f>IF($A147="","",IFERROR(INDEX(SYZ_static!$B$2:$B$806,MATCH($A147,SYZ_static!$A$2:$A$806,0)),""))</f>
        <v/>
      </c>
      <c r="E147" s="8">
        <f>IF($A147="","",_xll.BDP($A147&amp;" Corp","INDUSTRY_SECTOR"))</f>
        <v/>
      </c>
      <c r="F147" s="8">
        <f>IF($A147="","",PROPER(_xll.BDP($A147&amp;" Corp","COUNTRY_FULL_NAME")))</f>
        <v/>
      </c>
      <c r="G147" s="8">
        <f>IF($A147="","",_xll.BDP($A147&amp;" Corp","CRNCY"))</f>
        <v/>
      </c>
      <c r="H147" s="8">
        <f>IF($A147="","",IFERROR(INDEX(SYZ_static!$T$2:$T$806,MATCH($A147,SYZ_static!$A$2:$A$806,0)),_xll.BDP($A147&amp;" Corp","RTG_SP")))</f>
        <v/>
      </c>
      <c r="I147" s="8">
        <f>IF($A147="","",IFERROR(INDEX(SYZ_static!$S$2:$S$806,MATCH($A147,SYZ_static!$A$2:$A$806,0)),""))</f>
        <v/>
      </c>
      <c r="J147" s="8">
        <f>IF($A147="","",_xll.BDP($A147&amp;" Corp","PAYMENT_RANK"))</f>
        <v/>
      </c>
      <c r="K147" s="9">
        <f>IF($A147="","",_xll.BDP($A147&amp;" Corp","CPN"))</f>
        <v/>
      </c>
      <c r="L147" s="10">
        <f>IF($A147="","",_xll.BDP($A147&amp;" Corp","MATURITY"))</f>
        <v/>
      </c>
      <c r="M147" s="11">
        <f>IF($A147="","",IFERROR(_xll.BDP($A147&amp;" Corp","MIN_PIECE")/1000,""))</f>
        <v/>
      </c>
      <c r="N147" s="12">
        <f>IF($A147="","",_xll.BDP($A147&amp;" Corp","PX_LAST"))</f>
        <v/>
      </c>
      <c r="O147" s="12">
        <f>IF($A147="","",_xll.BDP($A147&amp;" Corp","YAS_BOND_YLD","YAS_YLD_FLAG=15"))</f>
        <v/>
      </c>
      <c r="P147" s="12">
        <f>IF($A147="","",_xll.BDP($A147&amp;" Corp","YAS_MOD_DUR"))</f>
        <v/>
      </c>
      <c r="Q147" s="13">
        <f>IF($A147="","",_xll.BDP($A147&amp;" Corp","YAS_OAS_SPRD"))</f>
        <v/>
      </c>
      <c r="R147" s="13">
        <f>IF($A147="","",_xll.BDP($A147&amp;" Corp","YAS_OAS_SPRD","SETTLE_DT",$B$2))</f>
        <v/>
      </c>
      <c r="S147" s="14">
        <f>IF($A147="","",IF(OR(NOT(ISNUMBER($Q147)),NOT(ISNUMBER($R147))),"",$Q147-$R147))</f>
        <v/>
      </c>
      <c r="T147" s="12">
        <f>IF($A147="","",_xll.BDP($A147&amp;" Corp","YAS_BOND_YLD","YAS_YLD_FLAG=15","SETTLE_DT",$B$2))</f>
        <v/>
      </c>
      <c r="U147" s="15">
        <f>IF($A147="","",IF(OR(NOT(ISNUMBER($O147)),NOT(ISNUMBER($T147))),"",$O147-$T147))</f>
        <v/>
      </c>
      <c r="V147" s="13">
        <f>IF(NOT(ISNUMBER($S147)),"",COUNTIFS($G$7:$G$850,$G147,$S$7:$S$850,"&gt;"&amp;$S147)+COUNTIFS($G$7:$G147,$G147,$S$7:$S147,$S147))</f>
        <v/>
      </c>
      <c r="W147" s="13">
        <f>IF(NOT(ISNUMBER($S147)),"",COUNTIFS($G$7:$G$850,$G147,$S$7:$S$850,"&lt;"&amp;$S147)+COUNTIFS($G$7:$G147,$G147,$S$7:$S147,$S147))</f>
        <v/>
      </c>
      <c r="X147" s="8">
        <f>IF($V147="","",$G147&amp;"|"&amp;$V147)</f>
        <v/>
      </c>
      <c r="Y147" s="8">
        <f>IF($W147="","",$G147&amp;"|"&amp;$W147)</f>
        <v/>
      </c>
    </row>
    <row r="148">
      <c r="A148" s="16" t="inlineStr">
        <is>
          <t>USP3691NBL30</t>
        </is>
      </c>
      <c r="B148" s="17">
        <f>IF($A148="","",PROPER(_xll.BDP($A148&amp;" Corp","NAME")))</f>
        <v/>
      </c>
      <c r="C148" s="17">
        <f>IF($A148="","",IFERROR(INDEX(Company_desc!$B$2:$B$1144,MATCH($A148,Company_desc!$A$2:$A$1144,0)),IFERROR(INDEX(SYZ_static!$Q$2:$Q$806,MATCH($A148,SYZ_static!$A$2:$A$806,0)),"")))</f>
        <v/>
      </c>
      <c r="D148" s="17">
        <f>IF($A148="","",IFERROR(INDEX(SYZ_static!$B$2:$B$806,MATCH($A148,SYZ_static!$A$2:$A$806,0)),""))</f>
        <v/>
      </c>
      <c r="E148" s="17">
        <f>IF($A148="","",_xll.BDP($A148&amp;" Corp","INDUSTRY_SECTOR"))</f>
        <v/>
      </c>
      <c r="F148" s="17">
        <f>IF($A148="","",PROPER(_xll.BDP($A148&amp;" Corp","COUNTRY_FULL_NAME")))</f>
        <v/>
      </c>
      <c r="G148" s="17">
        <f>IF($A148="","",_xll.BDP($A148&amp;" Corp","CRNCY"))</f>
        <v/>
      </c>
      <c r="H148" s="17">
        <f>IF($A148="","",IFERROR(INDEX(SYZ_static!$T$2:$T$806,MATCH($A148,SYZ_static!$A$2:$A$806,0)),_xll.BDP($A148&amp;" Corp","RTG_SP")))</f>
        <v/>
      </c>
      <c r="I148" s="17">
        <f>IF($A148="","",IFERROR(INDEX(SYZ_static!$S$2:$S$806,MATCH($A148,SYZ_static!$A$2:$A$806,0)),""))</f>
        <v/>
      </c>
      <c r="J148" s="17">
        <f>IF($A148="","",_xll.BDP($A148&amp;" Corp","PAYMENT_RANK"))</f>
        <v/>
      </c>
      <c r="K148" s="18">
        <f>IF($A148="","",_xll.BDP($A148&amp;" Corp","CPN"))</f>
        <v/>
      </c>
      <c r="L148" s="19">
        <f>IF($A148="","",_xll.BDP($A148&amp;" Corp","MATURITY"))</f>
        <v/>
      </c>
      <c r="M148" s="20">
        <f>IF($A148="","",IFERROR(_xll.BDP($A148&amp;" Corp","MIN_PIECE")/1000,""))</f>
        <v/>
      </c>
      <c r="N148" s="21">
        <f>IF($A148="","",_xll.BDP($A148&amp;" Corp","PX_LAST"))</f>
        <v/>
      </c>
      <c r="O148" s="21">
        <f>IF($A148="","",_xll.BDP($A148&amp;" Corp","YAS_BOND_YLD","YAS_YLD_FLAG=15"))</f>
        <v/>
      </c>
      <c r="P148" s="21">
        <f>IF($A148="","",_xll.BDP($A148&amp;" Corp","YAS_MOD_DUR"))</f>
        <v/>
      </c>
      <c r="Q148" s="22">
        <f>IF($A148="","",_xll.BDP($A148&amp;" Corp","YAS_OAS_SPRD"))</f>
        <v/>
      </c>
      <c r="R148" s="22">
        <f>IF($A148="","",_xll.BDP($A148&amp;" Corp","YAS_OAS_SPRD","SETTLE_DT",$B$2))</f>
        <v/>
      </c>
      <c r="S148" s="23">
        <f>IF($A148="","",IF(OR(NOT(ISNUMBER($Q148)),NOT(ISNUMBER($R148))),"",$Q148-$R148))</f>
        <v/>
      </c>
      <c r="T148" s="21">
        <f>IF($A148="","",_xll.BDP($A148&amp;" Corp","YAS_BOND_YLD","YAS_YLD_FLAG=15","SETTLE_DT",$B$2))</f>
        <v/>
      </c>
      <c r="U148" s="24">
        <f>IF($A148="","",IF(OR(NOT(ISNUMBER($O148)),NOT(ISNUMBER($T148))),"",$O148-$T148))</f>
        <v/>
      </c>
      <c r="V148" s="22">
        <f>IF(NOT(ISNUMBER($S148)),"",COUNTIFS($G$7:$G$850,$G148,$S$7:$S$850,"&gt;"&amp;$S148)+COUNTIFS($G$7:$G148,$G148,$S$7:$S148,$S148))</f>
        <v/>
      </c>
      <c r="W148" s="22">
        <f>IF(NOT(ISNUMBER($S148)),"",COUNTIFS($G$7:$G$850,$G148,$S$7:$S$850,"&lt;"&amp;$S148)+COUNTIFS($G$7:$G148,$G148,$S$7:$S148,$S148))</f>
        <v/>
      </c>
      <c r="X148" s="17">
        <f>IF($V148="","",$G148&amp;"|"&amp;$V148)</f>
        <v/>
      </c>
      <c r="Y148" s="17">
        <f>IF($W148="","",$G148&amp;"|"&amp;$W148)</f>
        <v/>
      </c>
    </row>
    <row r="149">
      <c r="A149" s="7" t="inlineStr">
        <is>
          <t>FR001400KKX9</t>
        </is>
      </c>
      <c r="B149" s="8">
        <f>IF($A149="","",PROPER(_xll.BDP($A149&amp;" Corp","NAME")))</f>
        <v/>
      </c>
      <c r="C149" s="8">
        <f>IF($A149="","",IFERROR(INDEX(Company_desc!$B$2:$B$1144,MATCH($A149,Company_desc!$A$2:$A$1144,0)),IFERROR(INDEX(SYZ_static!$Q$2:$Q$806,MATCH($A149,SYZ_static!$A$2:$A$806,0)),"")))</f>
        <v/>
      </c>
      <c r="D149" s="8">
        <f>IF($A149="","",IFERROR(INDEX(SYZ_static!$B$2:$B$806,MATCH($A149,SYZ_static!$A$2:$A$806,0)),""))</f>
        <v/>
      </c>
      <c r="E149" s="8">
        <f>IF($A149="","",_xll.BDP($A149&amp;" Corp","INDUSTRY_SECTOR"))</f>
        <v/>
      </c>
      <c r="F149" s="8">
        <f>IF($A149="","",PROPER(_xll.BDP($A149&amp;" Corp","COUNTRY_FULL_NAME")))</f>
        <v/>
      </c>
      <c r="G149" s="8">
        <f>IF($A149="","",_xll.BDP($A149&amp;" Corp","CRNCY"))</f>
        <v/>
      </c>
      <c r="H149" s="8">
        <f>IF($A149="","",IFERROR(INDEX(SYZ_static!$T$2:$T$806,MATCH($A149,SYZ_static!$A$2:$A$806,0)),_xll.BDP($A149&amp;" Corp","RTG_SP")))</f>
        <v/>
      </c>
      <c r="I149" s="8">
        <f>IF($A149="","",IFERROR(INDEX(SYZ_static!$S$2:$S$806,MATCH($A149,SYZ_static!$A$2:$A$806,0)),""))</f>
        <v/>
      </c>
      <c r="J149" s="8">
        <f>IF($A149="","",_xll.BDP($A149&amp;" Corp","PAYMENT_RANK"))</f>
        <v/>
      </c>
      <c r="K149" s="9">
        <f>IF($A149="","",_xll.BDP($A149&amp;" Corp","CPN"))</f>
        <v/>
      </c>
      <c r="L149" s="10">
        <f>IF($A149="","",_xll.BDP($A149&amp;" Corp","MATURITY"))</f>
        <v/>
      </c>
      <c r="M149" s="11">
        <f>IF($A149="","",IFERROR(_xll.BDP($A149&amp;" Corp","MIN_PIECE")/1000,""))</f>
        <v/>
      </c>
      <c r="N149" s="12">
        <f>IF($A149="","",_xll.BDP($A149&amp;" Corp","PX_LAST"))</f>
        <v/>
      </c>
      <c r="O149" s="12">
        <f>IF($A149="","",_xll.BDP($A149&amp;" Corp","YAS_BOND_YLD","YAS_YLD_FLAG=15"))</f>
        <v/>
      </c>
      <c r="P149" s="12">
        <f>IF($A149="","",_xll.BDP($A149&amp;" Corp","YAS_MOD_DUR"))</f>
        <v/>
      </c>
      <c r="Q149" s="13">
        <f>IF($A149="","",_xll.BDP($A149&amp;" Corp","YAS_OAS_SPRD"))</f>
        <v/>
      </c>
      <c r="R149" s="13">
        <f>IF($A149="","",_xll.BDP($A149&amp;" Corp","YAS_OAS_SPRD","SETTLE_DT",$B$2))</f>
        <v/>
      </c>
      <c r="S149" s="14">
        <f>IF($A149="","",IF(OR(NOT(ISNUMBER($Q149)),NOT(ISNUMBER($R149))),"",$Q149-$R149))</f>
        <v/>
      </c>
      <c r="T149" s="12">
        <f>IF($A149="","",_xll.BDP($A149&amp;" Corp","YAS_BOND_YLD","YAS_YLD_FLAG=15","SETTLE_DT",$B$2))</f>
        <v/>
      </c>
      <c r="U149" s="15">
        <f>IF($A149="","",IF(OR(NOT(ISNUMBER($O149)),NOT(ISNUMBER($T149))),"",$O149-$T149))</f>
        <v/>
      </c>
      <c r="V149" s="13">
        <f>IF(NOT(ISNUMBER($S149)),"",COUNTIFS($G$7:$G$850,$G149,$S$7:$S$850,"&gt;"&amp;$S149)+COUNTIFS($G$7:$G149,$G149,$S$7:$S149,$S149))</f>
        <v/>
      </c>
      <c r="W149" s="13">
        <f>IF(NOT(ISNUMBER($S149)),"",COUNTIFS($G$7:$G$850,$G149,$S$7:$S$850,"&lt;"&amp;$S149)+COUNTIFS($G$7:$G149,$G149,$S$7:$S149,$S149))</f>
        <v/>
      </c>
      <c r="X149" s="8">
        <f>IF($V149="","",$G149&amp;"|"&amp;$V149)</f>
        <v/>
      </c>
      <c r="Y149" s="8">
        <f>IF($W149="","",$G149&amp;"|"&amp;$W149)</f>
        <v/>
      </c>
    </row>
    <row r="150">
      <c r="A150" s="16" t="inlineStr">
        <is>
          <t>XS2010026487</t>
        </is>
      </c>
      <c r="B150" s="17">
        <f>IF($A150="","",PROPER(_xll.BDP($A150&amp;" Corp","NAME")))</f>
        <v/>
      </c>
      <c r="C150" s="17">
        <f>IF($A150="","",IFERROR(INDEX(Company_desc!$B$2:$B$1144,MATCH($A150,Company_desc!$A$2:$A$1144,0)),IFERROR(INDEX(SYZ_static!$Q$2:$Q$806,MATCH($A150,SYZ_static!$A$2:$A$806,0)),"")))</f>
        <v/>
      </c>
      <c r="D150" s="17">
        <f>IF($A150="","",IFERROR(INDEX(SYZ_static!$B$2:$B$806,MATCH($A150,SYZ_static!$A$2:$A$806,0)),""))</f>
        <v/>
      </c>
      <c r="E150" s="17">
        <f>IF($A150="","",_xll.BDP($A150&amp;" Corp","INDUSTRY_SECTOR"))</f>
        <v/>
      </c>
      <c r="F150" s="17">
        <f>IF($A150="","",PROPER(_xll.BDP($A150&amp;" Corp","COUNTRY_FULL_NAME")))</f>
        <v/>
      </c>
      <c r="G150" s="17">
        <f>IF($A150="","",_xll.BDP($A150&amp;" Corp","CRNCY"))</f>
        <v/>
      </c>
      <c r="H150" s="17">
        <f>IF($A150="","",IFERROR(INDEX(SYZ_static!$T$2:$T$806,MATCH($A150,SYZ_static!$A$2:$A$806,0)),_xll.BDP($A150&amp;" Corp","RTG_SP")))</f>
        <v/>
      </c>
      <c r="I150" s="17">
        <f>IF($A150="","",IFERROR(INDEX(SYZ_static!$S$2:$S$806,MATCH($A150,SYZ_static!$A$2:$A$806,0)),""))</f>
        <v/>
      </c>
      <c r="J150" s="17">
        <f>IF($A150="","",_xll.BDP($A150&amp;" Corp","PAYMENT_RANK"))</f>
        <v/>
      </c>
      <c r="K150" s="18">
        <f>IF($A150="","",_xll.BDP($A150&amp;" Corp","CPN"))</f>
        <v/>
      </c>
      <c r="L150" s="19">
        <f>IF($A150="","",_xll.BDP($A150&amp;" Corp","MATURITY"))</f>
        <v/>
      </c>
      <c r="M150" s="20">
        <f>IF($A150="","",IFERROR(_xll.BDP($A150&amp;" Corp","MIN_PIECE")/1000,""))</f>
        <v/>
      </c>
      <c r="N150" s="21">
        <f>IF($A150="","",_xll.BDP($A150&amp;" Corp","PX_LAST"))</f>
        <v/>
      </c>
      <c r="O150" s="21">
        <f>IF($A150="","",_xll.BDP($A150&amp;" Corp","YAS_BOND_YLD","YAS_YLD_FLAG=15"))</f>
        <v/>
      </c>
      <c r="P150" s="21">
        <f>IF($A150="","",_xll.BDP($A150&amp;" Corp","YAS_MOD_DUR"))</f>
        <v/>
      </c>
      <c r="Q150" s="22">
        <f>IF($A150="","",_xll.BDP($A150&amp;" Corp","YAS_OAS_SPRD"))</f>
        <v/>
      </c>
      <c r="R150" s="22">
        <f>IF($A150="","",_xll.BDP($A150&amp;" Corp","YAS_OAS_SPRD","SETTLE_DT",$B$2))</f>
        <v/>
      </c>
      <c r="S150" s="23">
        <f>IF($A150="","",IF(OR(NOT(ISNUMBER($Q150)),NOT(ISNUMBER($R150))),"",$Q150-$R150))</f>
        <v/>
      </c>
      <c r="T150" s="21">
        <f>IF($A150="","",_xll.BDP($A150&amp;" Corp","YAS_BOND_YLD","YAS_YLD_FLAG=15","SETTLE_DT",$B$2))</f>
        <v/>
      </c>
      <c r="U150" s="24">
        <f>IF($A150="","",IF(OR(NOT(ISNUMBER($O150)),NOT(ISNUMBER($T150))),"",$O150-$T150))</f>
        <v/>
      </c>
      <c r="V150" s="22">
        <f>IF(NOT(ISNUMBER($S150)),"",COUNTIFS($G$7:$G$850,$G150,$S$7:$S$850,"&gt;"&amp;$S150)+COUNTIFS($G$7:$G150,$G150,$S$7:$S150,$S150))</f>
        <v/>
      </c>
      <c r="W150" s="22">
        <f>IF(NOT(ISNUMBER($S150)),"",COUNTIFS($G$7:$G$850,$G150,$S$7:$S$850,"&lt;"&amp;$S150)+COUNTIFS($G$7:$G150,$G150,$S$7:$S150,$S150))</f>
        <v/>
      </c>
      <c r="X150" s="17">
        <f>IF($V150="","",$G150&amp;"|"&amp;$V150)</f>
        <v/>
      </c>
      <c r="Y150" s="17">
        <f>IF($W150="","",$G150&amp;"|"&amp;$W150)</f>
        <v/>
      </c>
    </row>
    <row r="151">
      <c r="A151" s="7" t="inlineStr">
        <is>
          <t>USP3772WAK82</t>
        </is>
      </c>
      <c r="B151" s="8">
        <f>IF($A151="","",PROPER(_xll.BDP($A151&amp;" Corp","NAME")))</f>
        <v/>
      </c>
      <c r="C151" s="8">
        <f>IF($A151="","",IFERROR(INDEX(Company_desc!$B$2:$B$1144,MATCH($A151,Company_desc!$A$2:$A$1144,0)),IFERROR(INDEX(SYZ_static!$Q$2:$Q$806,MATCH($A151,SYZ_static!$A$2:$A$806,0)),"")))</f>
        <v/>
      </c>
      <c r="D151" s="8">
        <f>IF($A151="","",IFERROR(INDEX(SYZ_static!$B$2:$B$806,MATCH($A151,SYZ_static!$A$2:$A$806,0)),""))</f>
        <v/>
      </c>
      <c r="E151" s="8">
        <f>IF($A151="","",_xll.BDP($A151&amp;" Corp","INDUSTRY_SECTOR"))</f>
        <v/>
      </c>
      <c r="F151" s="8">
        <f>IF($A151="","",PROPER(_xll.BDP($A151&amp;" Corp","COUNTRY_FULL_NAME")))</f>
        <v/>
      </c>
      <c r="G151" s="8">
        <f>IF($A151="","",_xll.BDP($A151&amp;" Corp","CRNCY"))</f>
        <v/>
      </c>
      <c r="H151" s="8">
        <f>IF($A151="","",IFERROR(INDEX(SYZ_static!$T$2:$T$806,MATCH($A151,SYZ_static!$A$2:$A$806,0)),_xll.BDP($A151&amp;" Corp","RTG_SP")))</f>
        <v/>
      </c>
      <c r="I151" s="8">
        <f>IF($A151="","",IFERROR(INDEX(SYZ_static!$S$2:$S$806,MATCH($A151,SYZ_static!$A$2:$A$806,0)),""))</f>
        <v/>
      </c>
      <c r="J151" s="8">
        <f>IF($A151="","",_xll.BDP($A151&amp;" Corp","PAYMENT_RANK"))</f>
        <v/>
      </c>
      <c r="K151" s="9">
        <f>IF($A151="","",_xll.BDP($A151&amp;" Corp","CPN"))</f>
        <v/>
      </c>
      <c r="L151" s="10">
        <f>IF($A151="","",_xll.BDP($A151&amp;" Corp","MATURITY"))</f>
        <v/>
      </c>
      <c r="M151" s="11">
        <f>IF($A151="","",IFERROR(_xll.BDP($A151&amp;" Corp","MIN_PIECE")/1000,""))</f>
        <v/>
      </c>
      <c r="N151" s="12">
        <f>IF($A151="","",_xll.BDP($A151&amp;" Corp","PX_LAST"))</f>
        <v/>
      </c>
      <c r="O151" s="12">
        <f>IF($A151="","",_xll.BDP($A151&amp;" Corp","YAS_BOND_YLD","YAS_YLD_FLAG=15"))</f>
        <v/>
      </c>
      <c r="P151" s="12">
        <f>IF($A151="","",_xll.BDP($A151&amp;" Corp","YAS_MOD_DUR"))</f>
        <v/>
      </c>
      <c r="Q151" s="13">
        <f>IF($A151="","",_xll.BDP($A151&amp;" Corp","YAS_OAS_SPRD"))</f>
        <v/>
      </c>
      <c r="R151" s="13">
        <f>IF($A151="","",_xll.BDP($A151&amp;" Corp","YAS_OAS_SPRD","SETTLE_DT",$B$2))</f>
        <v/>
      </c>
      <c r="S151" s="14">
        <f>IF($A151="","",IF(OR(NOT(ISNUMBER($Q151)),NOT(ISNUMBER($R151))),"",$Q151-$R151))</f>
        <v/>
      </c>
      <c r="T151" s="12">
        <f>IF($A151="","",_xll.BDP($A151&amp;" Corp","YAS_BOND_YLD","YAS_YLD_FLAG=15","SETTLE_DT",$B$2))</f>
        <v/>
      </c>
      <c r="U151" s="15">
        <f>IF($A151="","",IF(OR(NOT(ISNUMBER($O151)),NOT(ISNUMBER($T151))),"",$O151-$T151))</f>
        <v/>
      </c>
      <c r="V151" s="13">
        <f>IF(NOT(ISNUMBER($S151)),"",COUNTIFS($G$7:$G$850,$G151,$S$7:$S$850,"&gt;"&amp;$S151)+COUNTIFS($G$7:$G151,$G151,$S$7:$S151,$S151))</f>
        <v/>
      </c>
      <c r="W151" s="13">
        <f>IF(NOT(ISNUMBER($S151)),"",COUNTIFS($G$7:$G$850,$G151,$S$7:$S$850,"&lt;"&amp;$S151)+COUNTIFS($G$7:$G151,$G151,$S$7:$S151,$S151))</f>
        <v/>
      </c>
      <c r="X151" s="8">
        <f>IF($V151="","",$G151&amp;"|"&amp;$V151)</f>
        <v/>
      </c>
      <c r="Y151" s="8">
        <f>IF($W151="","",$G151&amp;"|"&amp;$W151)</f>
        <v/>
      </c>
    </row>
    <row r="152">
      <c r="A152" s="16" t="inlineStr">
        <is>
          <t>XS2580270275</t>
        </is>
      </c>
      <c r="B152" s="17">
        <f>IF($A152="","",PROPER(_xll.BDP($A152&amp;" Corp","NAME")))</f>
        <v/>
      </c>
      <c r="C152" s="17">
        <f>IF($A152="","",IFERROR(INDEX(Company_desc!$B$2:$B$1144,MATCH($A152,Company_desc!$A$2:$A$1144,0)),IFERROR(INDEX(SYZ_static!$Q$2:$Q$806,MATCH($A152,SYZ_static!$A$2:$A$806,0)),"")))</f>
        <v/>
      </c>
      <c r="D152" s="17">
        <f>IF($A152="","",IFERROR(INDEX(SYZ_static!$B$2:$B$806,MATCH($A152,SYZ_static!$A$2:$A$806,0)),""))</f>
        <v/>
      </c>
      <c r="E152" s="17">
        <f>IF($A152="","",_xll.BDP($A152&amp;" Corp","INDUSTRY_SECTOR"))</f>
        <v/>
      </c>
      <c r="F152" s="17">
        <f>IF($A152="","",PROPER(_xll.BDP($A152&amp;" Corp","COUNTRY_FULL_NAME")))</f>
        <v/>
      </c>
      <c r="G152" s="17">
        <f>IF($A152="","",_xll.BDP($A152&amp;" Corp","CRNCY"))</f>
        <v/>
      </c>
      <c r="H152" s="17">
        <f>IF($A152="","",IFERROR(INDEX(SYZ_static!$T$2:$T$806,MATCH($A152,SYZ_static!$A$2:$A$806,0)),_xll.BDP($A152&amp;" Corp","RTG_SP")))</f>
        <v/>
      </c>
      <c r="I152" s="17">
        <f>IF($A152="","",IFERROR(INDEX(SYZ_static!$S$2:$S$806,MATCH($A152,SYZ_static!$A$2:$A$806,0)),""))</f>
        <v/>
      </c>
      <c r="J152" s="17">
        <f>IF($A152="","",_xll.BDP($A152&amp;" Corp","PAYMENT_RANK"))</f>
        <v/>
      </c>
      <c r="K152" s="18">
        <f>IF($A152="","",_xll.BDP($A152&amp;" Corp","CPN"))</f>
        <v/>
      </c>
      <c r="L152" s="19">
        <f>IF($A152="","",_xll.BDP($A152&amp;" Corp","MATURITY"))</f>
        <v/>
      </c>
      <c r="M152" s="20">
        <f>IF($A152="","",IFERROR(_xll.BDP($A152&amp;" Corp","MIN_PIECE")/1000,""))</f>
        <v/>
      </c>
      <c r="N152" s="21">
        <f>IF($A152="","",_xll.BDP($A152&amp;" Corp","PX_LAST"))</f>
        <v/>
      </c>
      <c r="O152" s="21">
        <f>IF($A152="","",_xll.BDP($A152&amp;" Corp","YAS_BOND_YLD","YAS_YLD_FLAG=15"))</f>
        <v/>
      </c>
      <c r="P152" s="21">
        <f>IF($A152="","",_xll.BDP($A152&amp;" Corp","YAS_MOD_DUR"))</f>
        <v/>
      </c>
      <c r="Q152" s="22">
        <f>IF($A152="","",_xll.BDP($A152&amp;" Corp","YAS_OAS_SPRD"))</f>
        <v/>
      </c>
      <c r="R152" s="22">
        <f>IF($A152="","",_xll.BDP($A152&amp;" Corp","YAS_OAS_SPRD","SETTLE_DT",$B$2))</f>
        <v/>
      </c>
      <c r="S152" s="23">
        <f>IF($A152="","",IF(OR(NOT(ISNUMBER($Q152)),NOT(ISNUMBER($R152))),"",$Q152-$R152))</f>
        <v/>
      </c>
      <c r="T152" s="21">
        <f>IF($A152="","",_xll.BDP($A152&amp;" Corp","YAS_BOND_YLD","YAS_YLD_FLAG=15","SETTLE_DT",$B$2))</f>
        <v/>
      </c>
      <c r="U152" s="24">
        <f>IF($A152="","",IF(OR(NOT(ISNUMBER($O152)),NOT(ISNUMBER($T152))),"",$O152-$T152))</f>
        <v/>
      </c>
      <c r="V152" s="22">
        <f>IF(NOT(ISNUMBER($S152)),"",COUNTIFS($G$7:$G$850,$G152,$S$7:$S$850,"&gt;"&amp;$S152)+COUNTIFS($G$7:$G152,$G152,$S$7:$S152,$S152))</f>
        <v/>
      </c>
      <c r="W152" s="22">
        <f>IF(NOT(ISNUMBER($S152)),"",COUNTIFS($G$7:$G$850,$G152,$S$7:$S$850,"&lt;"&amp;$S152)+COUNTIFS($G$7:$G152,$G152,$S$7:$S152,$S152))</f>
        <v/>
      </c>
      <c r="X152" s="17">
        <f>IF($V152="","",$G152&amp;"|"&amp;$V152)</f>
        <v/>
      </c>
      <c r="Y152" s="17">
        <f>IF($W152="","",$G152&amp;"|"&amp;$W152)</f>
        <v/>
      </c>
    </row>
    <row r="153">
      <c r="A153" s="7" t="inlineStr">
        <is>
          <t>USP58072AX05</t>
        </is>
      </c>
      <c r="B153" s="8">
        <f>IF($A153="","",PROPER(_xll.BDP($A153&amp;" Corp","NAME")))</f>
        <v/>
      </c>
      <c r="C153" s="8">
        <f>IF($A153="","",IFERROR(INDEX(Company_desc!$B$2:$B$1144,MATCH($A153,Company_desc!$A$2:$A$1144,0)),IFERROR(INDEX(SYZ_static!$Q$2:$Q$806,MATCH($A153,SYZ_static!$A$2:$A$806,0)),"")))</f>
        <v/>
      </c>
      <c r="D153" s="8">
        <f>IF($A153="","",IFERROR(INDEX(SYZ_static!$B$2:$B$806,MATCH($A153,SYZ_static!$A$2:$A$806,0)),""))</f>
        <v/>
      </c>
      <c r="E153" s="8">
        <f>IF($A153="","",_xll.BDP($A153&amp;" Corp","INDUSTRY_SECTOR"))</f>
        <v/>
      </c>
      <c r="F153" s="8">
        <f>IF($A153="","",PROPER(_xll.BDP($A153&amp;" Corp","COUNTRY_FULL_NAME")))</f>
        <v/>
      </c>
      <c r="G153" s="8">
        <f>IF($A153="","",_xll.BDP($A153&amp;" Corp","CRNCY"))</f>
        <v/>
      </c>
      <c r="H153" s="8">
        <f>IF($A153="","",IFERROR(INDEX(SYZ_static!$T$2:$T$806,MATCH($A153,SYZ_static!$A$2:$A$806,0)),_xll.BDP($A153&amp;" Corp","RTG_SP")))</f>
        <v/>
      </c>
      <c r="I153" s="8">
        <f>IF($A153="","",IFERROR(INDEX(SYZ_static!$S$2:$S$806,MATCH($A153,SYZ_static!$A$2:$A$806,0)),""))</f>
        <v/>
      </c>
      <c r="J153" s="8">
        <f>IF($A153="","",_xll.BDP($A153&amp;" Corp","PAYMENT_RANK"))</f>
        <v/>
      </c>
      <c r="K153" s="9">
        <f>IF($A153="","",_xll.BDP($A153&amp;" Corp","CPN"))</f>
        <v/>
      </c>
      <c r="L153" s="10">
        <f>IF($A153="","",_xll.BDP($A153&amp;" Corp","MATURITY"))</f>
        <v/>
      </c>
      <c r="M153" s="11">
        <f>IF($A153="","",IFERROR(_xll.BDP($A153&amp;" Corp","MIN_PIECE")/1000,""))</f>
        <v/>
      </c>
      <c r="N153" s="12">
        <f>IF($A153="","",_xll.BDP($A153&amp;" Corp","PX_LAST"))</f>
        <v/>
      </c>
      <c r="O153" s="12">
        <f>IF($A153="","",_xll.BDP($A153&amp;" Corp","YAS_BOND_YLD","YAS_YLD_FLAG=15"))</f>
        <v/>
      </c>
      <c r="P153" s="12">
        <f>IF($A153="","",_xll.BDP($A153&amp;" Corp","YAS_MOD_DUR"))</f>
        <v/>
      </c>
      <c r="Q153" s="13">
        <f>IF($A153="","",_xll.BDP($A153&amp;" Corp","YAS_OAS_SPRD"))</f>
        <v/>
      </c>
      <c r="R153" s="13">
        <f>IF($A153="","",_xll.BDP($A153&amp;" Corp","YAS_OAS_SPRD","SETTLE_DT",$B$2))</f>
        <v/>
      </c>
      <c r="S153" s="14">
        <f>IF($A153="","",IF(OR(NOT(ISNUMBER($Q153)),NOT(ISNUMBER($R153))),"",$Q153-$R153))</f>
        <v/>
      </c>
      <c r="T153" s="12">
        <f>IF($A153="","",_xll.BDP($A153&amp;" Corp","YAS_BOND_YLD","YAS_YLD_FLAG=15","SETTLE_DT",$B$2))</f>
        <v/>
      </c>
      <c r="U153" s="15">
        <f>IF($A153="","",IF(OR(NOT(ISNUMBER($O153)),NOT(ISNUMBER($T153))),"",$O153-$T153))</f>
        <v/>
      </c>
      <c r="V153" s="13">
        <f>IF(NOT(ISNUMBER($S153)),"",COUNTIFS($G$7:$G$850,$G153,$S$7:$S$850,"&gt;"&amp;$S153)+COUNTIFS($G$7:$G153,$G153,$S$7:$S153,$S153))</f>
        <v/>
      </c>
      <c r="W153" s="13">
        <f>IF(NOT(ISNUMBER($S153)),"",COUNTIFS($G$7:$G$850,$G153,$S$7:$S$850,"&lt;"&amp;$S153)+COUNTIFS($G$7:$G153,$G153,$S$7:$S153,$S153))</f>
        <v/>
      </c>
      <c r="X153" s="8">
        <f>IF($V153="","",$G153&amp;"|"&amp;$V153)</f>
        <v/>
      </c>
      <c r="Y153" s="8">
        <f>IF($W153="","",$G153&amp;"|"&amp;$W153)</f>
        <v/>
      </c>
    </row>
    <row r="154">
      <c r="A154" s="16" t="inlineStr">
        <is>
          <t>USP37110AK24</t>
        </is>
      </c>
      <c r="B154" s="17">
        <f>IF($A154="","",PROPER(_xll.BDP($A154&amp;" Corp","NAME")))</f>
        <v/>
      </c>
      <c r="C154" s="17">
        <f>IF($A154="","",IFERROR(INDEX(Company_desc!$B$2:$B$1144,MATCH($A154,Company_desc!$A$2:$A$1144,0)),IFERROR(INDEX(SYZ_static!$Q$2:$Q$806,MATCH($A154,SYZ_static!$A$2:$A$806,0)),"")))</f>
        <v/>
      </c>
      <c r="D154" s="17">
        <f>IF($A154="","",IFERROR(INDEX(SYZ_static!$B$2:$B$806,MATCH($A154,SYZ_static!$A$2:$A$806,0)),""))</f>
        <v/>
      </c>
      <c r="E154" s="17">
        <f>IF($A154="","",_xll.BDP($A154&amp;" Corp","INDUSTRY_SECTOR"))</f>
        <v/>
      </c>
      <c r="F154" s="17">
        <f>IF($A154="","",PROPER(_xll.BDP($A154&amp;" Corp","COUNTRY_FULL_NAME")))</f>
        <v/>
      </c>
      <c r="G154" s="17">
        <f>IF($A154="","",_xll.BDP($A154&amp;" Corp","CRNCY"))</f>
        <v/>
      </c>
      <c r="H154" s="17">
        <f>IF($A154="","",IFERROR(INDEX(SYZ_static!$T$2:$T$806,MATCH($A154,SYZ_static!$A$2:$A$806,0)),_xll.BDP($A154&amp;" Corp","RTG_SP")))</f>
        <v/>
      </c>
      <c r="I154" s="17">
        <f>IF($A154="","",IFERROR(INDEX(SYZ_static!$S$2:$S$806,MATCH($A154,SYZ_static!$A$2:$A$806,0)),""))</f>
        <v/>
      </c>
      <c r="J154" s="17">
        <f>IF($A154="","",_xll.BDP($A154&amp;" Corp","PAYMENT_RANK"))</f>
        <v/>
      </c>
      <c r="K154" s="18">
        <f>IF($A154="","",_xll.BDP($A154&amp;" Corp","CPN"))</f>
        <v/>
      </c>
      <c r="L154" s="19">
        <f>IF($A154="","",_xll.BDP($A154&amp;" Corp","MATURITY"))</f>
        <v/>
      </c>
      <c r="M154" s="20">
        <f>IF($A154="","",IFERROR(_xll.BDP($A154&amp;" Corp","MIN_PIECE")/1000,""))</f>
        <v/>
      </c>
      <c r="N154" s="21">
        <f>IF($A154="","",_xll.BDP($A154&amp;" Corp","PX_LAST"))</f>
        <v/>
      </c>
      <c r="O154" s="21">
        <f>IF($A154="","",_xll.BDP($A154&amp;" Corp","YAS_BOND_YLD","YAS_YLD_FLAG=15"))</f>
        <v/>
      </c>
      <c r="P154" s="21">
        <f>IF($A154="","",_xll.BDP($A154&amp;" Corp","YAS_MOD_DUR"))</f>
        <v/>
      </c>
      <c r="Q154" s="22">
        <f>IF($A154="","",_xll.BDP($A154&amp;" Corp","YAS_OAS_SPRD"))</f>
        <v/>
      </c>
      <c r="R154" s="22">
        <f>IF($A154="","",_xll.BDP($A154&amp;" Corp","YAS_OAS_SPRD","SETTLE_DT",$B$2))</f>
        <v/>
      </c>
      <c r="S154" s="23">
        <f>IF($A154="","",IF(OR(NOT(ISNUMBER($Q154)),NOT(ISNUMBER($R154))),"",$Q154-$R154))</f>
        <v/>
      </c>
      <c r="T154" s="21">
        <f>IF($A154="","",_xll.BDP($A154&amp;" Corp","YAS_BOND_YLD","YAS_YLD_FLAG=15","SETTLE_DT",$B$2))</f>
        <v/>
      </c>
      <c r="U154" s="24">
        <f>IF($A154="","",IF(OR(NOT(ISNUMBER($O154)),NOT(ISNUMBER($T154))),"",$O154-$T154))</f>
        <v/>
      </c>
      <c r="V154" s="22">
        <f>IF(NOT(ISNUMBER($S154)),"",COUNTIFS($G$7:$G$850,$G154,$S$7:$S$850,"&gt;"&amp;$S154)+COUNTIFS($G$7:$G154,$G154,$S$7:$S154,$S154))</f>
        <v/>
      </c>
      <c r="W154" s="22">
        <f>IF(NOT(ISNUMBER($S154)),"",COUNTIFS($G$7:$G$850,$G154,$S$7:$S$850,"&lt;"&amp;$S154)+COUNTIFS($G$7:$G154,$G154,$S$7:$S154,$S154))</f>
        <v/>
      </c>
      <c r="X154" s="17">
        <f>IF($V154="","",$G154&amp;"|"&amp;$V154)</f>
        <v/>
      </c>
      <c r="Y154" s="17">
        <f>IF($W154="","",$G154&amp;"|"&amp;$W154)</f>
        <v/>
      </c>
    </row>
    <row r="155">
      <c r="A155" s="7" t="inlineStr">
        <is>
          <t>US655422AV53</t>
        </is>
      </c>
      <c r="B155" s="8">
        <f>IF($A155="","",PROPER(_xll.BDP($A155&amp;" Corp","NAME")))</f>
        <v/>
      </c>
      <c r="C155" s="8">
        <f>IF($A155="","",IFERROR(INDEX(Company_desc!$B$2:$B$1144,MATCH($A155,Company_desc!$A$2:$A$1144,0)),IFERROR(INDEX(SYZ_static!$Q$2:$Q$806,MATCH($A155,SYZ_static!$A$2:$A$806,0)),"")))</f>
        <v/>
      </c>
      <c r="D155" s="8">
        <f>IF($A155="","",IFERROR(INDEX(SYZ_static!$B$2:$B$806,MATCH($A155,SYZ_static!$A$2:$A$806,0)),""))</f>
        <v/>
      </c>
      <c r="E155" s="8">
        <f>IF($A155="","",_xll.BDP($A155&amp;" Corp","INDUSTRY_SECTOR"))</f>
        <v/>
      </c>
      <c r="F155" s="8">
        <f>IF($A155="","",PROPER(_xll.BDP($A155&amp;" Corp","COUNTRY_FULL_NAME")))</f>
        <v/>
      </c>
      <c r="G155" s="8">
        <f>IF($A155="","",_xll.BDP($A155&amp;" Corp","CRNCY"))</f>
        <v/>
      </c>
      <c r="H155" s="8">
        <f>IF($A155="","",IFERROR(INDEX(SYZ_static!$T$2:$T$806,MATCH($A155,SYZ_static!$A$2:$A$806,0)),_xll.BDP($A155&amp;" Corp","RTG_SP")))</f>
        <v/>
      </c>
      <c r="I155" s="8">
        <f>IF($A155="","",IFERROR(INDEX(SYZ_static!$S$2:$S$806,MATCH($A155,SYZ_static!$A$2:$A$806,0)),""))</f>
        <v/>
      </c>
      <c r="J155" s="8">
        <f>IF($A155="","",_xll.BDP($A155&amp;" Corp","PAYMENT_RANK"))</f>
        <v/>
      </c>
      <c r="K155" s="9">
        <f>IF($A155="","",_xll.BDP($A155&amp;" Corp","CPN"))</f>
        <v/>
      </c>
      <c r="L155" s="10">
        <f>IF($A155="","",_xll.BDP($A155&amp;" Corp","MATURITY"))</f>
        <v/>
      </c>
      <c r="M155" s="11">
        <f>IF($A155="","",IFERROR(_xll.BDP($A155&amp;" Corp","MIN_PIECE")/1000,""))</f>
        <v/>
      </c>
      <c r="N155" s="12">
        <f>IF($A155="","",_xll.BDP($A155&amp;" Corp","PX_LAST"))</f>
        <v/>
      </c>
      <c r="O155" s="12">
        <f>IF($A155="","",_xll.BDP($A155&amp;" Corp","YAS_BOND_YLD","YAS_YLD_FLAG=15"))</f>
        <v/>
      </c>
      <c r="P155" s="12">
        <f>IF($A155="","",_xll.BDP($A155&amp;" Corp","YAS_MOD_DUR"))</f>
        <v/>
      </c>
      <c r="Q155" s="13">
        <f>IF($A155="","",_xll.BDP($A155&amp;" Corp","YAS_OAS_SPRD"))</f>
        <v/>
      </c>
      <c r="R155" s="13">
        <f>IF($A155="","",_xll.BDP($A155&amp;" Corp","YAS_OAS_SPRD","SETTLE_DT",$B$2))</f>
        <v/>
      </c>
      <c r="S155" s="14">
        <f>IF($A155="","",IF(OR(NOT(ISNUMBER($Q155)),NOT(ISNUMBER($R155))),"",$Q155-$R155))</f>
        <v/>
      </c>
      <c r="T155" s="12">
        <f>IF($A155="","",_xll.BDP($A155&amp;" Corp","YAS_BOND_YLD","YAS_YLD_FLAG=15","SETTLE_DT",$B$2))</f>
        <v/>
      </c>
      <c r="U155" s="15">
        <f>IF($A155="","",IF(OR(NOT(ISNUMBER($O155)),NOT(ISNUMBER($T155))),"",$O155-$T155))</f>
        <v/>
      </c>
      <c r="V155" s="13">
        <f>IF(NOT(ISNUMBER($S155)),"",COUNTIFS($G$7:$G$850,$G155,$S$7:$S$850,"&gt;"&amp;$S155)+COUNTIFS($G$7:$G155,$G155,$S$7:$S155,$S155))</f>
        <v/>
      </c>
      <c r="W155" s="13">
        <f>IF(NOT(ISNUMBER($S155)),"",COUNTIFS($G$7:$G$850,$G155,$S$7:$S$850,"&lt;"&amp;$S155)+COUNTIFS($G$7:$G155,$G155,$S$7:$S155,$S155))</f>
        <v/>
      </c>
      <c r="X155" s="8">
        <f>IF($V155="","",$G155&amp;"|"&amp;$V155)</f>
        <v/>
      </c>
      <c r="Y155" s="8">
        <f>IF($W155="","",$G155&amp;"|"&amp;$W155)</f>
        <v/>
      </c>
    </row>
    <row r="156">
      <c r="A156" s="16" t="inlineStr">
        <is>
          <t>FR001400FDC8</t>
        </is>
      </c>
      <c r="B156" s="17">
        <f>IF($A156="","",PROPER(_xll.BDP($A156&amp;" Corp","NAME")))</f>
        <v/>
      </c>
      <c r="C156" s="17">
        <f>IF($A156="","",IFERROR(INDEX(Company_desc!$B$2:$B$1144,MATCH($A156,Company_desc!$A$2:$A$1144,0)),IFERROR(INDEX(SYZ_static!$Q$2:$Q$806,MATCH($A156,SYZ_static!$A$2:$A$806,0)),"")))</f>
        <v/>
      </c>
      <c r="D156" s="17">
        <f>IF($A156="","",IFERROR(INDEX(SYZ_static!$B$2:$B$806,MATCH($A156,SYZ_static!$A$2:$A$806,0)),""))</f>
        <v/>
      </c>
      <c r="E156" s="17">
        <f>IF($A156="","",_xll.BDP($A156&amp;" Corp","INDUSTRY_SECTOR"))</f>
        <v/>
      </c>
      <c r="F156" s="17">
        <f>IF($A156="","",PROPER(_xll.BDP($A156&amp;" Corp","COUNTRY_FULL_NAME")))</f>
        <v/>
      </c>
      <c r="G156" s="17">
        <f>IF($A156="","",_xll.BDP($A156&amp;" Corp","CRNCY"))</f>
        <v/>
      </c>
      <c r="H156" s="17">
        <f>IF($A156="","",IFERROR(INDEX(SYZ_static!$T$2:$T$806,MATCH($A156,SYZ_static!$A$2:$A$806,0)),_xll.BDP($A156&amp;" Corp","RTG_SP")))</f>
        <v/>
      </c>
      <c r="I156" s="17">
        <f>IF($A156="","",IFERROR(INDEX(SYZ_static!$S$2:$S$806,MATCH($A156,SYZ_static!$A$2:$A$806,0)),""))</f>
        <v/>
      </c>
      <c r="J156" s="17">
        <f>IF($A156="","",_xll.BDP($A156&amp;" Corp","PAYMENT_RANK"))</f>
        <v/>
      </c>
      <c r="K156" s="18">
        <f>IF($A156="","",_xll.BDP($A156&amp;" Corp","CPN"))</f>
        <v/>
      </c>
      <c r="L156" s="19">
        <f>IF($A156="","",_xll.BDP($A156&amp;" Corp","MATURITY"))</f>
        <v/>
      </c>
      <c r="M156" s="20">
        <f>IF($A156="","",IFERROR(_xll.BDP($A156&amp;" Corp","MIN_PIECE")/1000,""))</f>
        <v/>
      </c>
      <c r="N156" s="21">
        <f>IF($A156="","",_xll.BDP($A156&amp;" Corp","PX_LAST"))</f>
        <v/>
      </c>
      <c r="O156" s="21">
        <f>IF($A156="","",_xll.BDP($A156&amp;" Corp","YAS_BOND_YLD","YAS_YLD_FLAG=15"))</f>
        <v/>
      </c>
      <c r="P156" s="21">
        <f>IF($A156="","",_xll.BDP($A156&amp;" Corp","YAS_MOD_DUR"))</f>
        <v/>
      </c>
      <c r="Q156" s="22">
        <f>IF($A156="","",_xll.BDP($A156&amp;" Corp","YAS_OAS_SPRD"))</f>
        <v/>
      </c>
      <c r="R156" s="22">
        <f>IF($A156="","",_xll.BDP($A156&amp;" Corp","YAS_OAS_SPRD","SETTLE_DT",$B$2))</f>
        <v/>
      </c>
      <c r="S156" s="23">
        <f>IF($A156="","",IF(OR(NOT(ISNUMBER($Q156)),NOT(ISNUMBER($R156))),"",$Q156-$R156))</f>
        <v/>
      </c>
      <c r="T156" s="21">
        <f>IF($A156="","",_xll.BDP($A156&amp;" Corp","YAS_BOND_YLD","YAS_YLD_FLAG=15","SETTLE_DT",$B$2))</f>
        <v/>
      </c>
      <c r="U156" s="24">
        <f>IF($A156="","",IF(OR(NOT(ISNUMBER($O156)),NOT(ISNUMBER($T156))),"",$O156-$T156))</f>
        <v/>
      </c>
      <c r="V156" s="22">
        <f>IF(NOT(ISNUMBER($S156)),"",COUNTIFS($G$7:$G$850,$G156,$S$7:$S$850,"&gt;"&amp;$S156)+COUNTIFS($G$7:$G156,$G156,$S$7:$S156,$S156))</f>
        <v/>
      </c>
      <c r="W156" s="22">
        <f>IF(NOT(ISNUMBER($S156)),"",COUNTIFS($G$7:$G$850,$G156,$S$7:$S$850,"&lt;"&amp;$S156)+COUNTIFS($G$7:$G156,$G156,$S$7:$S156,$S156))</f>
        <v/>
      </c>
      <c r="X156" s="17">
        <f>IF($V156="","",$G156&amp;"|"&amp;$V156)</f>
        <v/>
      </c>
      <c r="Y156" s="17">
        <f>IF($W156="","",$G156&amp;"|"&amp;$W156)</f>
        <v/>
      </c>
    </row>
    <row r="157">
      <c r="A157" s="7" t="inlineStr">
        <is>
          <t>US37045XED49</t>
        </is>
      </c>
      <c r="B157" s="8">
        <f>IF($A157="","",PROPER(_xll.BDP($A157&amp;" Corp","NAME")))</f>
        <v/>
      </c>
      <c r="C157" s="8">
        <f>IF($A157="","",IFERROR(INDEX(Company_desc!$B$2:$B$1144,MATCH($A157,Company_desc!$A$2:$A$1144,0)),IFERROR(INDEX(SYZ_static!$Q$2:$Q$806,MATCH($A157,SYZ_static!$A$2:$A$806,0)),"")))</f>
        <v/>
      </c>
      <c r="D157" s="8">
        <f>IF($A157="","",IFERROR(INDEX(SYZ_static!$B$2:$B$806,MATCH($A157,SYZ_static!$A$2:$A$806,0)),""))</f>
        <v/>
      </c>
      <c r="E157" s="8">
        <f>IF($A157="","",_xll.BDP($A157&amp;" Corp","INDUSTRY_SECTOR"))</f>
        <v/>
      </c>
      <c r="F157" s="8">
        <f>IF($A157="","",PROPER(_xll.BDP($A157&amp;" Corp","COUNTRY_FULL_NAME")))</f>
        <v/>
      </c>
      <c r="G157" s="8">
        <f>IF($A157="","",_xll.BDP($A157&amp;" Corp","CRNCY"))</f>
        <v/>
      </c>
      <c r="H157" s="8">
        <f>IF($A157="","",IFERROR(INDEX(SYZ_static!$T$2:$T$806,MATCH($A157,SYZ_static!$A$2:$A$806,0)),_xll.BDP($A157&amp;" Corp","RTG_SP")))</f>
        <v/>
      </c>
      <c r="I157" s="8">
        <f>IF($A157="","",IFERROR(INDEX(SYZ_static!$S$2:$S$806,MATCH($A157,SYZ_static!$A$2:$A$806,0)),""))</f>
        <v/>
      </c>
      <c r="J157" s="8">
        <f>IF($A157="","",_xll.BDP($A157&amp;" Corp","PAYMENT_RANK"))</f>
        <v/>
      </c>
      <c r="K157" s="9">
        <f>IF($A157="","",_xll.BDP($A157&amp;" Corp","CPN"))</f>
        <v/>
      </c>
      <c r="L157" s="10">
        <f>IF($A157="","",_xll.BDP($A157&amp;" Corp","MATURITY"))</f>
        <v/>
      </c>
      <c r="M157" s="11">
        <f>IF($A157="","",IFERROR(_xll.BDP($A157&amp;" Corp","MIN_PIECE")/1000,""))</f>
        <v/>
      </c>
      <c r="N157" s="12">
        <f>IF($A157="","",_xll.BDP($A157&amp;" Corp","PX_LAST"))</f>
        <v/>
      </c>
      <c r="O157" s="12">
        <f>IF($A157="","",_xll.BDP($A157&amp;" Corp","YAS_BOND_YLD","YAS_YLD_FLAG=15"))</f>
        <v/>
      </c>
      <c r="P157" s="12">
        <f>IF($A157="","",_xll.BDP($A157&amp;" Corp","YAS_MOD_DUR"))</f>
        <v/>
      </c>
      <c r="Q157" s="13">
        <f>IF($A157="","",_xll.BDP($A157&amp;" Corp","YAS_OAS_SPRD"))</f>
        <v/>
      </c>
      <c r="R157" s="13">
        <f>IF($A157="","",_xll.BDP($A157&amp;" Corp","YAS_OAS_SPRD","SETTLE_DT",$B$2))</f>
        <v/>
      </c>
      <c r="S157" s="14">
        <f>IF($A157="","",IF(OR(NOT(ISNUMBER($Q157)),NOT(ISNUMBER($R157))),"",$Q157-$R157))</f>
        <v/>
      </c>
      <c r="T157" s="12">
        <f>IF($A157="","",_xll.BDP($A157&amp;" Corp","YAS_BOND_YLD","YAS_YLD_FLAG=15","SETTLE_DT",$B$2))</f>
        <v/>
      </c>
      <c r="U157" s="15">
        <f>IF($A157="","",IF(OR(NOT(ISNUMBER($O157)),NOT(ISNUMBER($T157))),"",$O157-$T157))</f>
        <v/>
      </c>
      <c r="V157" s="13">
        <f>IF(NOT(ISNUMBER($S157)),"",COUNTIFS($G$7:$G$850,$G157,$S$7:$S$850,"&gt;"&amp;$S157)+COUNTIFS($G$7:$G157,$G157,$S$7:$S157,$S157))</f>
        <v/>
      </c>
      <c r="W157" s="13">
        <f>IF(NOT(ISNUMBER($S157)),"",COUNTIFS($G$7:$G$850,$G157,$S$7:$S$850,"&lt;"&amp;$S157)+COUNTIFS($G$7:$G157,$G157,$S$7:$S157,$S157))</f>
        <v/>
      </c>
      <c r="X157" s="8">
        <f>IF($V157="","",$G157&amp;"|"&amp;$V157)</f>
        <v/>
      </c>
      <c r="Y157" s="8">
        <f>IF($W157="","",$G157&amp;"|"&amp;$W157)</f>
        <v/>
      </c>
    </row>
    <row r="158">
      <c r="A158" s="16" t="inlineStr">
        <is>
          <t>XS2239829216</t>
        </is>
      </c>
      <c r="B158" s="17">
        <f>IF($A158="","",PROPER(_xll.BDP($A158&amp;" Corp","NAME")))</f>
        <v/>
      </c>
      <c r="C158" s="17">
        <f>IF($A158="","",IFERROR(INDEX(Company_desc!$B$2:$B$1144,MATCH($A158,Company_desc!$A$2:$A$1144,0)),IFERROR(INDEX(SYZ_static!$Q$2:$Q$806,MATCH($A158,SYZ_static!$A$2:$A$806,0)),"")))</f>
        <v/>
      </c>
      <c r="D158" s="17">
        <f>IF($A158="","",IFERROR(INDEX(SYZ_static!$B$2:$B$806,MATCH($A158,SYZ_static!$A$2:$A$806,0)),""))</f>
        <v/>
      </c>
      <c r="E158" s="17">
        <f>IF($A158="","",_xll.BDP($A158&amp;" Corp","INDUSTRY_SECTOR"))</f>
        <v/>
      </c>
      <c r="F158" s="17">
        <f>IF($A158="","",PROPER(_xll.BDP($A158&amp;" Corp","COUNTRY_FULL_NAME")))</f>
        <v/>
      </c>
      <c r="G158" s="17">
        <f>IF($A158="","",_xll.BDP($A158&amp;" Corp","CRNCY"))</f>
        <v/>
      </c>
      <c r="H158" s="17">
        <f>IF($A158="","",IFERROR(INDEX(SYZ_static!$T$2:$T$806,MATCH($A158,SYZ_static!$A$2:$A$806,0)),_xll.BDP($A158&amp;" Corp","RTG_SP")))</f>
        <v/>
      </c>
      <c r="I158" s="17">
        <f>IF($A158="","",IFERROR(INDEX(SYZ_static!$S$2:$S$806,MATCH($A158,SYZ_static!$A$2:$A$806,0)),""))</f>
        <v/>
      </c>
      <c r="J158" s="17">
        <f>IF($A158="","",_xll.BDP($A158&amp;" Corp","PAYMENT_RANK"))</f>
        <v/>
      </c>
      <c r="K158" s="18">
        <f>IF($A158="","",_xll.BDP($A158&amp;" Corp","CPN"))</f>
        <v/>
      </c>
      <c r="L158" s="19">
        <f>IF($A158="","",_xll.BDP($A158&amp;" Corp","MATURITY"))</f>
        <v/>
      </c>
      <c r="M158" s="20">
        <f>IF($A158="","",IFERROR(_xll.BDP($A158&amp;" Corp","MIN_PIECE")/1000,""))</f>
        <v/>
      </c>
      <c r="N158" s="21">
        <f>IF($A158="","",_xll.BDP($A158&amp;" Corp","PX_LAST"))</f>
        <v/>
      </c>
      <c r="O158" s="21">
        <f>IF($A158="","",_xll.BDP($A158&amp;" Corp","YAS_BOND_YLD","YAS_YLD_FLAG=15"))</f>
        <v/>
      </c>
      <c r="P158" s="21">
        <f>IF($A158="","",_xll.BDP($A158&amp;" Corp","YAS_MOD_DUR"))</f>
        <v/>
      </c>
      <c r="Q158" s="22">
        <f>IF($A158="","",_xll.BDP($A158&amp;" Corp","YAS_OAS_SPRD"))</f>
        <v/>
      </c>
      <c r="R158" s="22">
        <f>IF($A158="","",_xll.BDP($A158&amp;" Corp","YAS_OAS_SPRD","SETTLE_DT",$B$2))</f>
        <v/>
      </c>
      <c r="S158" s="23">
        <f>IF($A158="","",IF(OR(NOT(ISNUMBER($Q158)),NOT(ISNUMBER($R158))),"",$Q158-$R158))</f>
        <v/>
      </c>
      <c r="T158" s="21">
        <f>IF($A158="","",_xll.BDP($A158&amp;" Corp","YAS_BOND_YLD","YAS_YLD_FLAG=15","SETTLE_DT",$B$2))</f>
        <v/>
      </c>
      <c r="U158" s="24">
        <f>IF($A158="","",IF(OR(NOT(ISNUMBER($O158)),NOT(ISNUMBER($T158))),"",$O158-$T158))</f>
        <v/>
      </c>
      <c r="V158" s="22">
        <f>IF(NOT(ISNUMBER($S158)),"",COUNTIFS($G$7:$G$850,$G158,$S$7:$S$850,"&gt;"&amp;$S158)+COUNTIFS($G$7:$G158,$G158,$S$7:$S158,$S158))</f>
        <v/>
      </c>
      <c r="W158" s="22">
        <f>IF(NOT(ISNUMBER($S158)),"",COUNTIFS($G$7:$G$850,$G158,$S$7:$S$850,"&lt;"&amp;$S158)+COUNTIFS($G$7:$G158,$G158,$S$7:$S158,$S158))</f>
        <v/>
      </c>
      <c r="X158" s="17">
        <f>IF($V158="","",$G158&amp;"|"&amp;$V158)</f>
        <v/>
      </c>
      <c r="Y158" s="17">
        <f>IF($W158="","",$G158&amp;"|"&amp;$W158)</f>
        <v/>
      </c>
    </row>
    <row r="159">
      <c r="A159" s="7" t="inlineStr">
        <is>
          <t>USG0R209AA85</t>
        </is>
      </c>
      <c r="B159" s="8">
        <f>IF($A159="","",PROPER(_xll.BDP($A159&amp;" Corp","NAME")))</f>
        <v/>
      </c>
      <c r="C159" s="8">
        <f>IF($A159="","",IFERROR(INDEX(Company_desc!$B$2:$B$1144,MATCH($A159,Company_desc!$A$2:$A$1144,0)),IFERROR(INDEX(SYZ_static!$Q$2:$Q$806,MATCH($A159,SYZ_static!$A$2:$A$806,0)),"")))</f>
        <v/>
      </c>
      <c r="D159" s="8">
        <f>IF($A159="","",IFERROR(INDEX(SYZ_static!$B$2:$B$806,MATCH($A159,SYZ_static!$A$2:$A$806,0)),""))</f>
        <v/>
      </c>
      <c r="E159" s="8">
        <f>IF($A159="","",_xll.BDP($A159&amp;" Corp","INDUSTRY_SECTOR"))</f>
        <v/>
      </c>
      <c r="F159" s="8">
        <f>IF($A159="","",PROPER(_xll.BDP($A159&amp;" Corp","COUNTRY_FULL_NAME")))</f>
        <v/>
      </c>
      <c r="G159" s="8">
        <f>IF($A159="","",_xll.BDP($A159&amp;" Corp","CRNCY"))</f>
        <v/>
      </c>
      <c r="H159" s="8">
        <f>IF($A159="","",IFERROR(INDEX(SYZ_static!$T$2:$T$806,MATCH($A159,SYZ_static!$A$2:$A$806,0)),_xll.BDP($A159&amp;" Corp","RTG_SP")))</f>
        <v/>
      </c>
      <c r="I159" s="8">
        <f>IF($A159="","",IFERROR(INDEX(SYZ_static!$S$2:$S$806,MATCH($A159,SYZ_static!$A$2:$A$806,0)),""))</f>
        <v/>
      </c>
      <c r="J159" s="8">
        <f>IF($A159="","",_xll.BDP($A159&amp;" Corp","PAYMENT_RANK"))</f>
        <v/>
      </c>
      <c r="K159" s="9">
        <f>IF($A159="","",_xll.BDP($A159&amp;" Corp","CPN"))</f>
        <v/>
      </c>
      <c r="L159" s="10">
        <f>IF($A159="","",_xll.BDP($A159&amp;" Corp","MATURITY"))</f>
        <v/>
      </c>
      <c r="M159" s="11">
        <f>IF($A159="","",IFERROR(_xll.BDP($A159&amp;" Corp","MIN_PIECE")/1000,""))</f>
        <v/>
      </c>
      <c r="N159" s="12">
        <f>IF($A159="","",_xll.BDP($A159&amp;" Corp","PX_LAST"))</f>
        <v/>
      </c>
      <c r="O159" s="12">
        <f>IF($A159="","",_xll.BDP($A159&amp;" Corp","YAS_BOND_YLD","YAS_YLD_FLAG=15"))</f>
        <v/>
      </c>
      <c r="P159" s="12">
        <f>IF($A159="","",_xll.BDP($A159&amp;" Corp","YAS_MOD_DUR"))</f>
        <v/>
      </c>
      <c r="Q159" s="13">
        <f>IF($A159="","",_xll.BDP($A159&amp;" Corp","YAS_OAS_SPRD"))</f>
        <v/>
      </c>
      <c r="R159" s="13">
        <f>IF($A159="","",_xll.BDP($A159&amp;" Corp","YAS_OAS_SPRD","SETTLE_DT",$B$2))</f>
        <v/>
      </c>
      <c r="S159" s="14">
        <f>IF($A159="","",IF(OR(NOT(ISNUMBER($Q159)),NOT(ISNUMBER($R159))),"",$Q159-$R159))</f>
        <v/>
      </c>
      <c r="T159" s="12">
        <f>IF($A159="","",_xll.BDP($A159&amp;" Corp","YAS_BOND_YLD","YAS_YLD_FLAG=15","SETTLE_DT",$B$2))</f>
        <v/>
      </c>
      <c r="U159" s="15">
        <f>IF($A159="","",IF(OR(NOT(ISNUMBER($O159)),NOT(ISNUMBER($T159))),"",$O159-$T159))</f>
        <v/>
      </c>
      <c r="V159" s="13">
        <f>IF(NOT(ISNUMBER($S159)),"",COUNTIFS($G$7:$G$850,$G159,$S$7:$S$850,"&gt;"&amp;$S159)+COUNTIFS($G$7:$G159,$G159,$S$7:$S159,$S159))</f>
        <v/>
      </c>
      <c r="W159" s="13">
        <f>IF(NOT(ISNUMBER($S159)),"",COUNTIFS($G$7:$G$850,$G159,$S$7:$S$850,"&lt;"&amp;$S159)+COUNTIFS($G$7:$G159,$G159,$S$7:$S159,$S159))</f>
        <v/>
      </c>
      <c r="X159" s="8">
        <f>IF($V159="","",$G159&amp;"|"&amp;$V159)</f>
        <v/>
      </c>
      <c r="Y159" s="8">
        <f>IF($W159="","",$G159&amp;"|"&amp;$W159)</f>
        <v/>
      </c>
    </row>
    <row r="160">
      <c r="A160" s="16" t="inlineStr">
        <is>
          <t>USL7909CAA55</t>
        </is>
      </c>
      <c r="B160" s="17">
        <f>IF($A160="","",PROPER(_xll.BDP($A160&amp;" Corp","NAME")))</f>
        <v/>
      </c>
      <c r="C160" s="17">
        <f>IF($A160="","",IFERROR(INDEX(Company_desc!$B$2:$B$1144,MATCH($A160,Company_desc!$A$2:$A$1144,0)),IFERROR(INDEX(SYZ_static!$Q$2:$Q$806,MATCH($A160,SYZ_static!$A$2:$A$806,0)),"")))</f>
        <v/>
      </c>
      <c r="D160" s="17">
        <f>IF($A160="","",IFERROR(INDEX(SYZ_static!$B$2:$B$806,MATCH($A160,SYZ_static!$A$2:$A$806,0)),""))</f>
        <v/>
      </c>
      <c r="E160" s="17">
        <f>IF($A160="","",_xll.BDP($A160&amp;" Corp","INDUSTRY_SECTOR"))</f>
        <v/>
      </c>
      <c r="F160" s="17">
        <f>IF($A160="","",PROPER(_xll.BDP($A160&amp;" Corp","COUNTRY_FULL_NAME")))</f>
        <v/>
      </c>
      <c r="G160" s="17">
        <f>IF($A160="","",_xll.BDP($A160&amp;" Corp","CRNCY"))</f>
        <v/>
      </c>
      <c r="H160" s="17">
        <f>IF($A160="","",IFERROR(INDEX(SYZ_static!$T$2:$T$806,MATCH($A160,SYZ_static!$A$2:$A$806,0)),_xll.BDP($A160&amp;" Corp","RTG_SP")))</f>
        <v/>
      </c>
      <c r="I160" s="17">
        <f>IF($A160="","",IFERROR(INDEX(SYZ_static!$S$2:$S$806,MATCH($A160,SYZ_static!$A$2:$A$806,0)),""))</f>
        <v/>
      </c>
      <c r="J160" s="17">
        <f>IF($A160="","",_xll.BDP($A160&amp;" Corp","PAYMENT_RANK"))</f>
        <v/>
      </c>
      <c r="K160" s="18">
        <f>IF($A160="","",_xll.BDP($A160&amp;" Corp","CPN"))</f>
        <v/>
      </c>
      <c r="L160" s="19">
        <f>IF($A160="","",_xll.BDP($A160&amp;" Corp","MATURITY"))</f>
        <v/>
      </c>
      <c r="M160" s="20">
        <f>IF($A160="","",IFERROR(_xll.BDP($A160&amp;" Corp","MIN_PIECE")/1000,""))</f>
        <v/>
      </c>
      <c r="N160" s="21">
        <f>IF($A160="","",_xll.BDP($A160&amp;" Corp","PX_LAST"))</f>
        <v/>
      </c>
      <c r="O160" s="21">
        <f>IF($A160="","",_xll.BDP($A160&amp;" Corp","YAS_BOND_YLD","YAS_YLD_FLAG=15"))</f>
        <v/>
      </c>
      <c r="P160" s="21">
        <f>IF($A160="","",_xll.BDP($A160&amp;" Corp","YAS_MOD_DUR"))</f>
        <v/>
      </c>
      <c r="Q160" s="22">
        <f>IF($A160="","",_xll.BDP($A160&amp;" Corp","YAS_OAS_SPRD"))</f>
        <v/>
      </c>
      <c r="R160" s="22">
        <f>IF($A160="","",_xll.BDP($A160&amp;" Corp","YAS_OAS_SPRD","SETTLE_DT",$B$2))</f>
        <v/>
      </c>
      <c r="S160" s="23">
        <f>IF($A160="","",IF(OR(NOT(ISNUMBER($Q160)),NOT(ISNUMBER($R160))),"",$Q160-$R160))</f>
        <v/>
      </c>
      <c r="T160" s="21">
        <f>IF($A160="","",_xll.BDP($A160&amp;" Corp","YAS_BOND_YLD","YAS_YLD_FLAG=15","SETTLE_DT",$B$2))</f>
        <v/>
      </c>
      <c r="U160" s="24">
        <f>IF($A160="","",IF(OR(NOT(ISNUMBER($O160)),NOT(ISNUMBER($T160))),"",$O160-$T160))</f>
        <v/>
      </c>
      <c r="V160" s="22">
        <f>IF(NOT(ISNUMBER($S160)),"",COUNTIFS($G$7:$G$850,$G160,$S$7:$S$850,"&gt;"&amp;$S160)+COUNTIFS($G$7:$G160,$G160,$S$7:$S160,$S160))</f>
        <v/>
      </c>
      <c r="W160" s="22">
        <f>IF(NOT(ISNUMBER($S160)),"",COUNTIFS($G$7:$G$850,$G160,$S$7:$S$850,"&lt;"&amp;$S160)+COUNTIFS($G$7:$G160,$G160,$S$7:$S160,$S160))</f>
        <v/>
      </c>
      <c r="X160" s="17">
        <f>IF($V160="","",$G160&amp;"|"&amp;$V160)</f>
        <v/>
      </c>
      <c r="Y160" s="17">
        <f>IF($W160="","",$G160&amp;"|"&amp;$W160)</f>
        <v/>
      </c>
    </row>
    <row r="161">
      <c r="A161" s="7" t="inlineStr">
        <is>
          <t>US91911TAH68</t>
        </is>
      </c>
      <c r="B161" s="8">
        <f>IF($A161="","",PROPER(_xll.BDP($A161&amp;" Corp","NAME")))</f>
        <v/>
      </c>
      <c r="C161" s="8">
        <f>IF($A161="","",IFERROR(INDEX(Company_desc!$B$2:$B$1144,MATCH($A161,Company_desc!$A$2:$A$1144,0)),IFERROR(INDEX(SYZ_static!$Q$2:$Q$806,MATCH($A161,SYZ_static!$A$2:$A$806,0)),"")))</f>
        <v/>
      </c>
      <c r="D161" s="8">
        <f>IF($A161="","",IFERROR(INDEX(SYZ_static!$B$2:$B$806,MATCH($A161,SYZ_static!$A$2:$A$806,0)),""))</f>
        <v/>
      </c>
      <c r="E161" s="8">
        <f>IF($A161="","",_xll.BDP($A161&amp;" Corp","INDUSTRY_SECTOR"))</f>
        <v/>
      </c>
      <c r="F161" s="8">
        <f>IF($A161="","",PROPER(_xll.BDP($A161&amp;" Corp","COUNTRY_FULL_NAME")))</f>
        <v/>
      </c>
      <c r="G161" s="8">
        <f>IF($A161="","",_xll.BDP($A161&amp;" Corp","CRNCY"))</f>
        <v/>
      </c>
      <c r="H161" s="8">
        <f>IF($A161="","",IFERROR(INDEX(SYZ_static!$T$2:$T$806,MATCH($A161,SYZ_static!$A$2:$A$806,0)),_xll.BDP($A161&amp;" Corp","RTG_SP")))</f>
        <v/>
      </c>
      <c r="I161" s="8">
        <f>IF($A161="","",IFERROR(INDEX(SYZ_static!$S$2:$S$806,MATCH($A161,SYZ_static!$A$2:$A$806,0)),""))</f>
        <v/>
      </c>
      <c r="J161" s="8">
        <f>IF($A161="","",_xll.BDP($A161&amp;" Corp","PAYMENT_RANK"))</f>
        <v/>
      </c>
      <c r="K161" s="9">
        <f>IF($A161="","",_xll.BDP($A161&amp;" Corp","CPN"))</f>
        <v/>
      </c>
      <c r="L161" s="10">
        <f>IF($A161="","",_xll.BDP($A161&amp;" Corp","MATURITY"))</f>
        <v/>
      </c>
      <c r="M161" s="11">
        <f>IF($A161="","",IFERROR(_xll.BDP($A161&amp;" Corp","MIN_PIECE")/1000,""))</f>
        <v/>
      </c>
      <c r="N161" s="12">
        <f>IF($A161="","",_xll.BDP($A161&amp;" Corp","PX_LAST"))</f>
        <v/>
      </c>
      <c r="O161" s="12">
        <f>IF($A161="","",_xll.BDP($A161&amp;" Corp","YAS_BOND_YLD","YAS_YLD_FLAG=15"))</f>
        <v/>
      </c>
      <c r="P161" s="12">
        <f>IF($A161="","",_xll.BDP($A161&amp;" Corp","YAS_MOD_DUR"))</f>
        <v/>
      </c>
      <c r="Q161" s="13">
        <f>IF($A161="","",_xll.BDP($A161&amp;" Corp","YAS_OAS_SPRD"))</f>
        <v/>
      </c>
      <c r="R161" s="13">
        <f>IF($A161="","",_xll.BDP($A161&amp;" Corp","YAS_OAS_SPRD","SETTLE_DT",$B$2))</f>
        <v/>
      </c>
      <c r="S161" s="14">
        <f>IF($A161="","",IF(OR(NOT(ISNUMBER($Q161)),NOT(ISNUMBER($R161))),"",$Q161-$R161))</f>
        <v/>
      </c>
      <c r="T161" s="12">
        <f>IF($A161="","",_xll.BDP($A161&amp;" Corp","YAS_BOND_YLD","YAS_YLD_FLAG=15","SETTLE_DT",$B$2))</f>
        <v/>
      </c>
      <c r="U161" s="15">
        <f>IF($A161="","",IF(OR(NOT(ISNUMBER($O161)),NOT(ISNUMBER($T161))),"",$O161-$T161))</f>
        <v/>
      </c>
      <c r="V161" s="13">
        <f>IF(NOT(ISNUMBER($S161)),"",COUNTIFS($G$7:$G$850,$G161,$S$7:$S$850,"&gt;"&amp;$S161)+COUNTIFS($G$7:$G161,$G161,$S$7:$S161,$S161))</f>
        <v/>
      </c>
      <c r="W161" s="13">
        <f>IF(NOT(ISNUMBER($S161)),"",COUNTIFS($G$7:$G$850,$G161,$S$7:$S$850,"&lt;"&amp;$S161)+COUNTIFS($G$7:$G161,$G161,$S$7:$S161,$S161))</f>
        <v/>
      </c>
      <c r="X161" s="8">
        <f>IF($V161="","",$G161&amp;"|"&amp;$V161)</f>
        <v/>
      </c>
      <c r="Y161" s="8">
        <f>IF($W161="","",$G161&amp;"|"&amp;$W161)</f>
        <v/>
      </c>
    </row>
    <row r="162">
      <c r="A162" s="16" t="inlineStr">
        <is>
          <t>FR001400FDG9</t>
        </is>
      </c>
      <c r="B162" s="17">
        <f>IF($A162="","",PROPER(_xll.BDP($A162&amp;" Corp","NAME")))</f>
        <v/>
      </c>
      <c r="C162" s="17">
        <f>IF($A162="","",IFERROR(INDEX(Company_desc!$B$2:$B$1144,MATCH($A162,Company_desc!$A$2:$A$1144,0)),IFERROR(INDEX(SYZ_static!$Q$2:$Q$806,MATCH($A162,SYZ_static!$A$2:$A$806,0)),"")))</f>
        <v/>
      </c>
      <c r="D162" s="17">
        <f>IF($A162="","",IFERROR(INDEX(SYZ_static!$B$2:$B$806,MATCH($A162,SYZ_static!$A$2:$A$806,0)),""))</f>
        <v/>
      </c>
      <c r="E162" s="17">
        <f>IF($A162="","",_xll.BDP($A162&amp;" Corp","INDUSTRY_SECTOR"))</f>
        <v/>
      </c>
      <c r="F162" s="17">
        <f>IF($A162="","",PROPER(_xll.BDP($A162&amp;" Corp","COUNTRY_FULL_NAME")))</f>
        <v/>
      </c>
      <c r="G162" s="17">
        <f>IF($A162="","",_xll.BDP($A162&amp;" Corp","CRNCY"))</f>
        <v/>
      </c>
      <c r="H162" s="17">
        <f>IF($A162="","",IFERROR(INDEX(SYZ_static!$T$2:$T$806,MATCH($A162,SYZ_static!$A$2:$A$806,0)),_xll.BDP($A162&amp;" Corp","RTG_SP")))</f>
        <v/>
      </c>
      <c r="I162" s="17">
        <f>IF($A162="","",IFERROR(INDEX(SYZ_static!$S$2:$S$806,MATCH($A162,SYZ_static!$A$2:$A$806,0)),""))</f>
        <v/>
      </c>
      <c r="J162" s="17">
        <f>IF($A162="","",_xll.BDP($A162&amp;" Corp","PAYMENT_RANK"))</f>
        <v/>
      </c>
      <c r="K162" s="18">
        <f>IF($A162="","",_xll.BDP($A162&amp;" Corp","CPN"))</f>
        <v/>
      </c>
      <c r="L162" s="19">
        <f>IF($A162="","",_xll.BDP($A162&amp;" Corp","MATURITY"))</f>
        <v/>
      </c>
      <c r="M162" s="20">
        <f>IF($A162="","",IFERROR(_xll.BDP($A162&amp;" Corp","MIN_PIECE")/1000,""))</f>
        <v/>
      </c>
      <c r="N162" s="21">
        <f>IF($A162="","",_xll.BDP($A162&amp;" Corp","PX_LAST"))</f>
        <v/>
      </c>
      <c r="O162" s="21">
        <f>IF($A162="","",_xll.BDP($A162&amp;" Corp","YAS_BOND_YLD","YAS_YLD_FLAG=15"))</f>
        <v/>
      </c>
      <c r="P162" s="21">
        <f>IF($A162="","",_xll.BDP($A162&amp;" Corp","YAS_MOD_DUR"))</f>
        <v/>
      </c>
      <c r="Q162" s="22">
        <f>IF($A162="","",_xll.BDP($A162&amp;" Corp","YAS_OAS_SPRD"))</f>
        <v/>
      </c>
      <c r="R162" s="22">
        <f>IF($A162="","",_xll.BDP($A162&amp;" Corp","YAS_OAS_SPRD","SETTLE_DT",$B$2))</f>
        <v/>
      </c>
      <c r="S162" s="23">
        <f>IF($A162="","",IF(OR(NOT(ISNUMBER($Q162)),NOT(ISNUMBER($R162))),"",$Q162-$R162))</f>
        <v/>
      </c>
      <c r="T162" s="21">
        <f>IF($A162="","",_xll.BDP($A162&amp;" Corp","YAS_BOND_YLD","YAS_YLD_FLAG=15","SETTLE_DT",$B$2))</f>
        <v/>
      </c>
      <c r="U162" s="24">
        <f>IF($A162="","",IF(OR(NOT(ISNUMBER($O162)),NOT(ISNUMBER($T162))),"",$O162-$T162))</f>
        <v/>
      </c>
      <c r="V162" s="22">
        <f>IF(NOT(ISNUMBER($S162)),"",COUNTIFS($G$7:$G$850,$G162,$S$7:$S$850,"&gt;"&amp;$S162)+COUNTIFS($G$7:$G162,$G162,$S$7:$S162,$S162))</f>
        <v/>
      </c>
      <c r="W162" s="22">
        <f>IF(NOT(ISNUMBER($S162)),"",COUNTIFS($G$7:$G$850,$G162,$S$7:$S$850,"&lt;"&amp;$S162)+COUNTIFS($G$7:$G162,$G162,$S$7:$S162,$S162))</f>
        <v/>
      </c>
      <c r="X162" s="17">
        <f>IF($V162="","",$G162&amp;"|"&amp;$V162)</f>
        <v/>
      </c>
      <c r="Y162" s="17">
        <f>IF($W162="","",$G162&amp;"|"&amp;$W162)</f>
        <v/>
      </c>
    </row>
    <row r="163">
      <c r="A163" s="7" t="inlineStr">
        <is>
          <t>USG3040LAA01</t>
        </is>
      </c>
      <c r="B163" s="8">
        <f>IF($A163="","",PROPER(_xll.BDP($A163&amp;" Corp","NAME")))</f>
        <v/>
      </c>
      <c r="C163" s="8">
        <f>IF($A163="","",IFERROR(INDEX(Company_desc!$B$2:$B$1144,MATCH($A163,Company_desc!$A$2:$A$1144,0)),IFERROR(INDEX(SYZ_static!$Q$2:$Q$806,MATCH($A163,SYZ_static!$A$2:$A$806,0)),"")))</f>
        <v/>
      </c>
      <c r="D163" s="8">
        <f>IF($A163="","",IFERROR(INDEX(SYZ_static!$B$2:$B$806,MATCH($A163,SYZ_static!$A$2:$A$806,0)),""))</f>
        <v/>
      </c>
      <c r="E163" s="8">
        <f>IF($A163="","",_xll.BDP($A163&amp;" Corp","INDUSTRY_SECTOR"))</f>
        <v/>
      </c>
      <c r="F163" s="8">
        <f>IF($A163="","",PROPER(_xll.BDP($A163&amp;" Corp","COUNTRY_FULL_NAME")))</f>
        <v/>
      </c>
      <c r="G163" s="8">
        <f>IF($A163="","",_xll.BDP($A163&amp;" Corp","CRNCY"))</f>
        <v/>
      </c>
      <c r="H163" s="8">
        <f>IF($A163="","",IFERROR(INDEX(SYZ_static!$T$2:$T$806,MATCH($A163,SYZ_static!$A$2:$A$806,0)),_xll.BDP($A163&amp;" Corp","RTG_SP")))</f>
        <v/>
      </c>
      <c r="I163" s="8">
        <f>IF($A163="","",IFERROR(INDEX(SYZ_static!$S$2:$S$806,MATCH($A163,SYZ_static!$A$2:$A$806,0)),""))</f>
        <v/>
      </c>
      <c r="J163" s="8">
        <f>IF($A163="","",_xll.BDP($A163&amp;" Corp","PAYMENT_RANK"))</f>
        <v/>
      </c>
      <c r="K163" s="9">
        <f>IF($A163="","",_xll.BDP($A163&amp;" Corp","CPN"))</f>
        <v/>
      </c>
      <c r="L163" s="10">
        <f>IF($A163="","",_xll.BDP($A163&amp;" Corp","MATURITY"))</f>
        <v/>
      </c>
      <c r="M163" s="11">
        <f>IF($A163="","",IFERROR(_xll.BDP($A163&amp;" Corp","MIN_PIECE")/1000,""))</f>
        <v/>
      </c>
      <c r="N163" s="12">
        <f>IF($A163="","",_xll.BDP($A163&amp;" Corp","PX_LAST"))</f>
        <v/>
      </c>
      <c r="O163" s="12">
        <f>IF($A163="","",_xll.BDP($A163&amp;" Corp","YAS_BOND_YLD","YAS_YLD_FLAG=15"))</f>
        <v/>
      </c>
      <c r="P163" s="12">
        <f>IF($A163="","",_xll.BDP($A163&amp;" Corp","YAS_MOD_DUR"))</f>
        <v/>
      </c>
      <c r="Q163" s="13">
        <f>IF($A163="","",_xll.BDP($A163&amp;" Corp","YAS_OAS_SPRD"))</f>
        <v/>
      </c>
      <c r="R163" s="13">
        <f>IF($A163="","",_xll.BDP($A163&amp;" Corp","YAS_OAS_SPRD","SETTLE_DT",$B$2))</f>
        <v/>
      </c>
      <c r="S163" s="14">
        <f>IF($A163="","",IF(OR(NOT(ISNUMBER($Q163)),NOT(ISNUMBER($R163))),"",$Q163-$R163))</f>
        <v/>
      </c>
      <c r="T163" s="12">
        <f>IF($A163="","",_xll.BDP($A163&amp;" Corp","YAS_BOND_YLD","YAS_YLD_FLAG=15","SETTLE_DT",$B$2))</f>
        <v/>
      </c>
      <c r="U163" s="15">
        <f>IF($A163="","",IF(OR(NOT(ISNUMBER($O163)),NOT(ISNUMBER($T163))),"",$O163-$T163))</f>
        <v/>
      </c>
      <c r="V163" s="13">
        <f>IF(NOT(ISNUMBER($S163)),"",COUNTIFS($G$7:$G$850,$G163,$S$7:$S$850,"&gt;"&amp;$S163)+COUNTIFS($G$7:$G163,$G163,$S$7:$S163,$S163))</f>
        <v/>
      </c>
      <c r="W163" s="13">
        <f>IF(NOT(ISNUMBER($S163)),"",COUNTIFS($G$7:$G$850,$G163,$S$7:$S$850,"&lt;"&amp;$S163)+COUNTIFS($G$7:$G163,$G163,$S$7:$S163,$S163))</f>
        <v/>
      </c>
      <c r="X163" s="8">
        <f>IF($V163="","",$G163&amp;"|"&amp;$V163)</f>
        <v/>
      </c>
      <c r="Y163" s="8">
        <f>IF($W163="","",$G163&amp;"|"&amp;$W163)</f>
        <v/>
      </c>
    </row>
    <row r="164">
      <c r="A164" s="16" t="inlineStr">
        <is>
          <t>US05526DBV64</t>
        </is>
      </c>
      <c r="B164" s="17">
        <f>IF($A164="","",PROPER(_xll.BDP($A164&amp;" Corp","NAME")))</f>
        <v/>
      </c>
      <c r="C164" s="17">
        <f>IF($A164="","",IFERROR(INDEX(Company_desc!$B$2:$B$1144,MATCH($A164,Company_desc!$A$2:$A$1144,0)),IFERROR(INDEX(SYZ_static!$Q$2:$Q$806,MATCH($A164,SYZ_static!$A$2:$A$806,0)),"")))</f>
        <v/>
      </c>
      <c r="D164" s="17">
        <f>IF($A164="","",IFERROR(INDEX(SYZ_static!$B$2:$B$806,MATCH($A164,SYZ_static!$A$2:$A$806,0)),""))</f>
        <v/>
      </c>
      <c r="E164" s="17">
        <f>IF($A164="","",_xll.BDP($A164&amp;" Corp","INDUSTRY_SECTOR"))</f>
        <v/>
      </c>
      <c r="F164" s="17">
        <f>IF($A164="","",PROPER(_xll.BDP($A164&amp;" Corp","COUNTRY_FULL_NAME")))</f>
        <v/>
      </c>
      <c r="G164" s="17">
        <f>IF($A164="","",_xll.BDP($A164&amp;" Corp","CRNCY"))</f>
        <v/>
      </c>
      <c r="H164" s="17">
        <f>IF($A164="","",IFERROR(INDEX(SYZ_static!$T$2:$T$806,MATCH($A164,SYZ_static!$A$2:$A$806,0)),_xll.BDP($A164&amp;" Corp","RTG_SP")))</f>
        <v/>
      </c>
      <c r="I164" s="17">
        <f>IF($A164="","",IFERROR(INDEX(SYZ_static!$S$2:$S$806,MATCH($A164,SYZ_static!$A$2:$A$806,0)),""))</f>
        <v/>
      </c>
      <c r="J164" s="17">
        <f>IF($A164="","",_xll.BDP($A164&amp;" Corp","PAYMENT_RANK"))</f>
        <v/>
      </c>
      <c r="K164" s="18">
        <f>IF($A164="","",_xll.BDP($A164&amp;" Corp","CPN"))</f>
        <v/>
      </c>
      <c r="L164" s="19">
        <f>IF($A164="","",_xll.BDP($A164&amp;" Corp","MATURITY"))</f>
        <v/>
      </c>
      <c r="M164" s="20">
        <f>IF($A164="","",IFERROR(_xll.BDP($A164&amp;" Corp","MIN_PIECE")/1000,""))</f>
        <v/>
      </c>
      <c r="N164" s="21">
        <f>IF($A164="","",_xll.BDP($A164&amp;" Corp","PX_LAST"))</f>
        <v/>
      </c>
      <c r="O164" s="21">
        <f>IF($A164="","",_xll.BDP($A164&amp;" Corp","YAS_BOND_YLD","YAS_YLD_FLAG=15"))</f>
        <v/>
      </c>
      <c r="P164" s="21">
        <f>IF($A164="","",_xll.BDP($A164&amp;" Corp","YAS_MOD_DUR"))</f>
        <v/>
      </c>
      <c r="Q164" s="22">
        <f>IF($A164="","",_xll.BDP($A164&amp;" Corp","YAS_OAS_SPRD"))</f>
        <v/>
      </c>
      <c r="R164" s="22">
        <f>IF($A164="","",_xll.BDP($A164&amp;" Corp","YAS_OAS_SPRD","SETTLE_DT",$B$2))</f>
        <v/>
      </c>
      <c r="S164" s="23">
        <f>IF($A164="","",IF(OR(NOT(ISNUMBER($Q164)),NOT(ISNUMBER($R164))),"",$Q164-$R164))</f>
        <v/>
      </c>
      <c r="T164" s="21">
        <f>IF($A164="","",_xll.BDP($A164&amp;" Corp","YAS_BOND_YLD","YAS_YLD_FLAG=15","SETTLE_DT",$B$2))</f>
        <v/>
      </c>
      <c r="U164" s="24">
        <f>IF($A164="","",IF(OR(NOT(ISNUMBER($O164)),NOT(ISNUMBER($T164))),"",$O164-$T164))</f>
        <v/>
      </c>
      <c r="V164" s="22">
        <f>IF(NOT(ISNUMBER($S164)),"",COUNTIFS($G$7:$G$850,$G164,$S$7:$S$850,"&gt;"&amp;$S164)+COUNTIFS($G$7:$G164,$G164,$S$7:$S164,$S164))</f>
        <v/>
      </c>
      <c r="W164" s="22">
        <f>IF(NOT(ISNUMBER($S164)),"",COUNTIFS($G$7:$G$850,$G164,$S$7:$S$850,"&lt;"&amp;$S164)+COUNTIFS($G$7:$G164,$G164,$S$7:$S164,$S164))</f>
        <v/>
      </c>
      <c r="X164" s="17">
        <f>IF($V164="","",$G164&amp;"|"&amp;$V164)</f>
        <v/>
      </c>
      <c r="Y164" s="17">
        <f>IF($W164="","",$G164&amp;"|"&amp;$W164)</f>
        <v/>
      </c>
    </row>
    <row r="165">
      <c r="A165" s="7" t="inlineStr">
        <is>
          <t>USL9412AAA53</t>
        </is>
      </c>
      <c r="B165" s="8">
        <f>IF($A165="","",PROPER(_xll.BDP($A165&amp;" Corp","NAME")))</f>
        <v/>
      </c>
      <c r="C165" s="8">
        <f>IF($A165="","",IFERROR(INDEX(Company_desc!$B$2:$B$1144,MATCH($A165,Company_desc!$A$2:$A$1144,0)),IFERROR(INDEX(SYZ_static!$Q$2:$Q$806,MATCH($A165,SYZ_static!$A$2:$A$806,0)),"")))</f>
        <v/>
      </c>
      <c r="D165" s="8">
        <f>IF($A165="","",IFERROR(INDEX(SYZ_static!$B$2:$B$806,MATCH($A165,SYZ_static!$A$2:$A$806,0)),""))</f>
        <v/>
      </c>
      <c r="E165" s="8">
        <f>IF($A165="","",_xll.BDP($A165&amp;" Corp","INDUSTRY_SECTOR"))</f>
        <v/>
      </c>
      <c r="F165" s="8">
        <f>IF($A165="","",PROPER(_xll.BDP($A165&amp;" Corp","COUNTRY_FULL_NAME")))</f>
        <v/>
      </c>
      <c r="G165" s="8">
        <f>IF($A165="","",_xll.BDP($A165&amp;" Corp","CRNCY"))</f>
        <v/>
      </c>
      <c r="H165" s="8">
        <f>IF($A165="","",IFERROR(INDEX(SYZ_static!$T$2:$T$806,MATCH($A165,SYZ_static!$A$2:$A$806,0)),_xll.BDP($A165&amp;" Corp","RTG_SP")))</f>
        <v/>
      </c>
      <c r="I165" s="8">
        <f>IF($A165="","",IFERROR(INDEX(SYZ_static!$S$2:$S$806,MATCH($A165,SYZ_static!$A$2:$A$806,0)),""))</f>
        <v/>
      </c>
      <c r="J165" s="8">
        <f>IF($A165="","",_xll.BDP($A165&amp;" Corp","PAYMENT_RANK"))</f>
        <v/>
      </c>
      <c r="K165" s="9">
        <f>IF($A165="","",_xll.BDP($A165&amp;" Corp","CPN"))</f>
        <v/>
      </c>
      <c r="L165" s="10">
        <f>IF($A165="","",_xll.BDP($A165&amp;" Corp","MATURITY"))</f>
        <v/>
      </c>
      <c r="M165" s="11">
        <f>IF($A165="","",IFERROR(_xll.BDP($A165&amp;" Corp","MIN_PIECE")/1000,""))</f>
        <v/>
      </c>
      <c r="N165" s="12">
        <f>IF($A165="","",_xll.BDP($A165&amp;" Corp","PX_LAST"))</f>
        <v/>
      </c>
      <c r="O165" s="12">
        <f>IF($A165="","",_xll.BDP($A165&amp;" Corp","YAS_BOND_YLD","YAS_YLD_FLAG=15"))</f>
        <v/>
      </c>
      <c r="P165" s="12">
        <f>IF($A165="","",_xll.BDP($A165&amp;" Corp","YAS_MOD_DUR"))</f>
        <v/>
      </c>
      <c r="Q165" s="13">
        <f>IF($A165="","",_xll.BDP($A165&amp;" Corp","YAS_OAS_SPRD"))</f>
        <v/>
      </c>
      <c r="R165" s="13">
        <f>IF($A165="","",_xll.BDP($A165&amp;" Corp","YAS_OAS_SPRD","SETTLE_DT",$B$2))</f>
        <v/>
      </c>
      <c r="S165" s="14">
        <f>IF($A165="","",IF(OR(NOT(ISNUMBER($Q165)),NOT(ISNUMBER($R165))),"",$Q165-$R165))</f>
        <v/>
      </c>
      <c r="T165" s="12">
        <f>IF($A165="","",_xll.BDP($A165&amp;" Corp","YAS_BOND_YLD","YAS_YLD_FLAG=15","SETTLE_DT",$B$2))</f>
        <v/>
      </c>
      <c r="U165" s="15">
        <f>IF($A165="","",IF(OR(NOT(ISNUMBER($O165)),NOT(ISNUMBER($T165))),"",$O165-$T165))</f>
        <v/>
      </c>
      <c r="V165" s="13">
        <f>IF(NOT(ISNUMBER($S165)),"",COUNTIFS($G$7:$G$850,$G165,$S$7:$S$850,"&gt;"&amp;$S165)+COUNTIFS($G$7:$G165,$G165,$S$7:$S165,$S165))</f>
        <v/>
      </c>
      <c r="W165" s="13">
        <f>IF(NOT(ISNUMBER($S165)),"",COUNTIFS($G$7:$G$850,$G165,$S$7:$S$850,"&lt;"&amp;$S165)+COUNTIFS($G$7:$G165,$G165,$S$7:$S165,$S165))</f>
        <v/>
      </c>
      <c r="X165" s="8">
        <f>IF($V165="","",$G165&amp;"|"&amp;$V165)</f>
        <v/>
      </c>
      <c r="Y165" s="8">
        <f>IF($W165="","",$G165&amp;"|"&amp;$W165)</f>
        <v/>
      </c>
    </row>
    <row r="166">
      <c r="A166" s="16" t="inlineStr">
        <is>
          <t>USL5828LAB55</t>
        </is>
      </c>
      <c r="B166" s="17">
        <f>IF($A166="","",PROPER(_xll.BDP($A166&amp;" Corp","NAME")))</f>
        <v/>
      </c>
      <c r="C166" s="17">
        <f>IF($A166="","",IFERROR(INDEX(Company_desc!$B$2:$B$1144,MATCH($A166,Company_desc!$A$2:$A$1144,0)),IFERROR(INDEX(SYZ_static!$Q$2:$Q$806,MATCH($A166,SYZ_static!$A$2:$A$806,0)),"")))</f>
        <v/>
      </c>
      <c r="D166" s="17">
        <f>IF($A166="","",IFERROR(INDEX(SYZ_static!$B$2:$B$806,MATCH($A166,SYZ_static!$A$2:$A$806,0)),""))</f>
        <v/>
      </c>
      <c r="E166" s="17">
        <f>IF($A166="","",_xll.BDP($A166&amp;" Corp","INDUSTRY_SECTOR"))</f>
        <v/>
      </c>
      <c r="F166" s="17">
        <f>IF($A166="","",PROPER(_xll.BDP($A166&amp;" Corp","COUNTRY_FULL_NAME")))</f>
        <v/>
      </c>
      <c r="G166" s="17">
        <f>IF($A166="","",_xll.BDP($A166&amp;" Corp","CRNCY"))</f>
        <v/>
      </c>
      <c r="H166" s="17">
        <f>IF($A166="","",IFERROR(INDEX(SYZ_static!$T$2:$T$806,MATCH($A166,SYZ_static!$A$2:$A$806,0)),_xll.BDP($A166&amp;" Corp","RTG_SP")))</f>
        <v/>
      </c>
      <c r="I166" s="17">
        <f>IF($A166="","",IFERROR(INDEX(SYZ_static!$S$2:$S$806,MATCH($A166,SYZ_static!$A$2:$A$806,0)),""))</f>
        <v/>
      </c>
      <c r="J166" s="17">
        <f>IF($A166="","",_xll.BDP($A166&amp;" Corp","PAYMENT_RANK"))</f>
        <v/>
      </c>
      <c r="K166" s="18">
        <f>IF($A166="","",_xll.BDP($A166&amp;" Corp","CPN"))</f>
        <v/>
      </c>
      <c r="L166" s="19">
        <f>IF($A166="","",_xll.BDP($A166&amp;" Corp","MATURITY"))</f>
        <v/>
      </c>
      <c r="M166" s="20">
        <f>IF($A166="","",IFERROR(_xll.BDP($A166&amp;" Corp","MIN_PIECE")/1000,""))</f>
        <v/>
      </c>
      <c r="N166" s="21">
        <f>IF($A166="","",_xll.BDP($A166&amp;" Corp","PX_LAST"))</f>
        <v/>
      </c>
      <c r="O166" s="21">
        <f>IF($A166="","",_xll.BDP($A166&amp;" Corp","YAS_BOND_YLD","YAS_YLD_FLAG=15"))</f>
        <v/>
      </c>
      <c r="P166" s="21">
        <f>IF($A166="","",_xll.BDP($A166&amp;" Corp","YAS_MOD_DUR"))</f>
        <v/>
      </c>
      <c r="Q166" s="22">
        <f>IF($A166="","",_xll.BDP($A166&amp;" Corp","YAS_OAS_SPRD"))</f>
        <v/>
      </c>
      <c r="R166" s="22">
        <f>IF($A166="","",_xll.BDP($A166&amp;" Corp","YAS_OAS_SPRD","SETTLE_DT",$B$2))</f>
        <v/>
      </c>
      <c r="S166" s="23">
        <f>IF($A166="","",IF(OR(NOT(ISNUMBER($Q166)),NOT(ISNUMBER($R166))),"",$Q166-$R166))</f>
        <v/>
      </c>
      <c r="T166" s="21">
        <f>IF($A166="","",_xll.BDP($A166&amp;" Corp","YAS_BOND_YLD","YAS_YLD_FLAG=15","SETTLE_DT",$B$2))</f>
        <v/>
      </c>
      <c r="U166" s="24">
        <f>IF($A166="","",IF(OR(NOT(ISNUMBER($O166)),NOT(ISNUMBER($T166))),"",$O166-$T166))</f>
        <v/>
      </c>
      <c r="V166" s="22">
        <f>IF(NOT(ISNUMBER($S166)),"",COUNTIFS($G$7:$G$850,$G166,$S$7:$S$850,"&gt;"&amp;$S166)+COUNTIFS($G$7:$G166,$G166,$S$7:$S166,$S166))</f>
        <v/>
      </c>
      <c r="W166" s="22">
        <f>IF(NOT(ISNUMBER($S166)),"",COUNTIFS($G$7:$G$850,$G166,$S$7:$S$850,"&lt;"&amp;$S166)+COUNTIFS($G$7:$G166,$G166,$S$7:$S166,$S166))</f>
        <v/>
      </c>
      <c r="X166" s="17">
        <f>IF($V166="","",$G166&amp;"|"&amp;$V166)</f>
        <v/>
      </c>
      <c r="Y166" s="17">
        <f>IF($W166="","",$G166&amp;"|"&amp;$W166)</f>
        <v/>
      </c>
    </row>
    <row r="167">
      <c r="A167" s="7" t="inlineStr">
        <is>
          <t>US88167AAS06</t>
        </is>
      </c>
      <c r="B167" s="8">
        <f>IF($A167="","",PROPER(_xll.BDP($A167&amp;" Corp","NAME")))</f>
        <v/>
      </c>
      <c r="C167" s="8">
        <f>IF($A167="","",IFERROR(INDEX(Company_desc!$B$2:$B$1144,MATCH($A167,Company_desc!$A$2:$A$1144,0)),IFERROR(INDEX(SYZ_static!$Q$2:$Q$806,MATCH($A167,SYZ_static!$A$2:$A$806,0)),"")))</f>
        <v/>
      </c>
      <c r="D167" s="8">
        <f>IF($A167="","",IFERROR(INDEX(SYZ_static!$B$2:$B$806,MATCH($A167,SYZ_static!$A$2:$A$806,0)),""))</f>
        <v/>
      </c>
      <c r="E167" s="8">
        <f>IF($A167="","",_xll.BDP($A167&amp;" Corp","INDUSTRY_SECTOR"))</f>
        <v/>
      </c>
      <c r="F167" s="8">
        <f>IF($A167="","",PROPER(_xll.BDP($A167&amp;" Corp","COUNTRY_FULL_NAME")))</f>
        <v/>
      </c>
      <c r="G167" s="8">
        <f>IF($A167="","",_xll.BDP($A167&amp;" Corp","CRNCY"))</f>
        <v/>
      </c>
      <c r="H167" s="8">
        <f>IF($A167="","",IFERROR(INDEX(SYZ_static!$T$2:$T$806,MATCH($A167,SYZ_static!$A$2:$A$806,0)),_xll.BDP($A167&amp;" Corp","RTG_SP")))</f>
        <v/>
      </c>
      <c r="I167" s="8">
        <f>IF($A167="","",IFERROR(INDEX(SYZ_static!$S$2:$S$806,MATCH($A167,SYZ_static!$A$2:$A$806,0)),""))</f>
        <v/>
      </c>
      <c r="J167" s="8">
        <f>IF($A167="","",_xll.BDP($A167&amp;" Corp","PAYMENT_RANK"))</f>
        <v/>
      </c>
      <c r="K167" s="9">
        <f>IF($A167="","",_xll.BDP($A167&amp;" Corp","CPN"))</f>
        <v/>
      </c>
      <c r="L167" s="10">
        <f>IF($A167="","",_xll.BDP($A167&amp;" Corp","MATURITY"))</f>
        <v/>
      </c>
      <c r="M167" s="11">
        <f>IF($A167="","",IFERROR(_xll.BDP($A167&amp;" Corp","MIN_PIECE")/1000,""))</f>
        <v/>
      </c>
      <c r="N167" s="12">
        <f>IF($A167="","",_xll.BDP($A167&amp;" Corp","PX_LAST"))</f>
        <v/>
      </c>
      <c r="O167" s="12">
        <f>IF($A167="","",_xll.BDP($A167&amp;" Corp","YAS_BOND_YLD","YAS_YLD_FLAG=15"))</f>
        <v/>
      </c>
      <c r="P167" s="12">
        <f>IF($A167="","",_xll.BDP($A167&amp;" Corp","YAS_MOD_DUR"))</f>
        <v/>
      </c>
      <c r="Q167" s="13">
        <f>IF($A167="","",_xll.BDP($A167&amp;" Corp","YAS_OAS_SPRD"))</f>
        <v/>
      </c>
      <c r="R167" s="13">
        <f>IF($A167="","",_xll.BDP($A167&amp;" Corp","YAS_OAS_SPRD","SETTLE_DT",$B$2))</f>
        <v/>
      </c>
      <c r="S167" s="14">
        <f>IF($A167="","",IF(OR(NOT(ISNUMBER($Q167)),NOT(ISNUMBER($R167))),"",$Q167-$R167))</f>
        <v/>
      </c>
      <c r="T167" s="12">
        <f>IF($A167="","",_xll.BDP($A167&amp;" Corp","YAS_BOND_YLD","YAS_YLD_FLAG=15","SETTLE_DT",$B$2))</f>
        <v/>
      </c>
      <c r="U167" s="15">
        <f>IF($A167="","",IF(OR(NOT(ISNUMBER($O167)),NOT(ISNUMBER($T167))),"",$O167-$T167))</f>
        <v/>
      </c>
      <c r="V167" s="13">
        <f>IF(NOT(ISNUMBER($S167)),"",COUNTIFS($G$7:$G$850,$G167,$S$7:$S$850,"&gt;"&amp;$S167)+COUNTIFS($G$7:$G167,$G167,$S$7:$S167,$S167))</f>
        <v/>
      </c>
      <c r="W167" s="13">
        <f>IF(NOT(ISNUMBER($S167)),"",COUNTIFS($G$7:$G$850,$G167,$S$7:$S$850,"&lt;"&amp;$S167)+COUNTIFS($G$7:$G167,$G167,$S$7:$S167,$S167))</f>
        <v/>
      </c>
      <c r="X167" s="8">
        <f>IF($V167="","",$G167&amp;"|"&amp;$V167)</f>
        <v/>
      </c>
      <c r="Y167" s="8">
        <f>IF($W167="","",$G167&amp;"|"&amp;$W167)</f>
        <v/>
      </c>
    </row>
    <row r="168">
      <c r="A168" s="16" t="inlineStr">
        <is>
          <t>XS2406607098</t>
        </is>
      </c>
      <c r="B168" s="17">
        <f>IF($A168="","",PROPER(_xll.BDP($A168&amp;" Corp","NAME")))</f>
        <v/>
      </c>
      <c r="C168" s="17">
        <f>IF($A168="","",IFERROR(INDEX(Company_desc!$B$2:$B$1144,MATCH($A168,Company_desc!$A$2:$A$1144,0)),IFERROR(INDEX(SYZ_static!$Q$2:$Q$806,MATCH($A168,SYZ_static!$A$2:$A$806,0)),"")))</f>
        <v/>
      </c>
      <c r="D168" s="17">
        <f>IF($A168="","",IFERROR(INDEX(SYZ_static!$B$2:$B$806,MATCH($A168,SYZ_static!$A$2:$A$806,0)),""))</f>
        <v/>
      </c>
      <c r="E168" s="17">
        <f>IF($A168="","",_xll.BDP($A168&amp;" Corp","INDUSTRY_SECTOR"))</f>
        <v/>
      </c>
      <c r="F168" s="17">
        <f>IF($A168="","",PROPER(_xll.BDP($A168&amp;" Corp","COUNTRY_FULL_NAME")))</f>
        <v/>
      </c>
      <c r="G168" s="17">
        <f>IF($A168="","",_xll.BDP($A168&amp;" Corp","CRNCY"))</f>
        <v/>
      </c>
      <c r="H168" s="17">
        <f>IF($A168="","",IFERROR(INDEX(SYZ_static!$T$2:$T$806,MATCH($A168,SYZ_static!$A$2:$A$806,0)),_xll.BDP($A168&amp;" Corp","RTG_SP")))</f>
        <v/>
      </c>
      <c r="I168" s="17">
        <f>IF($A168="","",IFERROR(INDEX(SYZ_static!$S$2:$S$806,MATCH($A168,SYZ_static!$A$2:$A$806,0)),""))</f>
        <v/>
      </c>
      <c r="J168" s="17">
        <f>IF($A168="","",_xll.BDP($A168&amp;" Corp","PAYMENT_RANK"))</f>
        <v/>
      </c>
      <c r="K168" s="18">
        <f>IF($A168="","",_xll.BDP($A168&amp;" Corp","CPN"))</f>
        <v/>
      </c>
      <c r="L168" s="19">
        <f>IF($A168="","",_xll.BDP($A168&amp;" Corp","MATURITY"))</f>
        <v/>
      </c>
      <c r="M168" s="20">
        <f>IF($A168="","",IFERROR(_xll.BDP($A168&amp;" Corp","MIN_PIECE")/1000,""))</f>
        <v/>
      </c>
      <c r="N168" s="21">
        <f>IF($A168="","",_xll.BDP($A168&amp;" Corp","PX_LAST"))</f>
        <v/>
      </c>
      <c r="O168" s="21">
        <f>IF($A168="","",_xll.BDP($A168&amp;" Corp","YAS_BOND_YLD","YAS_YLD_FLAG=15"))</f>
        <v/>
      </c>
      <c r="P168" s="21">
        <f>IF($A168="","",_xll.BDP($A168&amp;" Corp","YAS_MOD_DUR"))</f>
        <v/>
      </c>
      <c r="Q168" s="22">
        <f>IF($A168="","",_xll.BDP($A168&amp;" Corp","YAS_OAS_SPRD"))</f>
        <v/>
      </c>
      <c r="R168" s="22">
        <f>IF($A168="","",_xll.BDP($A168&amp;" Corp","YAS_OAS_SPRD","SETTLE_DT",$B$2))</f>
        <v/>
      </c>
      <c r="S168" s="23">
        <f>IF($A168="","",IF(OR(NOT(ISNUMBER($Q168)),NOT(ISNUMBER($R168))),"",$Q168-$R168))</f>
        <v/>
      </c>
      <c r="T168" s="21">
        <f>IF($A168="","",_xll.BDP($A168&amp;" Corp","YAS_BOND_YLD","YAS_YLD_FLAG=15","SETTLE_DT",$B$2))</f>
        <v/>
      </c>
      <c r="U168" s="24">
        <f>IF($A168="","",IF(OR(NOT(ISNUMBER($O168)),NOT(ISNUMBER($T168))),"",$O168-$T168))</f>
        <v/>
      </c>
      <c r="V168" s="22">
        <f>IF(NOT(ISNUMBER($S168)),"",COUNTIFS($G$7:$G$850,$G168,$S$7:$S$850,"&gt;"&amp;$S168)+COUNTIFS($G$7:$G168,$G168,$S$7:$S168,$S168))</f>
        <v/>
      </c>
      <c r="W168" s="22">
        <f>IF(NOT(ISNUMBER($S168)),"",COUNTIFS($G$7:$G$850,$G168,$S$7:$S$850,"&lt;"&amp;$S168)+COUNTIFS($G$7:$G168,$G168,$S$7:$S168,$S168))</f>
        <v/>
      </c>
      <c r="X168" s="17">
        <f>IF($V168="","",$G168&amp;"|"&amp;$V168)</f>
        <v/>
      </c>
      <c r="Y168" s="17">
        <f>IF($W168="","",$G168&amp;"|"&amp;$W168)</f>
        <v/>
      </c>
    </row>
    <row r="169">
      <c r="A169" s="7" t="inlineStr">
        <is>
          <t>US91911TAK97</t>
        </is>
      </c>
      <c r="B169" s="8">
        <f>IF($A169="","",PROPER(_xll.BDP($A169&amp;" Corp","NAME")))</f>
        <v/>
      </c>
      <c r="C169" s="8">
        <f>IF($A169="","",IFERROR(INDEX(Company_desc!$B$2:$B$1144,MATCH($A169,Company_desc!$A$2:$A$1144,0)),IFERROR(INDEX(SYZ_static!$Q$2:$Q$806,MATCH($A169,SYZ_static!$A$2:$A$806,0)),"")))</f>
        <v/>
      </c>
      <c r="D169" s="8">
        <f>IF($A169="","",IFERROR(INDEX(SYZ_static!$B$2:$B$806,MATCH($A169,SYZ_static!$A$2:$A$806,0)),""))</f>
        <v/>
      </c>
      <c r="E169" s="8">
        <f>IF($A169="","",_xll.BDP($A169&amp;" Corp","INDUSTRY_SECTOR"))</f>
        <v/>
      </c>
      <c r="F169" s="8">
        <f>IF($A169="","",PROPER(_xll.BDP($A169&amp;" Corp","COUNTRY_FULL_NAME")))</f>
        <v/>
      </c>
      <c r="G169" s="8">
        <f>IF($A169="","",_xll.BDP($A169&amp;" Corp","CRNCY"))</f>
        <v/>
      </c>
      <c r="H169" s="8">
        <f>IF($A169="","",IFERROR(INDEX(SYZ_static!$T$2:$T$806,MATCH($A169,SYZ_static!$A$2:$A$806,0)),_xll.BDP($A169&amp;" Corp","RTG_SP")))</f>
        <v/>
      </c>
      <c r="I169" s="8">
        <f>IF($A169="","",IFERROR(INDEX(SYZ_static!$S$2:$S$806,MATCH($A169,SYZ_static!$A$2:$A$806,0)),""))</f>
        <v/>
      </c>
      <c r="J169" s="8">
        <f>IF($A169="","",_xll.BDP($A169&amp;" Corp","PAYMENT_RANK"))</f>
        <v/>
      </c>
      <c r="K169" s="9">
        <f>IF($A169="","",_xll.BDP($A169&amp;" Corp","CPN"))</f>
        <v/>
      </c>
      <c r="L169" s="10">
        <f>IF($A169="","",_xll.BDP($A169&amp;" Corp","MATURITY"))</f>
        <v/>
      </c>
      <c r="M169" s="11">
        <f>IF($A169="","",IFERROR(_xll.BDP($A169&amp;" Corp","MIN_PIECE")/1000,""))</f>
        <v/>
      </c>
      <c r="N169" s="12">
        <f>IF($A169="","",_xll.BDP($A169&amp;" Corp","PX_LAST"))</f>
        <v/>
      </c>
      <c r="O169" s="12">
        <f>IF($A169="","",_xll.BDP($A169&amp;" Corp","YAS_BOND_YLD","YAS_YLD_FLAG=15"))</f>
        <v/>
      </c>
      <c r="P169" s="12">
        <f>IF($A169="","",_xll.BDP($A169&amp;" Corp","YAS_MOD_DUR"))</f>
        <v/>
      </c>
      <c r="Q169" s="13">
        <f>IF($A169="","",_xll.BDP($A169&amp;" Corp","YAS_OAS_SPRD"))</f>
        <v/>
      </c>
      <c r="R169" s="13">
        <f>IF($A169="","",_xll.BDP($A169&amp;" Corp","YAS_OAS_SPRD","SETTLE_DT",$B$2))</f>
        <v/>
      </c>
      <c r="S169" s="14">
        <f>IF($A169="","",IF(OR(NOT(ISNUMBER($Q169)),NOT(ISNUMBER($R169))),"",$Q169-$R169))</f>
        <v/>
      </c>
      <c r="T169" s="12">
        <f>IF($A169="","",_xll.BDP($A169&amp;" Corp","YAS_BOND_YLD","YAS_YLD_FLAG=15","SETTLE_DT",$B$2))</f>
        <v/>
      </c>
      <c r="U169" s="15">
        <f>IF($A169="","",IF(OR(NOT(ISNUMBER($O169)),NOT(ISNUMBER($T169))),"",$O169-$T169))</f>
        <v/>
      </c>
      <c r="V169" s="13">
        <f>IF(NOT(ISNUMBER($S169)),"",COUNTIFS($G$7:$G$850,$G169,$S$7:$S$850,"&gt;"&amp;$S169)+COUNTIFS($G$7:$G169,$G169,$S$7:$S169,$S169))</f>
        <v/>
      </c>
      <c r="W169" s="13">
        <f>IF(NOT(ISNUMBER($S169)),"",COUNTIFS($G$7:$G$850,$G169,$S$7:$S$850,"&lt;"&amp;$S169)+COUNTIFS($G$7:$G169,$G169,$S$7:$S169,$S169))</f>
        <v/>
      </c>
      <c r="X169" s="8">
        <f>IF($V169="","",$G169&amp;"|"&amp;$V169)</f>
        <v/>
      </c>
      <c r="Y169" s="8">
        <f>IF($W169="","",$G169&amp;"|"&amp;$W169)</f>
        <v/>
      </c>
    </row>
    <row r="170">
      <c r="A170" s="16" t="inlineStr">
        <is>
          <t>XS2598063480</t>
        </is>
      </c>
      <c r="B170" s="17">
        <f>IF($A170="","",PROPER(_xll.BDP($A170&amp;" Corp","NAME")))</f>
        <v/>
      </c>
      <c r="C170" s="17">
        <f>IF($A170="","",IFERROR(INDEX(Company_desc!$B$2:$B$1144,MATCH($A170,Company_desc!$A$2:$A$1144,0)),IFERROR(INDEX(SYZ_static!$Q$2:$Q$806,MATCH($A170,SYZ_static!$A$2:$A$806,0)),"")))</f>
        <v/>
      </c>
      <c r="D170" s="17">
        <f>IF($A170="","",IFERROR(INDEX(SYZ_static!$B$2:$B$806,MATCH($A170,SYZ_static!$A$2:$A$806,0)),""))</f>
        <v/>
      </c>
      <c r="E170" s="17">
        <f>IF($A170="","",_xll.BDP($A170&amp;" Corp","INDUSTRY_SECTOR"))</f>
        <v/>
      </c>
      <c r="F170" s="17">
        <f>IF($A170="","",PROPER(_xll.BDP($A170&amp;" Corp","COUNTRY_FULL_NAME")))</f>
        <v/>
      </c>
      <c r="G170" s="17">
        <f>IF($A170="","",_xll.BDP($A170&amp;" Corp","CRNCY"))</f>
        <v/>
      </c>
      <c r="H170" s="17">
        <f>IF($A170="","",IFERROR(INDEX(SYZ_static!$T$2:$T$806,MATCH($A170,SYZ_static!$A$2:$A$806,0)),_xll.BDP($A170&amp;" Corp","RTG_SP")))</f>
        <v/>
      </c>
      <c r="I170" s="17">
        <f>IF($A170="","",IFERROR(INDEX(SYZ_static!$S$2:$S$806,MATCH($A170,SYZ_static!$A$2:$A$806,0)),""))</f>
        <v/>
      </c>
      <c r="J170" s="17">
        <f>IF($A170="","",_xll.BDP($A170&amp;" Corp","PAYMENT_RANK"))</f>
        <v/>
      </c>
      <c r="K170" s="18">
        <f>IF($A170="","",_xll.BDP($A170&amp;" Corp","CPN"))</f>
        <v/>
      </c>
      <c r="L170" s="19">
        <f>IF($A170="","",_xll.BDP($A170&amp;" Corp","MATURITY"))</f>
        <v/>
      </c>
      <c r="M170" s="20">
        <f>IF($A170="","",IFERROR(_xll.BDP($A170&amp;" Corp","MIN_PIECE")/1000,""))</f>
        <v/>
      </c>
      <c r="N170" s="21">
        <f>IF($A170="","",_xll.BDP($A170&amp;" Corp","PX_LAST"))</f>
        <v/>
      </c>
      <c r="O170" s="21">
        <f>IF($A170="","",_xll.BDP($A170&amp;" Corp","YAS_BOND_YLD","YAS_YLD_FLAG=15"))</f>
        <v/>
      </c>
      <c r="P170" s="21">
        <f>IF($A170="","",_xll.BDP($A170&amp;" Corp","YAS_MOD_DUR"))</f>
        <v/>
      </c>
      <c r="Q170" s="22">
        <f>IF($A170="","",_xll.BDP($A170&amp;" Corp","YAS_OAS_SPRD"))</f>
        <v/>
      </c>
      <c r="R170" s="22">
        <f>IF($A170="","",_xll.BDP($A170&amp;" Corp","YAS_OAS_SPRD","SETTLE_DT",$B$2))</f>
        <v/>
      </c>
      <c r="S170" s="23">
        <f>IF($A170="","",IF(OR(NOT(ISNUMBER($Q170)),NOT(ISNUMBER($R170))),"",$Q170-$R170))</f>
        <v/>
      </c>
      <c r="T170" s="21">
        <f>IF($A170="","",_xll.BDP($A170&amp;" Corp","YAS_BOND_YLD","YAS_YLD_FLAG=15","SETTLE_DT",$B$2))</f>
        <v/>
      </c>
      <c r="U170" s="24">
        <f>IF($A170="","",IF(OR(NOT(ISNUMBER($O170)),NOT(ISNUMBER($T170))),"",$O170-$T170))</f>
        <v/>
      </c>
      <c r="V170" s="22">
        <f>IF(NOT(ISNUMBER($S170)),"",COUNTIFS($G$7:$G$850,$G170,$S$7:$S$850,"&gt;"&amp;$S170)+COUNTIFS($G$7:$G170,$G170,$S$7:$S170,$S170))</f>
        <v/>
      </c>
      <c r="W170" s="22">
        <f>IF(NOT(ISNUMBER($S170)),"",COUNTIFS($G$7:$G$850,$G170,$S$7:$S$850,"&lt;"&amp;$S170)+COUNTIFS($G$7:$G170,$G170,$S$7:$S170,$S170))</f>
        <v/>
      </c>
      <c r="X170" s="17">
        <f>IF($V170="","",$G170&amp;"|"&amp;$V170)</f>
        <v/>
      </c>
      <c r="Y170" s="17">
        <f>IF($W170="","",$G170&amp;"|"&amp;$W170)</f>
        <v/>
      </c>
    </row>
    <row r="171">
      <c r="A171" s="7" t="inlineStr">
        <is>
          <t>XS2571922884</t>
        </is>
      </c>
      <c r="B171" s="8">
        <f>IF($A171="","",PROPER(_xll.BDP($A171&amp;" Corp","NAME")))</f>
        <v/>
      </c>
      <c r="C171" s="8">
        <f>IF($A171="","",IFERROR(INDEX(Company_desc!$B$2:$B$1144,MATCH($A171,Company_desc!$A$2:$A$1144,0)),IFERROR(INDEX(SYZ_static!$Q$2:$Q$806,MATCH($A171,SYZ_static!$A$2:$A$806,0)),"")))</f>
        <v/>
      </c>
      <c r="D171" s="8">
        <f>IF($A171="","",IFERROR(INDEX(SYZ_static!$B$2:$B$806,MATCH($A171,SYZ_static!$A$2:$A$806,0)),""))</f>
        <v/>
      </c>
      <c r="E171" s="8">
        <f>IF($A171="","",_xll.BDP($A171&amp;" Corp","INDUSTRY_SECTOR"))</f>
        <v/>
      </c>
      <c r="F171" s="8">
        <f>IF($A171="","",PROPER(_xll.BDP($A171&amp;" Corp","COUNTRY_FULL_NAME")))</f>
        <v/>
      </c>
      <c r="G171" s="8">
        <f>IF($A171="","",_xll.BDP($A171&amp;" Corp","CRNCY"))</f>
        <v/>
      </c>
      <c r="H171" s="8">
        <f>IF($A171="","",IFERROR(INDEX(SYZ_static!$T$2:$T$806,MATCH($A171,SYZ_static!$A$2:$A$806,0)),_xll.BDP($A171&amp;" Corp","RTG_SP")))</f>
        <v/>
      </c>
      <c r="I171" s="8">
        <f>IF($A171="","",IFERROR(INDEX(SYZ_static!$S$2:$S$806,MATCH($A171,SYZ_static!$A$2:$A$806,0)),""))</f>
        <v/>
      </c>
      <c r="J171" s="8">
        <f>IF($A171="","",_xll.BDP($A171&amp;" Corp","PAYMENT_RANK"))</f>
        <v/>
      </c>
      <c r="K171" s="9">
        <f>IF($A171="","",_xll.BDP($A171&amp;" Corp","CPN"))</f>
        <v/>
      </c>
      <c r="L171" s="10">
        <f>IF($A171="","",_xll.BDP($A171&amp;" Corp","MATURITY"))</f>
        <v/>
      </c>
      <c r="M171" s="11">
        <f>IF($A171="","",IFERROR(_xll.BDP($A171&amp;" Corp","MIN_PIECE")/1000,""))</f>
        <v/>
      </c>
      <c r="N171" s="12">
        <f>IF($A171="","",_xll.BDP($A171&amp;" Corp","PX_LAST"))</f>
        <v/>
      </c>
      <c r="O171" s="12">
        <f>IF($A171="","",_xll.BDP($A171&amp;" Corp","YAS_BOND_YLD","YAS_YLD_FLAG=15"))</f>
        <v/>
      </c>
      <c r="P171" s="12">
        <f>IF($A171="","",_xll.BDP($A171&amp;" Corp","YAS_MOD_DUR"))</f>
        <v/>
      </c>
      <c r="Q171" s="13">
        <f>IF($A171="","",_xll.BDP($A171&amp;" Corp","YAS_OAS_SPRD"))</f>
        <v/>
      </c>
      <c r="R171" s="13">
        <f>IF($A171="","",_xll.BDP($A171&amp;" Corp","YAS_OAS_SPRD","SETTLE_DT",$B$2))</f>
        <v/>
      </c>
      <c r="S171" s="14">
        <f>IF($A171="","",IF(OR(NOT(ISNUMBER($Q171)),NOT(ISNUMBER($R171))),"",$Q171-$R171))</f>
        <v/>
      </c>
      <c r="T171" s="12">
        <f>IF($A171="","",_xll.BDP($A171&amp;" Corp","YAS_BOND_YLD","YAS_YLD_FLAG=15","SETTLE_DT",$B$2))</f>
        <v/>
      </c>
      <c r="U171" s="15">
        <f>IF($A171="","",IF(OR(NOT(ISNUMBER($O171)),NOT(ISNUMBER($T171))),"",$O171-$T171))</f>
        <v/>
      </c>
      <c r="V171" s="13">
        <f>IF(NOT(ISNUMBER($S171)),"",COUNTIFS($G$7:$G$850,$G171,$S$7:$S$850,"&gt;"&amp;$S171)+COUNTIFS($G$7:$G171,$G171,$S$7:$S171,$S171))</f>
        <v/>
      </c>
      <c r="W171" s="13">
        <f>IF(NOT(ISNUMBER($S171)),"",COUNTIFS($G$7:$G$850,$G171,$S$7:$S$850,"&lt;"&amp;$S171)+COUNTIFS($G$7:$G171,$G171,$S$7:$S171,$S171))</f>
        <v/>
      </c>
      <c r="X171" s="8">
        <f>IF($V171="","",$G171&amp;"|"&amp;$V171)</f>
        <v/>
      </c>
      <c r="Y171" s="8">
        <f>IF($W171="","",$G171&amp;"|"&amp;$W171)</f>
        <v/>
      </c>
    </row>
    <row r="172">
      <c r="A172" s="16" t="inlineStr">
        <is>
          <t>XS2489775580</t>
        </is>
      </c>
      <c r="B172" s="17">
        <f>IF($A172="","",PROPER(_xll.BDP($A172&amp;" Corp","NAME")))</f>
        <v/>
      </c>
      <c r="C172" s="17">
        <f>IF($A172="","",IFERROR(INDEX(Company_desc!$B$2:$B$1144,MATCH($A172,Company_desc!$A$2:$A$1144,0)),IFERROR(INDEX(SYZ_static!$Q$2:$Q$806,MATCH($A172,SYZ_static!$A$2:$A$806,0)),"")))</f>
        <v/>
      </c>
      <c r="D172" s="17">
        <f>IF($A172="","",IFERROR(INDEX(SYZ_static!$B$2:$B$806,MATCH($A172,SYZ_static!$A$2:$A$806,0)),""))</f>
        <v/>
      </c>
      <c r="E172" s="17">
        <f>IF($A172="","",_xll.BDP($A172&amp;" Corp","INDUSTRY_SECTOR"))</f>
        <v/>
      </c>
      <c r="F172" s="17">
        <f>IF($A172="","",PROPER(_xll.BDP($A172&amp;" Corp","COUNTRY_FULL_NAME")))</f>
        <v/>
      </c>
      <c r="G172" s="17">
        <f>IF($A172="","",_xll.BDP($A172&amp;" Corp","CRNCY"))</f>
        <v/>
      </c>
      <c r="H172" s="17">
        <f>IF($A172="","",IFERROR(INDEX(SYZ_static!$T$2:$T$806,MATCH($A172,SYZ_static!$A$2:$A$806,0)),_xll.BDP($A172&amp;" Corp","RTG_SP")))</f>
        <v/>
      </c>
      <c r="I172" s="17">
        <f>IF($A172="","",IFERROR(INDEX(SYZ_static!$S$2:$S$806,MATCH($A172,SYZ_static!$A$2:$A$806,0)),""))</f>
        <v/>
      </c>
      <c r="J172" s="17">
        <f>IF($A172="","",_xll.BDP($A172&amp;" Corp","PAYMENT_RANK"))</f>
        <v/>
      </c>
      <c r="K172" s="18">
        <f>IF($A172="","",_xll.BDP($A172&amp;" Corp","CPN"))</f>
        <v/>
      </c>
      <c r="L172" s="19">
        <f>IF($A172="","",_xll.BDP($A172&amp;" Corp","MATURITY"))</f>
        <v/>
      </c>
      <c r="M172" s="20">
        <f>IF($A172="","",IFERROR(_xll.BDP($A172&amp;" Corp","MIN_PIECE")/1000,""))</f>
        <v/>
      </c>
      <c r="N172" s="21">
        <f>IF($A172="","",_xll.BDP($A172&amp;" Corp","PX_LAST"))</f>
        <v/>
      </c>
      <c r="O172" s="21">
        <f>IF($A172="","",_xll.BDP($A172&amp;" Corp","YAS_BOND_YLD","YAS_YLD_FLAG=15"))</f>
        <v/>
      </c>
      <c r="P172" s="21">
        <f>IF($A172="","",_xll.BDP($A172&amp;" Corp","YAS_MOD_DUR"))</f>
        <v/>
      </c>
      <c r="Q172" s="22">
        <f>IF($A172="","",_xll.BDP($A172&amp;" Corp","YAS_OAS_SPRD"))</f>
        <v/>
      </c>
      <c r="R172" s="22">
        <f>IF($A172="","",_xll.BDP($A172&amp;" Corp","YAS_OAS_SPRD","SETTLE_DT",$B$2))</f>
        <v/>
      </c>
      <c r="S172" s="23">
        <f>IF($A172="","",IF(OR(NOT(ISNUMBER($Q172)),NOT(ISNUMBER($R172))),"",$Q172-$R172))</f>
        <v/>
      </c>
      <c r="T172" s="21">
        <f>IF($A172="","",_xll.BDP($A172&amp;" Corp","YAS_BOND_YLD","YAS_YLD_FLAG=15","SETTLE_DT",$B$2))</f>
        <v/>
      </c>
      <c r="U172" s="24">
        <f>IF($A172="","",IF(OR(NOT(ISNUMBER($O172)),NOT(ISNUMBER($T172))),"",$O172-$T172))</f>
        <v/>
      </c>
      <c r="V172" s="22">
        <f>IF(NOT(ISNUMBER($S172)),"",COUNTIFS($G$7:$G$850,$G172,$S$7:$S$850,"&gt;"&amp;$S172)+COUNTIFS($G$7:$G172,$G172,$S$7:$S172,$S172))</f>
        <v/>
      </c>
      <c r="W172" s="22">
        <f>IF(NOT(ISNUMBER($S172)),"",COUNTIFS($G$7:$G$850,$G172,$S$7:$S$850,"&lt;"&amp;$S172)+COUNTIFS($G$7:$G172,$G172,$S$7:$S172,$S172))</f>
        <v/>
      </c>
      <c r="X172" s="17">
        <f>IF($V172="","",$G172&amp;"|"&amp;$V172)</f>
        <v/>
      </c>
      <c r="Y172" s="17">
        <f>IF($W172="","",$G172&amp;"|"&amp;$W172)</f>
        <v/>
      </c>
    </row>
    <row r="173">
      <c r="A173" s="7" t="inlineStr">
        <is>
          <t>FR001400WK79</t>
        </is>
      </c>
      <c r="B173" s="8">
        <f>IF($A173="","",PROPER(_xll.BDP($A173&amp;" Corp","NAME")))</f>
        <v/>
      </c>
      <c r="C173" s="8">
        <f>IF($A173="","",IFERROR(INDEX(Company_desc!$B$2:$B$1144,MATCH($A173,Company_desc!$A$2:$A$1144,0)),IFERROR(INDEX(SYZ_static!$Q$2:$Q$806,MATCH($A173,SYZ_static!$A$2:$A$806,0)),"")))</f>
        <v/>
      </c>
      <c r="D173" s="8">
        <f>IF($A173="","",IFERROR(INDEX(SYZ_static!$B$2:$B$806,MATCH($A173,SYZ_static!$A$2:$A$806,0)),""))</f>
        <v/>
      </c>
      <c r="E173" s="8">
        <f>IF($A173="","",_xll.BDP($A173&amp;" Corp","INDUSTRY_SECTOR"))</f>
        <v/>
      </c>
      <c r="F173" s="8">
        <f>IF($A173="","",PROPER(_xll.BDP($A173&amp;" Corp","COUNTRY_FULL_NAME")))</f>
        <v/>
      </c>
      <c r="G173" s="8">
        <f>IF($A173="","",_xll.BDP($A173&amp;" Corp","CRNCY"))</f>
        <v/>
      </c>
      <c r="H173" s="8">
        <f>IF($A173="","",IFERROR(INDEX(SYZ_static!$T$2:$T$806,MATCH($A173,SYZ_static!$A$2:$A$806,0)),_xll.BDP($A173&amp;" Corp","RTG_SP")))</f>
        <v/>
      </c>
      <c r="I173" s="8">
        <f>IF($A173="","",IFERROR(INDEX(SYZ_static!$S$2:$S$806,MATCH($A173,SYZ_static!$A$2:$A$806,0)),""))</f>
        <v/>
      </c>
      <c r="J173" s="8">
        <f>IF($A173="","",_xll.BDP($A173&amp;" Corp","PAYMENT_RANK"))</f>
        <v/>
      </c>
      <c r="K173" s="9">
        <f>IF($A173="","",_xll.BDP($A173&amp;" Corp","CPN"))</f>
        <v/>
      </c>
      <c r="L173" s="10">
        <f>IF($A173="","",_xll.BDP($A173&amp;" Corp","MATURITY"))</f>
        <v/>
      </c>
      <c r="M173" s="11">
        <f>IF($A173="","",IFERROR(_xll.BDP($A173&amp;" Corp","MIN_PIECE")/1000,""))</f>
        <v/>
      </c>
      <c r="N173" s="12">
        <f>IF($A173="","",_xll.BDP($A173&amp;" Corp","PX_LAST"))</f>
        <v/>
      </c>
      <c r="O173" s="12">
        <f>IF($A173="","",_xll.BDP($A173&amp;" Corp","YAS_BOND_YLD","YAS_YLD_FLAG=15"))</f>
        <v/>
      </c>
      <c r="P173" s="12">
        <f>IF($A173="","",_xll.BDP($A173&amp;" Corp","YAS_MOD_DUR"))</f>
        <v/>
      </c>
      <c r="Q173" s="13">
        <f>IF($A173="","",_xll.BDP($A173&amp;" Corp","YAS_OAS_SPRD"))</f>
        <v/>
      </c>
      <c r="R173" s="13">
        <f>IF($A173="","",_xll.BDP($A173&amp;" Corp","YAS_OAS_SPRD","SETTLE_DT",$B$2))</f>
        <v/>
      </c>
      <c r="S173" s="14">
        <f>IF($A173="","",IF(OR(NOT(ISNUMBER($Q173)),NOT(ISNUMBER($R173))),"",$Q173-$R173))</f>
        <v/>
      </c>
      <c r="T173" s="12">
        <f>IF($A173="","",_xll.BDP($A173&amp;" Corp","YAS_BOND_YLD","YAS_YLD_FLAG=15","SETTLE_DT",$B$2))</f>
        <v/>
      </c>
      <c r="U173" s="15">
        <f>IF($A173="","",IF(OR(NOT(ISNUMBER($O173)),NOT(ISNUMBER($T173))),"",$O173-$T173))</f>
        <v/>
      </c>
      <c r="V173" s="13">
        <f>IF(NOT(ISNUMBER($S173)),"",COUNTIFS($G$7:$G$850,$G173,$S$7:$S$850,"&gt;"&amp;$S173)+COUNTIFS($G$7:$G173,$G173,$S$7:$S173,$S173))</f>
        <v/>
      </c>
      <c r="W173" s="13">
        <f>IF(NOT(ISNUMBER($S173)),"",COUNTIFS($G$7:$G$850,$G173,$S$7:$S$850,"&lt;"&amp;$S173)+COUNTIFS($G$7:$G173,$G173,$S$7:$S173,$S173))</f>
        <v/>
      </c>
      <c r="X173" s="8">
        <f>IF($V173="","",$G173&amp;"|"&amp;$V173)</f>
        <v/>
      </c>
      <c r="Y173" s="8">
        <f>IF($W173="","",$G173&amp;"|"&amp;$W173)</f>
        <v/>
      </c>
    </row>
    <row r="174">
      <c r="A174" s="16" t="inlineStr">
        <is>
          <t>XS2592017300</t>
        </is>
      </c>
      <c r="B174" s="17">
        <f>IF($A174="","",PROPER(_xll.BDP($A174&amp;" Corp","NAME")))</f>
        <v/>
      </c>
      <c r="C174" s="17">
        <f>IF($A174="","",IFERROR(INDEX(Company_desc!$B$2:$B$1144,MATCH($A174,Company_desc!$A$2:$A$1144,0)),IFERROR(INDEX(SYZ_static!$Q$2:$Q$806,MATCH($A174,SYZ_static!$A$2:$A$806,0)),"")))</f>
        <v/>
      </c>
      <c r="D174" s="17">
        <f>IF($A174="","",IFERROR(INDEX(SYZ_static!$B$2:$B$806,MATCH($A174,SYZ_static!$A$2:$A$806,0)),""))</f>
        <v/>
      </c>
      <c r="E174" s="17">
        <f>IF($A174="","",_xll.BDP($A174&amp;" Corp","INDUSTRY_SECTOR"))</f>
        <v/>
      </c>
      <c r="F174" s="17">
        <f>IF($A174="","",PROPER(_xll.BDP($A174&amp;" Corp","COUNTRY_FULL_NAME")))</f>
        <v/>
      </c>
      <c r="G174" s="17">
        <f>IF($A174="","",_xll.BDP($A174&amp;" Corp","CRNCY"))</f>
        <v/>
      </c>
      <c r="H174" s="17">
        <f>IF($A174="","",IFERROR(INDEX(SYZ_static!$T$2:$T$806,MATCH($A174,SYZ_static!$A$2:$A$806,0)),_xll.BDP($A174&amp;" Corp","RTG_SP")))</f>
        <v/>
      </c>
      <c r="I174" s="17">
        <f>IF($A174="","",IFERROR(INDEX(SYZ_static!$S$2:$S$806,MATCH($A174,SYZ_static!$A$2:$A$806,0)),""))</f>
        <v/>
      </c>
      <c r="J174" s="17">
        <f>IF($A174="","",_xll.BDP($A174&amp;" Corp","PAYMENT_RANK"))</f>
        <v/>
      </c>
      <c r="K174" s="18">
        <f>IF($A174="","",_xll.BDP($A174&amp;" Corp","CPN"))</f>
        <v/>
      </c>
      <c r="L174" s="19">
        <f>IF($A174="","",_xll.BDP($A174&amp;" Corp","MATURITY"))</f>
        <v/>
      </c>
      <c r="M174" s="20">
        <f>IF($A174="","",IFERROR(_xll.BDP($A174&amp;" Corp","MIN_PIECE")/1000,""))</f>
        <v/>
      </c>
      <c r="N174" s="21">
        <f>IF($A174="","",_xll.BDP($A174&amp;" Corp","PX_LAST"))</f>
        <v/>
      </c>
      <c r="O174" s="21">
        <f>IF($A174="","",_xll.BDP($A174&amp;" Corp","YAS_BOND_YLD","YAS_YLD_FLAG=15"))</f>
        <v/>
      </c>
      <c r="P174" s="21">
        <f>IF($A174="","",_xll.BDP($A174&amp;" Corp","YAS_MOD_DUR"))</f>
        <v/>
      </c>
      <c r="Q174" s="22">
        <f>IF($A174="","",_xll.BDP($A174&amp;" Corp","YAS_OAS_SPRD"))</f>
        <v/>
      </c>
      <c r="R174" s="22">
        <f>IF($A174="","",_xll.BDP($A174&amp;" Corp","YAS_OAS_SPRD","SETTLE_DT",$B$2))</f>
        <v/>
      </c>
      <c r="S174" s="23">
        <f>IF($A174="","",IF(OR(NOT(ISNUMBER($Q174)),NOT(ISNUMBER($R174))),"",$Q174-$R174))</f>
        <v/>
      </c>
      <c r="T174" s="21">
        <f>IF($A174="","",_xll.BDP($A174&amp;" Corp","YAS_BOND_YLD","YAS_YLD_FLAG=15","SETTLE_DT",$B$2))</f>
        <v/>
      </c>
      <c r="U174" s="24">
        <f>IF($A174="","",IF(OR(NOT(ISNUMBER($O174)),NOT(ISNUMBER($T174))),"",$O174-$T174))</f>
        <v/>
      </c>
      <c r="V174" s="22">
        <f>IF(NOT(ISNUMBER($S174)),"",COUNTIFS($G$7:$G$850,$G174,$S$7:$S$850,"&gt;"&amp;$S174)+COUNTIFS($G$7:$G174,$G174,$S$7:$S174,$S174))</f>
        <v/>
      </c>
      <c r="W174" s="22">
        <f>IF(NOT(ISNUMBER($S174)),"",COUNTIFS($G$7:$G$850,$G174,$S$7:$S$850,"&lt;"&amp;$S174)+COUNTIFS($G$7:$G174,$G174,$S$7:$S174,$S174))</f>
        <v/>
      </c>
      <c r="X174" s="17">
        <f>IF($V174="","",$G174&amp;"|"&amp;$V174)</f>
        <v/>
      </c>
      <c r="Y174" s="17">
        <f>IF($W174="","",$G174&amp;"|"&amp;$W174)</f>
        <v/>
      </c>
    </row>
    <row r="175">
      <c r="A175" s="7" t="inlineStr">
        <is>
          <t>US71647NAZ24</t>
        </is>
      </c>
      <c r="B175" s="8">
        <f>IF($A175="","",PROPER(_xll.BDP($A175&amp;" Corp","NAME")))</f>
        <v/>
      </c>
      <c r="C175" s="8">
        <f>IF($A175="","",IFERROR(INDEX(Company_desc!$B$2:$B$1144,MATCH($A175,Company_desc!$A$2:$A$1144,0)),IFERROR(INDEX(SYZ_static!$Q$2:$Q$806,MATCH($A175,SYZ_static!$A$2:$A$806,0)),"")))</f>
        <v/>
      </c>
      <c r="D175" s="8">
        <f>IF($A175="","",IFERROR(INDEX(SYZ_static!$B$2:$B$806,MATCH($A175,SYZ_static!$A$2:$A$806,0)),""))</f>
        <v/>
      </c>
      <c r="E175" s="8">
        <f>IF($A175="","",_xll.BDP($A175&amp;" Corp","INDUSTRY_SECTOR"))</f>
        <v/>
      </c>
      <c r="F175" s="8">
        <f>IF($A175="","",PROPER(_xll.BDP($A175&amp;" Corp","COUNTRY_FULL_NAME")))</f>
        <v/>
      </c>
      <c r="G175" s="8">
        <f>IF($A175="","",_xll.BDP($A175&amp;" Corp","CRNCY"))</f>
        <v/>
      </c>
      <c r="H175" s="8">
        <f>IF($A175="","",IFERROR(INDEX(SYZ_static!$T$2:$T$806,MATCH($A175,SYZ_static!$A$2:$A$806,0)),_xll.BDP($A175&amp;" Corp","RTG_SP")))</f>
        <v/>
      </c>
      <c r="I175" s="8">
        <f>IF($A175="","",IFERROR(INDEX(SYZ_static!$S$2:$S$806,MATCH($A175,SYZ_static!$A$2:$A$806,0)),""))</f>
        <v/>
      </c>
      <c r="J175" s="8">
        <f>IF($A175="","",_xll.BDP($A175&amp;" Corp","PAYMENT_RANK"))</f>
        <v/>
      </c>
      <c r="K175" s="9">
        <f>IF($A175="","",_xll.BDP($A175&amp;" Corp","CPN"))</f>
        <v/>
      </c>
      <c r="L175" s="10">
        <f>IF($A175="","",_xll.BDP($A175&amp;" Corp","MATURITY"))</f>
        <v/>
      </c>
      <c r="M175" s="11">
        <f>IF($A175="","",IFERROR(_xll.BDP($A175&amp;" Corp","MIN_PIECE")/1000,""))</f>
        <v/>
      </c>
      <c r="N175" s="12">
        <f>IF($A175="","",_xll.BDP($A175&amp;" Corp","PX_LAST"))</f>
        <v/>
      </c>
      <c r="O175" s="12">
        <f>IF($A175="","",_xll.BDP($A175&amp;" Corp","YAS_BOND_YLD","YAS_YLD_FLAG=15"))</f>
        <v/>
      </c>
      <c r="P175" s="12">
        <f>IF($A175="","",_xll.BDP($A175&amp;" Corp","YAS_MOD_DUR"))</f>
        <v/>
      </c>
      <c r="Q175" s="13">
        <f>IF($A175="","",_xll.BDP($A175&amp;" Corp","YAS_OAS_SPRD"))</f>
        <v/>
      </c>
      <c r="R175" s="13">
        <f>IF($A175="","",_xll.BDP($A175&amp;" Corp","YAS_OAS_SPRD","SETTLE_DT",$B$2))</f>
        <v/>
      </c>
      <c r="S175" s="14">
        <f>IF($A175="","",IF(OR(NOT(ISNUMBER($Q175)),NOT(ISNUMBER($R175))),"",$Q175-$R175))</f>
        <v/>
      </c>
      <c r="T175" s="12">
        <f>IF($A175="","",_xll.BDP($A175&amp;" Corp","YAS_BOND_YLD","YAS_YLD_FLAG=15","SETTLE_DT",$B$2))</f>
        <v/>
      </c>
      <c r="U175" s="15">
        <f>IF($A175="","",IF(OR(NOT(ISNUMBER($O175)),NOT(ISNUMBER($T175))),"",$O175-$T175))</f>
        <v/>
      </c>
      <c r="V175" s="13">
        <f>IF(NOT(ISNUMBER($S175)),"",COUNTIFS($G$7:$G$850,$G175,$S$7:$S$850,"&gt;"&amp;$S175)+COUNTIFS($G$7:$G175,$G175,$S$7:$S175,$S175))</f>
        <v/>
      </c>
      <c r="W175" s="13">
        <f>IF(NOT(ISNUMBER($S175)),"",COUNTIFS($G$7:$G$850,$G175,$S$7:$S$850,"&lt;"&amp;$S175)+COUNTIFS($G$7:$G175,$G175,$S$7:$S175,$S175))</f>
        <v/>
      </c>
      <c r="X175" s="8">
        <f>IF($V175="","",$G175&amp;"|"&amp;$V175)</f>
        <v/>
      </c>
      <c r="Y175" s="8">
        <f>IF($W175="","",$G175&amp;"|"&amp;$W175)</f>
        <v/>
      </c>
    </row>
    <row r="176">
      <c r="A176" s="16" t="inlineStr">
        <is>
          <t>US91087BAM28</t>
        </is>
      </c>
      <c r="B176" s="17">
        <f>IF($A176="","",PROPER(_xll.BDP($A176&amp;" Corp","NAME")))</f>
        <v/>
      </c>
      <c r="C176" s="17">
        <f>IF($A176="","",IFERROR(INDEX(Company_desc!$B$2:$B$1144,MATCH($A176,Company_desc!$A$2:$A$1144,0)),IFERROR(INDEX(SYZ_static!$Q$2:$Q$806,MATCH($A176,SYZ_static!$A$2:$A$806,0)),"")))</f>
        <v/>
      </c>
      <c r="D176" s="17">
        <f>IF($A176="","",IFERROR(INDEX(SYZ_static!$B$2:$B$806,MATCH($A176,SYZ_static!$A$2:$A$806,0)),""))</f>
        <v/>
      </c>
      <c r="E176" s="17">
        <f>IF($A176="","",_xll.BDP($A176&amp;" Corp","INDUSTRY_SECTOR"))</f>
        <v/>
      </c>
      <c r="F176" s="17">
        <f>IF($A176="","",PROPER(_xll.BDP($A176&amp;" Corp","COUNTRY_FULL_NAME")))</f>
        <v/>
      </c>
      <c r="G176" s="17">
        <f>IF($A176="","",_xll.BDP($A176&amp;" Corp","CRNCY"))</f>
        <v/>
      </c>
      <c r="H176" s="17">
        <f>IF($A176="","",IFERROR(INDEX(SYZ_static!$T$2:$T$806,MATCH($A176,SYZ_static!$A$2:$A$806,0)),_xll.BDP($A176&amp;" Corp","RTG_SP")))</f>
        <v/>
      </c>
      <c r="I176" s="17">
        <f>IF($A176="","",IFERROR(INDEX(SYZ_static!$S$2:$S$806,MATCH($A176,SYZ_static!$A$2:$A$806,0)),""))</f>
        <v/>
      </c>
      <c r="J176" s="17">
        <f>IF($A176="","",_xll.BDP($A176&amp;" Corp","PAYMENT_RANK"))</f>
        <v/>
      </c>
      <c r="K176" s="18">
        <f>IF($A176="","",_xll.BDP($A176&amp;" Corp","CPN"))</f>
        <v/>
      </c>
      <c r="L176" s="19">
        <f>IF($A176="","",_xll.BDP($A176&amp;" Corp","MATURITY"))</f>
        <v/>
      </c>
      <c r="M176" s="20">
        <f>IF($A176="","",IFERROR(_xll.BDP($A176&amp;" Corp","MIN_PIECE")/1000,""))</f>
        <v/>
      </c>
      <c r="N176" s="21">
        <f>IF($A176="","",_xll.BDP($A176&amp;" Corp","PX_LAST"))</f>
        <v/>
      </c>
      <c r="O176" s="21">
        <f>IF($A176="","",_xll.BDP($A176&amp;" Corp","YAS_BOND_YLD","YAS_YLD_FLAG=15"))</f>
        <v/>
      </c>
      <c r="P176" s="21">
        <f>IF($A176="","",_xll.BDP($A176&amp;" Corp","YAS_MOD_DUR"))</f>
        <v/>
      </c>
      <c r="Q176" s="22">
        <f>IF($A176="","",_xll.BDP($A176&amp;" Corp","YAS_OAS_SPRD"))</f>
        <v/>
      </c>
      <c r="R176" s="22">
        <f>IF($A176="","",_xll.BDP($A176&amp;" Corp","YAS_OAS_SPRD","SETTLE_DT",$B$2))</f>
        <v/>
      </c>
      <c r="S176" s="23">
        <f>IF($A176="","",IF(OR(NOT(ISNUMBER($Q176)),NOT(ISNUMBER($R176))),"",$Q176-$R176))</f>
        <v/>
      </c>
      <c r="T176" s="21">
        <f>IF($A176="","",_xll.BDP($A176&amp;" Corp","YAS_BOND_YLD","YAS_YLD_FLAG=15","SETTLE_DT",$B$2))</f>
        <v/>
      </c>
      <c r="U176" s="24">
        <f>IF($A176="","",IF(OR(NOT(ISNUMBER($O176)),NOT(ISNUMBER($T176))),"",$O176-$T176))</f>
        <v/>
      </c>
      <c r="V176" s="22">
        <f>IF(NOT(ISNUMBER($S176)),"",COUNTIFS($G$7:$G$850,$G176,$S$7:$S$850,"&gt;"&amp;$S176)+COUNTIFS($G$7:$G176,$G176,$S$7:$S176,$S176))</f>
        <v/>
      </c>
      <c r="W176" s="22">
        <f>IF(NOT(ISNUMBER($S176)),"",COUNTIFS($G$7:$G$850,$G176,$S$7:$S$850,"&lt;"&amp;$S176)+COUNTIFS($G$7:$G176,$G176,$S$7:$S176,$S176))</f>
        <v/>
      </c>
      <c r="X176" s="17">
        <f>IF($V176="","",$G176&amp;"|"&amp;$V176)</f>
        <v/>
      </c>
      <c r="Y176" s="17">
        <f>IF($W176="","",$G176&amp;"|"&amp;$W176)</f>
        <v/>
      </c>
    </row>
    <row r="177">
      <c r="A177" s="7" t="inlineStr">
        <is>
          <t>USN7163RAX19</t>
        </is>
      </c>
      <c r="B177" s="8">
        <f>IF($A177="","",PROPER(_xll.BDP($A177&amp;" Corp","NAME")))</f>
        <v/>
      </c>
      <c r="C177" s="8">
        <f>IF($A177="","",IFERROR(INDEX(Company_desc!$B$2:$B$1144,MATCH($A177,Company_desc!$A$2:$A$1144,0)),IFERROR(INDEX(SYZ_static!$Q$2:$Q$806,MATCH($A177,SYZ_static!$A$2:$A$806,0)),"")))</f>
        <v/>
      </c>
      <c r="D177" s="8">
        <f>IF($A177="","",IFERROR(INDEX(SYZ_static!$B$2:$B$806,MATCH($A177,SYZ_static!$A$2:$A$806,0)),""))</f>
        <v/>
      </c>
      <c r="E177" s="8">
        <f>IF($A177="","",_xll.BDP($A177&amp;" Corp","INDUSTRY_SECTOR"))</f>
        <v/>
      </c>
      <c r="F177" s="8">
        <f>IF($A177="","",PROPER(_xll.BDP($A177&amp;" Corp","COUNTRY_FULL_NAME")))</f>
        <v/>
      </c>
      <c r="G177" s="8">
        <f>IF($A177="","",_xll.BDP($A177&amp;" Corp","CRNCY"))</f>
        <v/>
      </c>
      <c r="H177" s="8">
        <f>IF($A177="","",IFERROR(INDEX(SYZ_static!$T$2:$T$806,MATCH($A177,SYZ_static!$A$2:$A$806,0)),_xll.BDP($A177&amp;" Corp","RTG_SP")))</f>
        <v/>
      </c>
      <c r="I177" s="8">
        <f>IF($A177="","",IFERROR(INDEX(SYZ_static!$S$2:$S$806,MATCH($A177,SYZ_static!$A$2:$A$806,0)),""))</f>
        <v/>
      </c>
      <c r="J177" s="8">
        <f>IF($A177="","",_xll.BDP($A177&amp;" Corp","PAYMENT_RANK"))</f>
        <v/>
      </c>
      <c r="K177" s="9">
        <f>IF($A177="","",_xll.BDP($A177&amp;" Corp","CPN"))</f>
        <v/>
      </c>
      <c r="L177" s="10">
        <f>IF($A177="","",_xll.BDP($A177&amp;" Corp","MATURITY"))</f>
        <v/>
      </c>
      <c r="M177" s="11">
        <f>IF($A177="","",IFERROR(_xll.BDP($A177&amp;" Corp","MIN_PIECE")/1000,""))</f>
        <v/>
      </c>
      <c r="N177" s="12">
        <f>IF($A177="","",_xll.BDP($A177&amp;" Corp","PX_LAST"))</f>
        <v/>
      </c>
      <c r="O177" s="12">
        <f>IF($A177="","",_xll.BDP($A177&amp;" Corp","YAS_BOND_YLD","YAS_YLD_FLAG=15"))</f>
        <v/>
      </c>
      <c r="P177" s="12">
        <f>IF($A177="","",_xll.BDP($A177&amp;" Corp","YAS_MOD_DUR"))</f>
        <v/>
      </c>
      <c r="Q177" s="13">
        <f>IF($A177="","",_xll.BDP($A177&amp;" Corp","YAS_OAS_SPRD"))</f>
        <v/>
      </c>
      <c r="R177" s="13">
        <f>IF($A177="","",_xll.BDP($A177&amp;" Corp","YAS_OAS_SPRD","SETTLE_DT",$B$2))</f>
        <v/>
      </c>
      <c r="S177" s="14">
        <f>IF($A177="","",IF(OR(NOT(ISNUMBER($Q177)),NOT(ISNUMBER($R177))),"",$Q177-$R177))</f>
        <v/>
      </c>
      <c r="T177" s="12">
        <f>IF($A177="","",_xll.BDP($A177&amp;" Corp","YAS_BOND_YLD","YAS_YLD_FLAG=15","SETTLE_DT",$B$2))</f>
        <v/>
      </c>
      <c r="U177" s="15">
        <f>IF($A177="","",IF(OR(NOT(ISNUMBER($O177)),NOT(ISNUMBER($T177))),"",$O177-$T177))</f>
        <v/>
      </c>
      <c r="V177" s="13">
        <f>IF(NOT(ISNUMBER($S177)),"",COUNTIFS($G$7:$G$850,$G177,$S$7:$S$850,"&gt;"&amp;$S177)+COUNTIFS($G$7:$G177,$G177,$S$7:$S177,$S177))</f>
        <v/>
      </c>
      <c r="W177" s="13">
        <f>IF(NOT(ISNUMBER($S177)),"",COUNTIFS($G$7:$G$850,$G177,$S$7:$S$850,"&lt;"&amp;$S177)+COUNTIFS($G$7:$G177,$G177,$S$7:$S177,$S177))</f>
        <v/>
      </c>
      <c r="X177" s="8">
        <f>IF($V177="","",$G177&amp;"|"&amp;$V177)</f>
        <v/>
      </c>
      <c r="Y177" s="8">
        <f>IF($W177="","",$G177&amp;"|"&amp;$W177)</f>
        <v/>
      </c>
    </row>
    <row r="178">
      <c r="A178" s="16" t="inlineStr">
        <is>
          <t>USL6401PAH66</t>
        </is>
      </c>
      <c r="B178" s="17">
        <f>IF($A178="","",PROPER(_xll.BDP($A178&amp;" Corp","NAME")))</f>
        <v/>
      </c>
      <c r="C178" s="17">
        <f>IF($A178="","",IFERROR(INDEX(Company_desc!$B$2:$B$1144,MATCH($A178,Company_desc!$A$2:$A$1144,0)),IFERROR(INDEX(SYZ_static!$Q$2:$Q$806,MATCH($A178,SYZ_static!$A$2:$A$806,0)),"")))</f>
        <v/>
      </c>
      <c r="D178" s="17">
        <f>IF($A178="","",IFERROR(INDEX(SYZ_static!$B$2:$B$806,MATCH($A178,SYZ_static!$A$2:$A$806,0)),""))</f>
        <v/>
      </c>
      <c r="E178" s="17">
        <f>IF($A178="","",_xll.BDP($A178&amp;" Corp","INDUSTRY_SECTOR"))</f>
        <v/>
      </c>
      <c r="F178" s="17">
        <f>IF($A178="","",PROPER(_xll.BDP($A178&amp;" Corp","COUNTRY_FULL_NAME")))</f>
        <v/>
      </c>
      <c r="G178" s="17">
        <f>IF($A178="","",_xll.BDP($A178&amp;" Corp","CRNCY"))</f>
        <v/>
      </c>
      <c r="H178" s="17">
        <f>IF($A178="","",IFERROR(INDEX(SYZ_static!$T$2:$T$806,MATCH($A178,SYZ_static!$A$2:$A$806,0)),_xll.BDP($A178&amp;" Corp","RTG_SP")))</f>
        <v/>
      </c>
      <c r="I178" s="17">
        <f>IF($A178="","",IFERROR(INDEX(SYZ_static!$S$2:$S$806,MATCH($A178,SYZ_static!$A$2:$A$806,0)),""))</f>
        <v/>
      </c>
      <c r="J178" s="17">
        <f>IF($A178="","",_xll.BDP($A178&amp;" Corp","PAYMENT_RANK"))</f>
        <v/>
      </c>
      <c r="K178" s="18">
        <f>IF($A178="","",_xll.BDP($A178&amp;" Corp","CPN"))</f>
        <v/>
      </c>
      <c r="L178" s="19">
        <f>IF($A178="","",_xll.BDP($A178&amp;" Corp","MATURITY"))</f>
        <v/>
      </c>
      <c r="M178" s="20">
        <f>IF($A178="","",IFERROR(_xll.BDP($A178&amp;" Corp","MIN_PIECE")/1000,""))</f>
        <v/>
      </c>
      <c r="N178" s="21">
        <f>IF($A178="","",_xll.BDP($A178&amp;" Corp","PX_LAST"))</f>
        <v/>
      </c>
      <c r="O178" s="21">
        <f>IF($A178="","",_xll.BDP($A178&amp;" Corp","YAS_BOND_YLD","YAS_YLD_FLAG=15"))</f>
        <v/>
      </c>
      <c r="P178" s="21">
        <f>IF($A178="","",_xll.BDP($A178&amp;" Corp","YAS_MOD_DUR"))</f>
        <v/>
      </c>
      <c r="Q178" s="22">
        <f>IF($A178="","",_xll.BDP($A178&amp;" Corp","YAS_OAS_SPRD"))</f>
        <v/>
      </c>
      <c r="R178" s="22">
        <f>IF($A178="","",_xll.BDP($A178&amp;" Corp","YAS_OAS_SPRD","SETTLE_DT",$B$2))</f>
        <v/>
      </c>
      <c r="S178" s="23">
        <f>IF($A178="","",IF(OR(NOT(ISNUMBER($Q178)),NOT(ISNUMBER($R178))),"",$Q178-$R178))</f>
        <v/>
      </c>
      <c r="T178" s="21">
        <f>IF($A178="","",_xll.BDP($A178&amp;" Corp","YAS_BOND_YLD","YAS_YLD_FLAG=15","SETTLE_DT",$B$2))</f>
        <v/>
      </c>
      <c r="U178" s="24">
        <f>IF($A178="","",IF(OR(NOT(ISNUMBER($O178)),NOT(ISNUMBER($T178))),"",$O178-$T178))</f>
        <v/>
      </c>
      <c r="V178" s="22">
        <f>IF(NOT(ISNUMBER($S178)),"",COUNTIFS($G$7:$G$850,$G178,$S$7:$S$850,"&gt;"&amp;$S178)+COUNTIFS($G$7:$G178,$G178,$S$7:$S178,$S178))</f>
        <v/>
      </c>
      <c r="W178" s="22">
        <f>IF(NOT(ISNUMBER($S178)),"",COUNTIFS($G$7:$G$850,$G178,$S$7:$S$850,"&lt;"&amp;$S178)+COUNTIFS($G$7:$G178,$G178,$S$7:$S178,$S178))</f>
        <v/>
      </c>
      <c r="X178" s="17">
        <f>IF($V178="","",$G178&amp;"|"&amp;$V178)</f>
        <v/>
      </c>
      <c r="Y178" s="17">
        <f>IF($W178="","",$G178&amp;"|"&amp;$W178)</f>
        <v/>
      </c>
    </row>
    <row r="179">
      <c r="A179" s="7" t="inlineStr">
        <is>
          <t>US46647PEC68</t>
        </is>
      </c>
      <c r="B179" s="8">
        <f>IF($A179="","",PROPER(_xll.BDP($A179&amp;" Corp","NAME")))</f>
        <v/>
      </c>
      <c r="C179" s="8">
        <f>IF($A179="","",IFERROR(INDEX(Company_desc!$B$2:$B$1144,MATCH($A179,Company_desc!$A$2:$A$1144,0)),IFERROR(INDEX(SYZ_static!$Q$2:$Q$806,MATCH($A179,SYZ_static!$A$2:$A$806,0)),"")))</f>
        <v/>
      </c>
      <c r="D179" s="8">
        <f>IF($A179="","",IFERROR(INDEX(SYZ_static!$B$2:$B$806,MATCH($A179,SYZ_static!$A$2:$A$806,0)),""))</f>
        <v/>
      </c>
      <c r="E179" s="8">
        <f>IF($A179="","",_xll.BDP($A179&amp;" Corp","INDUSTRY_SECTOR"))</f>
        <v/>
      </c>
      <c r="F179" s="8">
        <f>IF($A179="","",PROPER(_xll.BDP($A179&amp;" Corp","COUNTRY_FULL_NAME")))</f>
        <v/>
      </c>
      <c r="G179" s="8">
        <f>IF($A179="","",_xll.BDP($A179&amp;" Corp","CRNCY"))</f>
        <v/>
      </c>
      <c r="H179" s="8">
        <f>IF($A179="","",IFERROR(INDEX(SYZ_static!$T$2:$T$806,MATCH($A179,SYZ_static!$A$2:$A$806,0)),_xll.BDP($A179&amp;" Corp","RTG_SP")))</f>
        <v/>
      </c>
      <c r="I179" s="8">
        <f>IF($A179="","",IFERROR(INDEX(SYZ_static!$S$2:$S$806,MATCH($A179,SYZ_static!$A$2:$A$806,0)),""))</f>
        <v/>
      </c>
      <c r="J179" s="8">
        <f>IF($A179="","",_xll.BDP($A179&amp;" Corp","PAYMENT_RANK"))</f>
        <v/>
      </c>
      <c r="K179" s="9">
        <f>IF($A179="","",_xll.BDP($A179&amp;" Corp","CPN"))</f>
        <v/>
      </c>
      <c r="L179" s="10">
        <f>IF($A179="","",_xll.BDP($A179&amp;" Corp","MATURITY"))</f>
        <v/>
      </c>
      <c r="M179" s="11">
        <f>IF($A179="","",IFERROR(_xll.BDP($A179&amp;" Corp","MIN_PIECE")/1000,""))</f>
        <v/>
      </c>
      <c r="N179" s="12">
        <f>IF($A179="","",_xll.BDP($A179&amp;" Corp","PX_LAST"))</f>
        <v/>
      </c>
      <c r="O179" s="12">
        <f>IF($A179="","",_xll.BDP($A179&amp;" Corp","YAS_BOND_YLD","YAS_YLD_FLAG=15"))</f>
        <v/>
      </c>
      <c r="P179" s="12">
        <f>IF($A179="","",_xll.BDP($A179&amp;" Corp","YAS_MOD_DUR"))</f>
        <v/>
      </c>
      <c r="Q179" s="13">
        <f>IF($A179="","",_xll.BDP($A179&amp;" Corp","YAS_OAS_SPRD"))</f>
        <v/>
      </c>
      <c r="R179" s="13">
        <f>IF($A179="","",_xll.BDP($A179&amp;" Corp","YAS_OAS_SPRD","SETTLE_DT",$B$2))</f>
        <v/>
      </c>
      <c r="S179" s="14">
        <f>IF($A179="","",IF(OR(NOT(ISNUMBER($Q179)),NOT(ISNUMBER($R179))),"",$Q179-$R179))</f>
        <v/>
      </c>
      <c r="T179" s="12">
        <f>IF($A179="","",_xll.BDP($A179&amp;" Corp","YAS_BOND_YLD","YAS_YLD_FLAG=15","SETTLE_DT",$B$2))</f>
        <v/>
      </c>
      <c r="U179" s="15">
        <f>IF($A179="","",IF(OR(NOT(ISNUMBER($O179)),NOT(ISNUMBER($T179))),"",$O179-$T179))</f>
        <v/>
      </c>
      <c r="V179" s="13">
        <f>IF(NOT(ISNUMBER($S179)),"",COUNTIFS($G$7:$G$850,$G179,$S$7:$S$850,"&gt;"&amp;$S179)+COUNTIFS($G$7:$G179,$G179,$S$7:$S179,$S179))</f>
        <v/>
      </c>
      <c r="W179" s="13">
        <f>IF(NOT(ISNUMBER($S179)),"",COUNTIFS($G$7:$G$850,$G179,$S$7:$S$850,"&lt;"&amp;$S179)+COUNTIFS($G$7:$G179,$G179,$S$7:$S179,$S179))</f>
        <v/>
      </c>
      <c r="X179" s="8">
        <f>IF($V179="","",$G179&amp;"|"&amp;$V179)</f>
        <v/>
      </c>
      <c r="Y179" s="8">
        <f>IF($W179="","",$G179&amp;"|"&amp;$W179)</f>
        <v/>
      </c>
    </row>
    <row r="180">
      <c r="A180" s="16" t="inlineStr">
        <is>
          <t>CH1290222426</t>
        </is>
      </c>
      <c r="B180" s="17">
        <f>IF($A180="","",PROPER(_xll.BDP($A180&amp;" Corp","NAME")))</f>
        <v/>
      </c>
      <c r="C180" s="17">
        <f>IF($A180="","",IFERROR(INDEX(Company_desc!$B$2:$B$1144,MATCH($A180,Company_desc!$A$2:$A$1144,0)),IFERROR(INDEX(SYZ_static!$Q$2:$Q$806,MATCH($A180,SYZ_static!$A$2:$A$806,0)),"")))</f>
        <v/>
      </c>
      <c r="D180" s="17">
        <f>IF($A180="","",IFERROR(INDEX(SYZ_static!$B$2:$B$806,MATCH($A180,SYZ_static!$A$2:$A$806,0)),""))</f>
        <v/>
      </c>
      <c r="E180" s="17">
        <f>IF($A180="","",_xll.BDP($A180&amp;" Corp","INDUSTRY_SECTOR"))</f>
        <v/>
      </c>
      <c r="F180" s="17">
        <f>IF($A180="","",PROPER(_xll.BDP($A180&amp;" Corp","COUNTRY_FULL_NAME")))</f>
        <v/>
      </c>
      <c r="G180" s="17">
        <f>IF($A180="","",_xll.BDP($A180&amp;" Corp","CRNCY"))</f>
        <v/>
      </c>
      <c r="H180" s="17">
        <f>IF($A180="","",IFERROR(INDEX(SYZ_static!$T$2:$T$806,MATCH($A180,SYZ_static!$A$2:$A$806,0)),_xll.BDP($A180&amp;" Corp","RTG_SP")))</f>
        <v/>
      </c>
      <c r="I180" s="17">
        <f>IF($A180="","",IFERROR(INDEX(SYZ_static!$S$2:$S$806,MATCH($A180,SYZ_static!$A$2:$A$806,0)),""))</f>
        <v/>
      </c>
      <c r="J180" s="17">
        <f>IF($A180="","",_xll.BDP($A180&amp;" Corp","PAYMENT_RANK"))</f>
        <v/>
      </c>
      <c r="K180" s="18">
        <f>IF($A180="","",_xll.BDP($A180&amp;" Corp","CPN"))</f>
        <v/>
      </c>
      <c r="L180" s="19">
        <f>IF($A180="","",_xll.BDP($A180&amp;" Corp","MATURITY"))</f>
        <v/>
      </c>
      <c r="M180" s="20">
        <f>IF($A180="","",IFERROR(_xll.BDP($A180&amp;" Corp","MIN_PIECE")/1000,""))</f>
        <v/>
      </c>
      <c r="N180" s="21">
        <f>IF($A180="","",_xll.BDP($A180&amp;" Corp","PX_LAST"))</f>
        <v/>
      </c>
      <c r="O180" s="21">
        <f>IF($A180="","",_xll.BDP($A180&amp;" Corp","YAS_BOND_YLD","YAS_YLD_FLAG=15"))</f>
        <v/>
      </c>
      <c r="P180" s="21">
        <f>IF($A180="","",_xll.BDP($A180&amp;" Corp","YAS_MOD_DUR"))</f>
        <v/>
      </c>
      <c r="Q180" s="22">
        <f>IF($A180="","",_xll.BDP($A180&amp;" Corp","YAS_OAS_SPRD"))</f>
        <v/>
      </c>
      <c r="R180" s="22">
        <f>IF($A180="","",_xll.BDP($A180&amp;" Corp","YAS_OAS_SPRD","SETTLE_DT",$B$2))</f>
        <v/>
      </c>
      <c r="S180" s="23">
        <f>IF($A180="","",IF(OR(NOT(ISNUMBER($Q180)),NOT(ISNUMBER($R180))),"",$Q180-$R180))</f>
        <v/>
      </c>
      <c r="T180" s="21">
        <f>IF($A180="","",_xll.BDP($A180&amp;" Corp","YAS_BOND_YLD","YAS_YLD_FLAG=15","SETTLE_DT",$B$2))</f>
        <v/>
      </c>
      <c r="U180" s="24">
        <f>IF($A180="","",IF(OR(NOT(ISNUMBER($O180)),NOT(ISNUMBER($T180))),"",$O180-$T180))</f>
        <v/>
      </c>
      <c r="V180" s="22">
        <f>IF(NOT(ISNUMBER($S180)),"",COUNTIFS($G$7:$G$850,$G180,$S$7:$S$850,"&gt;"&amp;$S180)+COUNTIFS($G$7:$G180,$G180,$S$7:$S180,$S180))</f>
        <v/>
      </c>
      <c r="W180" s="22">
        <f>IF(NOT(ISNUMBER($S180)),"",COUNTIFS($G$7:$G$850,$G180,$S$7:$S$850,"&lt;"&amp;$S180)+COUNTIFS($G$7:$G180,$G180,$S$7:$S180,$S180))</f>
        <v/>
      </c>
      <c r="X180" s="17">
        <f>IF($V180="","",$G180&amp;"|"&amp;$V180)</f>
        <v/>
      </c>
      <c r="Y180" s="17">
        <f>IF($W180="","",$G180&amp;"|"&amp;$W180)</f>
        <v/>
      </c>
    </row>
    <row r="181">
      <c r="A181" s="7" t="inlineStr">
        <is>
          <t>USP90475AB31</t>
        </is>
      </c>
      <c r="B181" s="8">
        <f>IF($A181="","",PROPER(_xll.BDP($A181&amp;" Corp","NAME")))</f>
        <v/>
      </c>
      <c r="C181" s="8">
        <f>IF($A181="","",IFERROR(INDEX(Company_desc!$B$2:$B$1144,MATCH($A181,Company_desc!$A$2:$A$1144,0)),IFERROR(INDEX(SYZ_static!$Q$2:$Q$806,MATCH($A181,SYZ_static!$A$2:$A$806,0)),"")))</f>
        <v/>
      </c>
      <c r="D181" s="8">
        <f>IF($A181="","",IFERROR(INDEX(SYZ_static!$B$2:$B$806,MATCH($A181,SYZ_static!$A$2:$A$806,0)),""))</f>
        <v/>
      </c>
      <c r="E181" s="8">
        <f>IF($A181="","",_xll.BDP($A181&amp;" Corp","INDUSTRY_SECTOR"))</f>
        <v/>
      </c>
      <c r="F181" s="8">
        <f>IF($A181="","",PROPER(_xll.BDP($A181&amp;" Corp","COUNTRY_FULL_NAME")))</f>
        <v/>
      </c>
      <c r="G181" s="8">
        <f>IF($A181="","",_xll.BDP($A181&amp;" Corp","CRNCY"))</f>
        <v/>
      </c>
      <c r="H181" s="8">
        <f>IF($A181="","",IFERROR(INDEX(SYZ_static!$T$2:$T$806,MATCH($A181,SYZ_static!$A$2:$A$806,0)),_xll.BDP($A181&amp;" Corp","RTG_SP")))</f>
        <v/>
      </c>
      <c r="I181" s="8">
        <f>IF($A181="","",IFERROR(INDEX(SYZ_static!$S$2:$S$806,MATCH($A181,SYZ_static!$A$2:$A$806,0)),""))</f>
        <v/>
      </c>
      <c r="J181" s="8">
        <f>IF($A181="","",_xll.BDP($A181&amp;" Corp","PAYMENT_RANK"))</f>
        <v/>
      </c>
      <c r="K181" s="9">
        <f>IF($A181="","",_xll.BDP($A181&amp;" Corp","CPN"))</f>
        <v/>
      </c>
      <c r="L181" s="10">
        <f>IF($A181="","",_xll.BDP($A181&amp;" Corp","MATURITY"))</f>
        <v/>
      </c>
      <c r="M181" s="11">
        <f>IF($A181="","",IFERROR(_xll.BDP($A181&amp;" Corp","MIN_PIECE")/1000,""))</f>
        <v/>
      </c>
      <c r="N181" s="12">
        <f>IF($A181="","",_xll.BDP($A181&amp;" Corp","PX_LAST"))</f>
        <v/>
      </c>
      <c r="O181" s="12">
        <f>IF($A181="","",_xll.BDP($A181&amp;" Corp","YAS_BOND_YLD","YAS_YLD_FLAG=15"))</f>
        <v/>
      </c>
      <c r="P181" s="12">
        <f>IF($A181="","",_xll.BDP($A181&amp;" Corp","YAS_MOD_DUR"))</f>
        <v/>
      </c>
      <c r="Q181" s="13">
        <f>IF($A181="","",_xll.BDP($A181&amp;" Corp","YAS_OAS_SPRD"))</f>
        <v/>
      </c>
      <c r="R181" s="13">
        <f>IF($A181="","",_xll.BDP($A181&amp;" Corp","YAS_OAS_SPRD","SETTLE_DT",$B$2))</f>
        <v/>
      </c>
      <c r="S181" s="14">
        <f>IF($A181="","",IF(OR(NOT(ISNUMBER($Q181)),NOT(ISNUMBER($R181))),"",$Q181-$R181))</f>
        <v/>
      </c>
      <c r="T181" s="12">
        <f>IF($A181="","",_xll.BDP($A181&amp;" Corp","YAS_BOND_YLD","YAS_YLD_FLAG=15","SETTLE_DT",$B$2))</f>
        <v/>
      </c>
      <c r="U181" s="15">
        <f>IF($A181="","",IF(OR(NOT(ISNUMBER($O181)),NOT(ISNUMBER($T181))),"",$O181-$T181))</f>
        <v/>
      </c>
      <c r="V181" s="13">
        <f>IF(NOT(ISNUMBER($S181)),"",COUNTIFS($G$7:$G$850,$G181,$S$7:$S$850,"&gt;"&amp;$S181)+COUNTIFS($G$7:$G181,$G181,$S$7:$S181,$S181))</f>
        <v/>
      </c>
      <c r="W181" s="13">
        <f>IF(NOT(ISNUMBER($S181)),"",COUNTIFS($G$7:$G$850,$G181,$S$7:$S$850,"&lt;"&amp;$S181)+COUNTIFS($G$7:$G181,$G181,$S$7:$S181,$S181))</f>
        <v/>
      </c>
      <c r="X181" s="8">
        <f>IF($V181="","",$G181&amp;"|"&amp;$V181)</f>
        <v/>
      </c>
      <c r="Y181" s="8">
        <f>IF($W181="","",$G181&amp;"|"&amp;$W181)</f>
        <v/>
      </c>
    </row>
    <row r="182">
      <c r="A182" s="16" t="inlineStr">
        <is>
          <t>US71647NAY58</t>
        </is>
      </c>
      <c r="B182" s="17">
        <f>IF($A182="","",PROPER(_xll.BDP($A182&amp;" Corp","NAME")))</f>
        <v/>
      </c>
      <c r="C182" s="17">
        <f>IF($A182="","",IFERROR(INDEX(Company_desc!$B$2:$B$1144,MATCH($A182,Company_desc!$A$2:$A$1144,0)),IFERROR(INDEX(SYZ_static!$Q$2:$Q$806,MATCH($A182,SYZ_static!$A$2:$A$806,0)),"")))</f>
        <v/>
      </c>
      <c r="D182" s="17">
        <f>IF($A182="","",IFERROR(INDEX(SYZ_static!$B$2:$B$806,MATCH($A182,SYZ_static!$A$2:$A$806,0)),""))</f>
        <v/>
      </c>
      <c r="E182" s="17">
        <f>IF($A182="","",_xll.BDP($A182&amp;" Corp","INDUSTRY_SECTOR"))</f>
        <v/>
      </c>
      <c r="F182" s="17">
        <f>IF($A182="","",PROPER(_xll.BDP($A182&amp;" Corp","COUNTRY_FULL_NAME")))</f>
        <v/>
      </c>
      <c r="G182" s="17">
        <f>IF($A182="","",_xll.BDP($A182&amp;" Corp","CRNCY"))</f>
        <v/>
      </c>
      <c r="H182" s="17">
        <f>IF($A182="","",IFERROR(INDEX(SYZ_static!$T$2:$T$806,MATCH($A182,SYZ_static!$A$2:$A$806,0)),_xll.BDP($A182&amp;" Corp","RTG_SP")))</f>
        <v/>
      </c>
      <c r="I182" s="17">
        <f>IF($A182="","",IFERROR(INDEX(SYZ_static!$S$2:$S$806,MATCH($A182,SYZ_static!$A$2:$A$806,0)),""))</f>
        <v/>
      </c>
      <c r="J182" s="17">
        <f>IF($A182="","",_xll.BDP($A182&amp;" Corp","PAYMENT_RANK"))</f>
        <v/>
      </c>
      <c r="K182" s="18">
        <f>IF($A182="","",_xll.BDP($A182&amp;" Corp","CPN"))</f>
        <v/>
      </c>
      <c r="L182" s="19">
        <f>IF($A182="","",_xll.BDP($A182&amp;" Corp","MATURITY"))</f>
        <v/>
      </c>
      <c r="M182" s="20">
        <f>IF($A182="","",IFERROR(_xll.BDP($A182&amp;" Corp","MIN_PIECE")/1000,""))</f>
        <v/>
      </c>
      <c r="N182" s="21">
        <f>IF($A182="","",_xll.BDP($A182&amp;" Corp","PX_LAST"))</f>
        <v/>
      </c>
      <c r="O182" s="21">
        <f>IF($A182="","",_xll.BDP($A182&amp;" Corp","YAS_BOND_YLD","YAS_YLD_FLAG=15"))</f>
        <v/>
      </c>
      <c r="P182" s="21">
        <f>IF($A182="","",_xll.BDP($A182&amp;" Corp","YAS_MOD_DUR"))</f>
        <v/>
      </c>
      <c r="Q182" s="22">
        <f>IF($A182="","",_xll.BDP($A182&amp;" Corp","YAS_OAS_SPRD"))</f>
        <v/>
      </c>
      <c r="R182" s="22">
        <f>IF($A182="","",_xll.BDP($A182&amp;" Corp","YAS_OAS_SPRD","SETTLE_DT",$B$2))</f>
        <v/>
      </c>
      <c r="S182" s="23">
        <f>IF($A182="","",IF(OR(NOT(ISNUMBER($Q182)),NOT(ISNUMBER($R182))),"",$Q182-$R182))</f>
        <v/>
      </c>
      <c r="T182" s="21">
        <f>IF($A182="","",_xll.BDP($A182&amp;" Corp","YAS_BOND_YLD","YAS_YLD_FLAG=15","SETTLE_DT",$B$2))</f>
        <v/>
      </c>
      <c r="U182" s="24">
        <f>IF($A182="","",IF(OR(NOT(ISNUMBER($O182)),NOT(ISNUMBER($T182))),"",$O182-$T182))</f>
        <v/>
      </c>
      <c r="V182" s="22">
        <f>IF(NOT(ISNUMBER($S182)),"",COUNTIFS($G$7:$G$850,$G182,$S$7:$S$850,"&gt;"&amp;$S182)+COUNTIFS($G$7:$G182,$G182,$S$7:$S182,$S182))</f>
        <v/>
      </c>
      <c r="W182" s="22">
        <f>IF(NOT(ISNUMBER($S182)),"",COUNTIFS($G$7:$G$850,$G182,$S$7:$S$850,"&lt;"&amp;$S182)+COUNTIFS($G$7:$G182,$G182,$S$7:$S182,$S182))</f>
        <v/>
      </c>
      <c r="X182" s="17">
        <f>IF($V182="","",$G182&amp;"|"&amp;$V182)</f>
        <v/>
      </c>
      <c r="Y182" s="17">
        <f>IF($W182="","",$G182&amp;"|"&amp;$W182)</f>
        <v/>
      </c>
    </row>
    <row r="183">
      <c r="A183" s="7" t="inlineStr">
        <is>
          <t>US4651387N91</t>
        </is>
      </c>
      <c r="B183" s="8">
        <f>IF($A183="","",PROPER(_xll.BDP($A183&amp;" Corp","NAME")))</f>
        <v/>
      </c>
      <c r="C183" s="8">
        <f>IF($A183="","",IFERROR(INDEX(Company_desc!$B$2:$B$1144,MATCH($A183,Company_desc!$A$2:$A$1144,0)),IFERROR(INDEX(SYZ_static!$Q$2:$Q$806,MATCH($A183,SYZ_static!$A$2:$A$806,0)),"")))</f>
        <v/>
      </c>
      <c r="D183" s="8">
        <f>IF($A183="","",IFERROR(INDEX(SYZ_static!$B$2:$B$806,MATCH($A183,SYZ_static!$A$2:$A$806,0)),""))</f>
        <v/>
      </c>
      <c r="E183" s="8">
        <f>IF($A183="","",_xll.BDP($A183&amp;" Corp","INDUSTRY_SECTOR"))</f>
        <v/>
      </c>
      <c r="F183" s="8">
        <f>IF($A183="","",PROPER(_xll.BDP($A183&amp;" Corp","COUNTRY_FULL_NAME")))</f>
        <v/>
      </c>
      <c r="G183" s="8">
        <f>IF($A183="","",_xll.BDP($A183&amp;" Corp","CRNCY"))</f>
        <v/>
      </c>
      <c r="H183" s="8">
        <f>IF($A183="","",IFERROR(INDEX(SYZ_static!$T$2:$T$806,MATCH($A183,SYZ_static!$A$2:$A$806,0)),_xll.BDP($A183&amp;" Corp","RTG_SP")))</f>
        <v/>
      </c>
      <c r="I183" s="8">
        <f>IF($A183="","",IFERROR(INDEX(SYZ_static!$S$2:$S$806,MATCH($A183,SYZ_static!$A$2:$A$806,0)),""))</f>
        <v/>
      </c>
      <c r="J183" s="8">
        <f>IF($A183="","",_xll.BDP($A183&amp;" Corp","PAYMENT_RANK"))</f>
        <v/>
      </c>
      <c r="K183" s="9">
        <f>IF($A183="","",_xll.BDP($A183&amp;" Corp","CPN"))</f>
        <v/>
      </c>
      <c r="L183" s="10">
        <f>IF($A183="","",_xll.BDP($A183&amp;" Corp","MATURITY"))</f>
        <v/>
      </c>
      <c r="M183" s="11">
        <f>IF($A183="","",IFERROR(_xll.BDP($A183&amp;" Corp","MIN_PIECE")/1000,""))</f>
        <v/>
      </c>
      <c r="N183" s="12">
        <f>IF($A183="","",_xll.BDP($A183&amp;" Corp","PX_LAST"))</f>
        <v/>
      </c>
      <c r="O183" s="12">
        <f>IF($A183="","",_xll.BDP($A183&amp;" Corp","YAS_BOND_YLD","YAS_YLD_FLAG=15"))</f>
        <v/>
      </c>
      <c r="P183" s="12">
        <f>IF($A183="","",_xll.BDP($A183&amp;" Corp","YAS_MOD_DUR"))</f>
        <v/>
      </c>
      <c r="Q183" s="13">
        <f>IF($A183="","",_xll.BDP($A183&amp;" Corp","YAS_OAS_SPRD"))</f>
        <v/>
      </c>
      <c r="R183" s="13">
        <f>IF($A183="","",_xll.BDP($A183&amp;" Corp","YAS_OAS_SPRD","SETTLE_DT",$B$2))</f>
        <v/>
      </c>
      <c r="S183" s="14">
        <f>IF($A183="","",IF(OR(NOT(ISNUMBER($Q183)),NOT(ISNUMBER($R183))),"",$Q183-$R183))</f>
        <v/>
      </c>
      <c r="T183" s="12">
        <f>IF($A183="","",_xll.BDP($A183&amp;" Corp","YAS_BOND_YLD","YAS_YLD_FLAG=15","SETTLE_DT",$B$2))</f>
        <v/>
      </c>
      <c r="U183" s="15">
        <f>IF($A183="","",IF(OR(NOT(ISNUMBER($O183)),NOT(ISNUMBER($T183))),"",$O183-$T183))</f>
        <v/>
      </c>
      <c r="V183" s="13">
        <f>IF(NOT(ISNUMBER($S183)),"",COUNTIFS($G$7:$G$850,$G183,$S$7:$S$850,"&gt;"&amp;$S183)+COUNTIFS($G$7:$G183,$G183,$S$7:$S183,$S183))</f>
        <v/>
      </c>
      <c r="W183" s="13">
        <f>IF(NOT(ISNUMBER($S183)),"",COUNTIFS($G$7:$G$850,$G183,$S$7:$S$850,"&lt;"&amp;$S183)+COUNTIFS($G$7:$G183,$G183,$S$7:$S183,$S183))</f>
        <v/>
      </c>
      <c r="X183" s="8">
        <f>IF($V183="","",$G183&amp;"|"&amp;$V183)</f>
        <v/>
      </c>
      <c r="Y183" s="8">
        <f>IF($W183="","",$G183&amp;"|"&amp;$W183)</f>
        <v/>
      </c>
    </row>
    <row r="184">
      <c r="A184" s="16" t="inlineStr">
        <is>
          <t>US345397F810</t>
        </is>
      </c>
      <c r="B184" s="17">
        <f>IF($A184="","",PROPER(_xll.BDP($A184&amp;" Corp","NAME")))</f>
        <v/>
      </c>
      <c r="C184" s="17">
        <f>IF($A184="","",IFERROR(INDEX(Company_desc!$B$2:$B$1144,MATCH($A184,Company_desc!$A$2:$A$1144,0)),IFERROR(INDEX(SYZ_static!$Q$2:$Q$806,MATCH($A184,SYZ_static!$A$2:$A$806,0)),"")))</f>
        <v/>
      </c>
      <c r="D184" s="17">
        <f>IF($A184="","",IFERROR(INDEX(SYZ_static!$B$2:$B$806,MATCH($A184,SYZ_static!$A$2:$A$806,0)),""))</f>
        <v/>
      </c>
      <c r="E184" s="17">
        <f>IF($A184="","",_xll.BDP($A184&amp;" Corp","INDUSTRY_SECTOR"))</f>
        <v/>
      </c>
      <c r="F184" s="17">
        <f>IF($A184="","",PROPER(_xll.BDP($A184&amp;" Corp","COUNTRY_FULL_NAME")))</f>
        <v/>
      </c>
      <c r="G184" s="17">
        <f>IF($A184="","",_xll.BDP($A184&amp;" Corp","CRNCY"))</f>
        <v/>
      </c>
      <c r="H184" s="17">
        <f>IF($A184="","",IFERROR(INDEX(SYZ_static!$T$2:$T$806,MATCH($A184,SYZ_static!$A$2:$A$806,0)),_xll.BDP($A184&amp;" Corp","RTG_SP")))</f>
        <v/>
      </c>
      <c r="I184" s="17">
        <f>IF($A184="","",IFERROR(INDEX(SYZ_static!$S$2:$S$806,MATCH($A184,SYZ_static!$A$2:$A$806,0)),""))</f>
        <v/>
      </c>
      <c r="J184" s="17">
        <f>IF($A184="","",_xll.BDP($A184&amp;" Corp","PAYMENT_RANK"))</f>
        <v/>
      </c>
      <c r="K184" s="18">
        <f>IF($A184="","",_xll.BDP($A184&amp;" Corp","CPN"))</f>
        <v/>
      </c>
      <c r="L184" s="19">
        <f>IF($A184="","",_xll.BDP($A184&amp;" Corp","MATURITY"))</f>
        <v/>
      </c>
      <c r="M184" s="20">
        <f>IF($A184="","",IFERROR(_xll.BDP($A184&amp;" Corp","MIN_PIECE")/1000,""))</f>
        <v/>
      </c>
      <c r="N184" s="21">
        <f>IF($A184="","",_xll.BDP($A184&amp;" Corp","PX_LAST"))</f>
        <v/>
      </c>
      <c r="O184" s="21">
        <f>IF($A184="","",_xll.BDP($A184&amp;" Corp","YAS_BOND_YLD","YAS_YLD_FLAG=15"))</f>
        <v/>
      </c>
      <c r="P184" s="21">
        <f>IF($A184="","",_xll.BDP($A184&amp;" Corp","YAS_MOD_DUR"))</f>
        <v/>
      </c>
      <c r="Q184" s="22">
        <f>IF($A184="","",_xll.BDP($A184&amp;" Corp","YAS_OAS_SPRD"))</f>
        <v/>
      </c>
      <c r="R184" s="22">
        <f>IF($A184="","",_xll.BDP($A184&amp;" Corp","YAS_OAS_SPRD","SETTLE_DT",$B$2))</f>
        <v/>
      </c>
      <c r="S184" s="23">
        <f>IF($A184="","",IF(OR(NOT(ISNUMBER($Q184)),NOT(ISNUMBER($R184))),"",$Q184-$R184))</f>
        <v/>
      </c>
      <c r="T184" s="21">
        <f>IF($A184="","",_xll.BDP($A184&amp;" Corp","YAS_BOND_YLD","YAS_YLD_FLAG=15","SETTLE_DT",$B$2))</f>
        <v/>
      </c>
      <c r="U184" s="24">
        <f>IF($A184="","",IF(OR(NOT(ISNUMBER($O184)),NOT(ISNUMBER($T184))),"",$O184-$T184))</f>
        <v/>
      </c>
      <c r="V184" s="22">
        <f>IF(NOT(ISNUMBER($S184)),"",COUNTIFS($G$7:$G$850,$G184,$S$7:$S$850,"&gt;"&amp;$S184)+COUNTIFS($G$7:$G184,$G184,$S$7:$S184,$S184))</f>
        <v/>
      </c>
      <c r="W184" s="22">
        <f>IF(NOT(ISNUMBER($S184)),"",COUNTIFS($G$7:$G$850,$G184,$S$7:$S$850,"&lt;"&amp;$S184)+COUNTIFS($G$7:$G184,$G184,$S$7:$S184,$S184))</f>
        <v/>
      </c>
      <c r="X184" s="17">
        <f>IF($V184="","",$G184&amp;"|"&amp;$V184)</f>
        <v/>
      </c>
      <c r="Y184" s="17">
        <f>IF($W184="","",$G184&amp;"|"&amp;$W184)</f>
        <v/>
      </c>
    </row>
    <row r="185">
      <c r="A185" s="7" t="inlineStr">
        <is>
          <t>XS2577136109</t>
        </is>
      </c>
      <c r="B185" s="8">
        <f>IF($A185="","",PROPER(_xll.BDP($A185&amp;" Corp","NAME")))</f>
        <v/>
      </c>
      <c r="C185" s="8">
        <f>IF($A185="","",IFERROR(INDEX(Company_desc!$B$2:$B$1144,MATCH($A185,Company_desc!$A$2:$A$1144,0)),IFERROR(INDEX(SYZ_static!$Q$2:$Q$806,MATCH($A185,SYZ_static!$A$2:$A$806,0)),"")))</f>
        <v/>
      </c>
      <c r="D185" s="8">
        <f>IF($A185="","",IFERROR(INDEX(SYZ_static!$B$2:$B$806,MATCH($A185,SYZ_static!$A$2:$A$806,0)),""))</f>
        <v/>
      </c>
      <c r="E185" s="8">
        <f>IF($A185="","",_xll.BDP($A185&amp;" Corp","INDUSTRY_SECTOR"))</f>
        <v/>
      </c>
      <c r="F185" s="8">
        <f>IF($A185="","",PROPER(_xll.BDP($A185&amp;" Corp","COUNTRY_FULL_NAME")))</f>
        <v/>
      </c>
      <c r="G185" s="8">
        <f>IF($A185="","",_xll.BDP($A185&amp;" Corp","CRNCY"))</f>
        <v/>
      </c>
      <c r="H185" s="8">
        <f>IF($A185="","",IFERROR(INDEX(SYZ_static!$T$2:$T$806,MATCH($A185,SYZ_static!$A$2:$A$806,0)),_xll.BDP($A185&amp;" Corp","RTG_SP")))</f>
        <v/>
      </c>
      <c r="I185" s="8">
        <f>IF($A185="","",IFERROR(INDEX(SYZ_static!$S$2:$S$806,MATCH($A185,SYZ_static!$A$2:$A$806,0)),""))</f>
        <v/>
      </c>
      <c r="J185" s="8">
        <f>IF($A185="","",_xll.BDP($A185&amp;" Corp","PAYMENT_RANK"))</f>
        <v/>
      </c>
      <c r="K185" s="9">
        <f>IF($A185="","",_xll.BDP($A185&amp;" Corp","CPN"))</f>
        <v/>
      </c>
      <c r="L185" s="10">
        <f>IF($A185="","",_xll.BDP($A185&amp;" Corp","MATURITY"))</f>
        <v/>
      </c>
      <c r="M185" s="11">
        <f>IF($A185="","",IFERROR(_xll.BDP($A185&amp;" Corp","MIN_PIECE")/1000,""))</f>
        <v/>
      </c>
      <c r="N185" s="12">
        <f>IF($A185="","",_xll.BDP($A185&amp;" Corp","PX_LAST"))</f>
        <v/>
      </c>
      <c r="O185" s="12">
        <f>IF($A185="","",_xll.BDP($A185&amp;" Corp","YAS_BOND_YLD","YAS_YLD_FLAG=15"))</f>
        <v/>
      </c>
      <c r="P185" s="12">
        <f>IF($A185="","",_xll.BDP($A185&amp;" Corp","YAS_MOD_DUR"))</f>
        <v/>
      </c>
      <c r="Q185" s="13">
        <f>IF($A185="","",_xll.BDP($A185&amp;" Corp","YAS_OAS_SPRD"))</f>
        <v/>
      </c>
      <c r="R185" s="13">
        <f>IF($A185="","",_xll.BDP($A185&amp;" Corp","YAS_OAS_SPRD","SETTLE_DT",$B$2))</f>
        <v/>
      </c>
      <c r="S185" s="14">
        <f>IF($A185="","",IF(OR(NOT(ISNUMBER($Q185)),NOT(ISNUMBER($R185))),"",$Q185-$R185))</f>
        <v/>
      </c>
      <c r="T185" s="12">
        <f>IF($A185="","",_xll.BDP($A185&amp;" Corp","YAS_BOND_YLD","YAS_YLD_FLAG=15","SETTLE_DT",$B$2))</f>
        <v/>
      </c>
      <c r="U185" s="15">
        <f>IF($A185="","",IF(OR(NOT(ISNUMBER($O185)),NOT(ISNUMBER($T185))),"",$O185-$T185))</f>
        <v/>
      </c>
      <c r="V185" s="13">
        <f>IF(NOT(ISNUMBER($S185)),"",COUNTIFS($G$7:$G$850,$G185,$S$7:$S$850,"&gt;"&amp;$S185)+COUNTIFS($G$7:$G185,$G185,$S$7:$S185,$S185))</f>
        <v/>
      </c>
      <c r="W185" s="13">
        <f>IF(NOT(ISNUMBER($S185)),"",COUNTIFS($G$7:$G$850,$G185,$S$7:$S$850,"&lt;"&amp;$S185)+COUNTIFS($G$7:$G185,$G185,$S$7:$S185,$S185))</f>
        <v/>
      </c>
      <c r="X185" s="8">
        <f>IF($V185="","",$G185&amp;"|"&amp;$V185)</f>
        <v/>
      </c>
      <c r="Y185" s="8">
        <f>IF($W185="","",$G185&amp;"|"&amp;$W185)</f>
        <v/>
      </c>
    </row>
    <row r="186">
      <c r="A186" s="16" t="inlineStr">
        <is>
          <t>USA08163AA41</t>
        </is>
      </c>
      <c r="B186" s="17">
        <f>IF($A186="","",PROPER(_xll.BDP($A186&amp;" Corp","NAME")))</f>
        <v/>
      </c>
      <c r="C186" s="17">
        <f>IF($A186="","",IFERROR(INDEX(Company_desc!$B$2:$B$1144,MATCH($A186,Company_desc!$A$2:$A$1144,0)),IFERROR(INDEX(SYZ_static!$Q$2:$Q$806,MATCH($A186,SYZ_static!$A$2:$A$806,0)),"")))</f>
        <v/>
      </c>
      <c r="D186" s="17">
        <f>IF($A186="","",IFERROR(INDEX(SYZ_static!$B$2:$B$806,MATCH($A186,SYZ_static!$A$2:$A$806,0)),""))</f>
        <v/>
      </c>
      <c r="E186" s="17">
        <f>IF($A186="","",_xll.BDP($A186&amp;" Corp","INDUSTRY_SECTOR"))</f>
        <v/>
      </c>
      <c r="F186" s="17">
        <f>IF($A186="","",PROPER(_xll.BDP($A186&amp;" Corp","COUNTRY_FULL_NAME")))</f>
        <v/>
      </c>
      <c r="G186" s="17">
        <f>IF($A186="","",_xll.BDP($A186&amp;" Corp","CRNCY"))</f>
        <v/>
      </c>
      <c r="H186" s="17">
        <f>IF($A186="","",IFERROR(INDEX(SYZ_static!$T$2:$T$806,MATCH($A186,SYZ_static!$A$2:$A$806,0)),_xll.BDP($A186&amp;" Corp","RTG_SP")))</f>
        <v/>
      </c>
      <c r="I186" s="17">
        <f>IF($A186="","",IFERROR(INDEX(SYZ_static!$S$2:$S$806,MATCH($A186,SYZ_static!$A$2:$A$806,0)),""))</f>
        <v/>
      </c>
      <c r="J186" s="17">
        <f>IF($A186="","",_xll.BDP($A186&amp;" Corp","PAYMENT_RANK"))</f>
        <v/>
      </c>
      <c r="K186" s="18">
        <f>IF($A186="","",_xll.BDP($A186&amp;" Corp","CPN"))</f>
        <v/>
      </c>
      <c r="L186" s="19">
        <f>IF($A186="","",_xll.BDP($A186&amp;" Corp","MATURITY"))</f>
        <v/>
      </c>
      <c r="M186" s="20">
        <f>IF($A186="","",IFERROR(_xll.BDP($A186&amp;" Corp","MIN_PIECE")/1000,""))</f>
        <v/>
      </c>
      <c r="N186" s="21">
        <f>IF($A186="","",_xll.BDP($A186&amp;" Corp","PX_LAST"))</f>
        <v/>
      </c>
      <c r="O186" s="21">
        <f>IF($A186="","",_xll.BDP($A186&amp;" Corp","YAS_BOND_YLD","YAS_YLD_FLAG=15"))</f>
        <v/>
      </c>
      <c r="P186" s="21">
        <f>IF($A186="","",_xll.BDP($A186&amp;" Corp","YAS_MOD_DUR"))</f>
        <v/>
      </c>
      <c r="Q186" s="22">
        <f>IF($A186="","",_xll.BDP($A186&amp;" Corp","YAS_OAS_SPRD"))</f>
        <v/>
      </c>
      <c r="R186" s="22">
        <f>IF($A186="","",_xll.BDP($A186&amp;" Corp","YAS_OAS_SPRD","SETTLE_DT",$B$2))</f>
        <v/>
      </c>
      <c r="S186" s="23">
        <f>IF($A186="","",IF(OR(NOT(ISNUMBER($Q186)),NOT(ISNUMBER($R186))),"",$Q186-$R186))</f>
        <v/>
      </c>
      <c r="T186" s="21">
        <f>IF($A186="","",_xll.BDP($A186&amp;" Corp","YAS_BOND_YLD","YAS_YLD_FLAG=15","SETTLE_DT",$B$2))</f>
        <v/>
      </c>
      <c r="U186" s="24">
        <f>IF($A186="","",IF(OR(NOT(ISNUMBER($O186)),NOT(ISNUMBER($T186))),"",$O186-$T186))</f>
        <v/>
      </c>
      <c r="V186" s="22">
        <f>IF(NOT(ISNUMBER($S186)),"",COUNTIFS($G$7:$G$850,$G186,$S$7:$S$850,"&gt;"&amp;$S186)+COUNTIFS($G$7:$G186,$G186,$S$7:$S186,$S186))</f>
        <v/>
      </c>
      <c r="W186" s="22">
        <f>IF(NOT(ISNUMBER($S186)),"",COUNTIFS($G$7:$G$850,$G186,$S$7:$S$850,"&lt;"&amp;$S186)+COUNTIFS($G$7:$G186,$G186,$S$7:$S186,$S186))</f>
        <v/>
      </c>
      <c r="X186" s="17">
        <f>IF($V186="","",$G186&amp;"|"&amp;$V186)</f>
        <v/>
      </c>
      <c r="Y186" s="17">
        <f>IF($W186="","",$G186&amp;"|"&amp;$W186)</f>
        <v/>
      </c>
    </row>
    <row r="187">
      <c r="A187" s="7" t="inlineStr">
        <is>
          <t>USU4328RAG93</t>
        </is>
      </c>
      <c r="B187" s="8">
        <f>IF($A187="","",PROPER(_xll.BDP($A187&amp;" Corp","NAME")))</f>
        <v/>
      </c>
      <c r="C187" s="8">
        <f>IF($A187="","",IFERROR(INDEX(Company_desc!$B$2:$B$1144,MATCH($A187,Company_desc!$A$2:$A$1144,0)),IFERROR(INDEX(SYZ_static!$Q$2:$Q$806,MATCH($A187,SYZ_static!$A$2:$A$806,0)),"")))</f>
        <v/>
      </c>
      <c r="D187" s="8">
        <f>IF($A187="","",IFERROR(INDEX(SYZ_static!$B$2:$B$806,MATCH($A187,SYZ_static!$A$2:$A$806,0)),""))</f>
        <v/>
      </c>
      <c r="E187" s="8">
        <f>IF($A187="","",_xll.BDP($A187&amp;" Corp","INDUSTRY_SECTOR"))</f>
        <v/>
      </c>
      <c r="F187" s="8">
        <f>IF($A187="","",PROPER(_xll.BDP($A187&amp;" Corp","COUNTRY_FULL_NAME")))</f>
        <v/>
      </c>
      <c r="G187" s="8">
        <f>IF($A187="","",_xll.BDP($A187&amp;" Corp","CRNCY"))</f>
        <v/>
      </c>
      <c r="H187" s="8">
        <f>IF($A187="","",IFERROR(INDEX(SYZ_static!$T$2:$T$806,MATCH($A187,SYZ_static!$A$2:$A$806,0)),_xll.BDP($A187&amp;" Corp","RTG_SP")))</f>
        <v/>
      </c>
      <c r="I187" s="8">
        <f>IF($A187="","",IFERROR(INDEX(SYZ_static!$S$2:$S$806,MATCH($A187,SYZ_static!$A$2:$A$806,0)),""))</f>
        <v/>
      </c>
      <c r="J187" s="8">
        <f>IF($A187="","",_xll.BDP($A187&amp;" Corp","PAYMENT_RANK"))</f>
        <v/>
      </c>
      <c r="K187" s="9">
        <f>IF($A187="","",_xll.BDP($A187&amp;" Corp","CPN"))</f>
        <v/>
      </c>
      <c r="L187" s="10">
        <f>IF($A187="","",_xll.BDP($A187&amp;" Corp","MATURITY"))</f>
        <v/>
      </c>
      <c r="M187" s="11">
        <f>IF($A187="","",IFERROR(_xll.BDP($A187&amp;" Corp","MIN_PIECE")/1000,""))</f>
        <v/>
      </c>
      <c r="N187" s="12">
        <f>IF($A187="","",_xll.BDP($A187&amp;" Corp","PX_LAST"))</f>
        <v/>
      </c>
      <c r="O187" s="12">
        <f>IF($A187="","",_xll.BDP($A187&amp;" Corp","YAS_BOND_YLD","YAS_YLD_FLAG=15"))</f>
        <v/>
      </c>
      <c r="P187" s="12">
        <f>IF($A187="","",_xll.BDP($A187&amp;" Corp","YAS_MOD_DUR"))</f>
        <v/>
      </c>
      <c r="Q187" s="13">
        <f>IF($A187="","",_xll.BDP($A187&amp;" Corp","YAS_OAS_SPRD"))</f>
        <v/>
      </c>
      <c r="R187" s="13">
        <f>IF($A187="","",_xll.BDP($A187&amp;" Corp","YAS_OAS_SPRD","SETTLE_DT",$B$2))</f>
        <v/>
      </c>
      <c r="S187" s="14">
        <f>IF($A187="","",IF(OR(NOT(ISNUMBER($Q187)),NOT(ISNUMBER($R187))),"",$Q187-$R187))</f>
        <v/>
      </c>
      <c r="T187" s="12">
        <f>IF($A187="","",_xll.BDP($A187&amp;" Corp","YAS_BOND_YLD","YAS_YLD_FLAG=15","SETTLE_DT",$B$2))</f>
        <v/>
      </c>
      <c r="U187" s="15">
        <f>IF($A187="","",IF(OR(NOT(ISNUMBER($O187)),NOT(ISNUMBER($T187))),"",$O187-$T187))</f>
        <v/>
      </c>
      <c r="V187" s="13">
        <f>IF(NOT(ISNUMBER($S187)),"",COUNTIFS($G$7:$G$850,$G187,$S$7:$S$850,"&gt;"&amp;$S187)+COUNTIFS($G$7:$G187,$G187,$S$7:$S187,$S187))</f>
        <v/>
      </c>
      <c r="W187" s="13">
        <f>IF(NOT(ISNUMBER($S187)),"",COUNTIFS($G$7:$G$850,$G187,$S$7:$S$850,"&lt;"&amp;$S187)+COUNTIFS($G$7:$G187,$G187,$S$7:$S187,$S187))</f>
        <v/>
      </c>
      <c r="X187" s="8">
        <f>IF($V187="","",$G187&amp;"|"&amp;$V187)</f>
        <v/>
      </c>
      <c r="Y187" s="8">
        <f>IF($W187="","",$G187&amp;"|"&amp;$W187)</f>
        <v/>
      </c>
    </row>
    <row r="188">
      <c r="A188" s="16" t="inlineStr">
        <is>
          <t>US71647NBH17</t>
        </is>
      </c>
      <c r="B188" s="17">
        <f>IF($A188="","",PROPER(_xll.BDP($A188&amp;" Corp","NAME")))</f>
        <v/>
      </c>
      <c r="C188" s="17">
        <f>IF($A188="","",IFERROR(INDEX(Company_desc!$B$2:$B$1144,MATCH($A188,Company_desc!$A$2:$A$1144,0)),IFERROR(INDEX(SYZ_static!$Q$2:$Q$806,MATCH($A188,SYZ_static!$A$2:$A$806,0)),"")))</f>
        <v/>
      </c>
      <c r="D188" s="17">
        <f>IF($A188="","",IFERROR(INDEX(SYZ_static!$B$2:$B$806,MATCH($A188,SYZ_static!$A$2:$A$806,0)),""))</f>
        <v/>
      </c>
      <c r="E188" s="17">
        <f>IF($A188="","",_xll.BDP($A188&amp;" Corp","INDUSTRY_SECTOR"))</f>
        <v/>
      </c>
      <c r="F188" s="17">
        <f>IF($A188="","",PROPER(_xll.BDP($A188&amp;" Corp","COUNTRY_FULL_NAME")))</f>
        <v/>
      </c>
      <c r="G188" s="17">
        <f>IF($A188="","",_xll.BDP($A188&amp;" Corp","CRNCY"))</f>
        <v/>
      </c>
      <c r="H188" s="17">
        <f>IF($A188="","",IFERROR(INDEX(SYZ_static!$T$2:$T$806,MATCH($A188,SYZ_static!$A$2:$A$806,0)),_xll.BDP($A188&amp;" Corp","RTG_SP")))</f>
        <v/>
      </c>
      <c r="I188" s="17">
        <f>IF($A188="","",IFERROR(INDEX(SYZ_static!$S$2:$S$806,MATCH($A188,SYZ_static!$A$2:$A$806,0)),""))</f>
        <v/>
      </c>
      <c r="J188" s="17">
        <f>IF($A188="","",_xll.BDP($A188&amp;" Corp","PAYMENT_RANK"))</f>
        <v/>
      </c>
      <c r="K188" s="18">
        <f>IF($A188="","",_xll.BDP($A188&amp;" Corp","CPN"))</f>
        <v/>
      </c>
      <c r="L188" s="19">
        <f>IF($A188="","",_xll.BDP($A188&amp;" Corp","MATURITY"))</f>
        <v/>
      </c>
      <c r="M188" s="20">
        <f>IF($A188="","",IFERROR(_xll.BDP($A188&amp;" Corp","MIN_PIECE")/1000,""))</f>
        <v/>
      </c>
      <c r="N188" s="21">
        <f>IF($A188="","",_xll.BDP($A188&amp;" Corp","PX_LAST"))</f>
        <v/>
      </c>
      <c r="O188" s="21">
        <f>IF($A188="","",_xll.BDP($A188&amp;" Corp","YAS_BOND_YLD","YAS_YLD_FLAG=15"))</f>
        <v/>
      </c>
      <c r="P188" s="21">
        <f>IF($A188="","",_xll.BDP($A188&amp;" Corp","YAS_MOD_DUR"))</f>
        <v/>
      </c>
      <c r="Q188" s="22">
        <f>IF($A188="","",_xll.BDP($A188&amp;" Corp","YAS_OAS_SPRD"))</f>
        <v/>
      </c>
      <c r="R188" s="22">
        <f>IF($A188="","",_xll.BDP($A188&amp;" Corp","YAS_OAS_SPRD","SETTLE_DT",$B$2))</f>
        <v/>
      </c>
      <c r="S188" s="23">
        <f>IF($A188="","",IF(OR(NOT(ISNUMBER($Q188)),NOT(ISNUMBER($R188))),"",$Q188-$R188))</f>
        <v/>
      </c>
      <c r="T188" s="21">
        <f>IF($A188="","",_xll.BDP($A188&amp;" Corp","YAS_BOND_YLD","YAS_YLD_FLAG=15","SETTLE_DT",$B$2))</f>
        <v/>
      </c>
      <c r="U188" s="24">
        <f>IF($A188="","",IF(OR(NOT(ISNUMBER($O188)),NOT(ISNUMBER($T188))),"",$O188-$T188))</f>
        <v/>
      </c>
      <c r="V188" s="22">
        <f>IF(NOT(ISNUMBER($S188)),"",COUNTIFS($G$7:$G$850,$G188,$S$7:$S$850,"&gt;"&amp;$S188)+COUNTIFS($G$7:$G188,$G188,$S$7:$S188,$S188))</f>
        <v/>
      </c>
      <c r="W188" s="22">
        <f>IF(NOT(ISNUMBER($S188)),"",COUNTIFS($G$7:$G$850,$G188,$S$7:$S$850,"&lt;"&amp;$S188)+COUNTIFS($G$7:$G188,$G188,$S$7:$S188,$S188))</f>
        <v/>
      </c>
      <c r="X188" s="17">
        <f>IF($V188="","",$G188&amp;"|"&amp;$V188)</f>
        <v/>
      </c>
      <c r="Y188" s="17">
        <f>IF($W188="","",$G188&amp;"|"&amp;$W188)</f>
        <v/>
      </c>
    </row>
    <row r="189">
      <c r="A189" s="7" t="inlineStr">
        <is>
          <t>USU1851TAB71</t>
        </is>
      </c>
      <c r="B189" s="8">
        <f>IF($A189="","",PROPER(_xll.BDP($A189&amp;" Corp","NAME")))</f>
        <v/>
      </c>
      <c r="C189" s="8">
        <f>IF($A189="","",IFERROR(INDEX(Company_desc!$B$2:$B$1144,MATCH($A189,Company_desc!$A$2:$A$1144,0)),IFERROR(INDEX(SYZ_static!$Q$2:$Q$806,MATCH($A189,SYZ_static!$A$2:$A$806,0)),"")))</f>
        <v/>
      </c>
      <c r="D189" s="8">
        <f>IF($A189="","",IFERROR(INDEX(SYZ_static!$B$2:$B$806,MATCH($A189,SYZ_static!$A$2:$A$806,0)),""))</f>
        <v/>
      </c>
      <c r="E189" s="8">
        <f>IF($A189="","",_xll.BDP($A189&amp;" Corp","INDUSTRY_SECTOR"))</f>
        <v/>
      </c>
      <c r="F189" s="8">
        <f>IF($A189="","",PROPER(_xll.BDP($A189&amp;" Corp","COUNTRY_FULL_NAME")))</f>
        <v/>
      </c>
      <c r="G189" s="8">
        <f>IF($A189="","",_xll.BDP($A189&amp;" Corp","CRNCY"))</f>
        <v/>
      </c>
      <c r="H189" s="8">
        <f>IF($A189="","",IFERROR(INDEX(SYZ_static!$T$2:$T$806,MATCH($A189,SYZ_static!$A$2:$A$806,0)),_xll.BDP($A189&amp;" Corp","RTG_SP")))</f>
        <v/>
      </c>
      <c r="I189" s="8">
        <f>IF($A189="","",IFERROR(INDEX(SYZ_static!$S$2:$S$806,MATCH($A189,SYZ_static!$A$2:$A$806,0)),""))</f>
        <v/>
      </c>
      <c r="J189" s="8">
        <f>IF($A189="","",_xll.BDP($A189&amp;" Corp","PAYMENT_RANK"))</f>
        <v/>
      </c>
      <c r="K189" s="9">
        <f>IF($A189="","",_xll.BDP($A189&amp;" Corp","CPN"))</f>
        <v/>
      </c>
      <c r="L189" s="10">
        <f>IF($A189="","",_xll.BDP($A189&amp;" Corp","MATURITY"))</f>
        <v/>
      </c>
      <c r="M189" s="11">
        <f>IF($A189="","",IFERROR(_xll.BDP($A189&amp;" Corp","MIN_PIECE")/1000,""))</f>
        <v/>
      </c>
      <c r="N189" s="12">
        <f>IF($A189="","",_xll.BDP($A189&amp;" Corp","PX_LAST"))</f>
        <v/>
      </c>
      <c r="O189" s="12">
        <f>IF($A189="","",_xll.BDP($A189&amp;" Corp","YAS_BOND_YLD","YAS_YLD_FLAG=15"))</f>
        <v/>
      </c>
      <c r="P189" s="12">
        <f>IF($A189="","",_xll.BDP($A189&amp;" Corp","YAS_MOD_DUR"))</f>
        <v/>
      </c>
      <c r="Q189" s="13">
        <f>IF($A189="","",_xll.BDP($A189&amp;" Corp","YAS_OAS_SPRD"))</f>
        <v/>
      </c>
      <c r="R189" s="13">
        <f>IF($A189="","",_xll.BDP($A189&amp;" Corp","YAS_OAS_SPRD","SETTLE_DT",$B$2))</f>
        <v/>
      </c>
      <c r="S189" s="14">
        <f>IF($A189="","",IF(OR(NOT(ISNUMBER($Q189)),NOT(ISNUMBER($R189))),"",$Q189-$R189))</f>
        <v/>
      </c>
      <c r="T189" s="12">
        <f>IF($A189="","",_xll.BDP($A189&amp;" Corp","YAS_BOND_YLD","YAS_YLD_FLAG=15","SETTLE_DT",$B$2))</f>
        <v/>
      </c>
      <c r="U189" s="15">
        <f>IF($A189="","",IF(OR(NOT(ISNUMBER($O189)),NOT(ISNUMBER($T189))),"",$O189-$T189))</f>
        <v/>
      </c>
      <c r="V189" s="13">
        <f>IF(NOT(ISNUMBER($S189)),"",COUNTIFS($G$7:$G$850,$G189,$S$7:$S$850,"&gt;"&amp;$S189)+COUNTIFS($G$7:$G189,$G189,$S$7:$S189,$S189))</f>
        <v/>
      </c>
      <c r="W189" s="13">
        <f>IF(NOT(ISNUMBER($S189)),"",COUNTIFS($G$7:$G$850,$G189,$S$7:$S$850,"&lt;"&amp;$S189)+COUNTIFS($G$7:$G189,$G189,$S$7:$S189,$S189))</f>
        <v/>
      </c>
      <c r="X189" s="8">
        <f>IF($V189="","",$G189&amp;"|"&amp;$V189)</f>
        <v/>
      </c>
      <c r="Y189" s="8">
        <f>IF($W189="","",$G189&amp;"|"&amp;$W189)</f>
        <v/>
      </c>
    </row>
    <row r="190">
      <c r="A190" s="16" t="inlineStr">
        <is>
          <t>USN29505AB53</t>
        </is>
      </c>
      <c r="B190" s="17">
        <f>IF($A190="","",PROPER(_xll.BDP($A190&amp;" Corp","NAME")))</f>
        <v/>
      </c>
      <c r="C190" s="17">
        <f>IF($A190="","",IFERROR(INDEX(Company_desc!$B$2:$B$1144,MATCH($A190,Company_desc!$A$2:$A$1144,0)),IFERROR(INDEX(SYZ_static!$Q$2:$Q$806,MATCH($A190,SYZ_static!$A$2:$A$806,0)),"")))</f>
        <v/>
      </c>
      <c r="D190" s="17">
        <f>IF($A190="","",IFERROR(INDEX(SYZ_static!$B$2:$B$806,MATCH($A190,SYZ_static!$A$2:$A$806,0)),""))</f>
        <v/>
      </c>
      <c r="E190" s="17">
        <f>IF($A190="","",_xll.BDP($A190&amp;" Corp","INDUSTRY_SECTOR"))</f>
        <v/>
      </c>
      <c r="F190" s="17">
        <f>IF($A190="","",PROPER(_xll.BDP($A190&amp;" Corp","COUNTRY_FULL_NAME")))</f>
        <v/>
      </c>
      <c r="G190" s="17">
        <f>IF($A190="","",_xll.BDP($A190&amp;" Corp","CRNCY"))</f>
        <v/>
      </c>
      <c r="H190" s="17">
        <f>IF($A190="","",IFERROR(INDEX(SYZ_static!$T$2:$T$806,MATCH($A190,SYZ_static!$A$2:$A$806,0)),_xll.BDP($A190&amp;" Corp","RTG_SP")))</f>
        <v/>
      </c>
      <c r="I190" s="17">
        <f>IF($A190="","",IFERROR(INDEX(SYZ_static!$S$2:$S$806,MATCH($A190,SYZ_static!$A$2:$A$806,0)),""))</f>
        <v/>
      </c>
      <c r="J190" s="17">
        <f>IF($A190="","",_xll.BDP($A190&amp;" Corp","PAYMENT_RANK"))</f>
        <v/>
      </c>
      <c r="K190" s="18">
        <f>IF($A190="","",_xll.BDP($A190&amp;" Corp","CPN"))</f>
        <v/>
      </c>
      <c r="L190" s="19">
        <f>IF($A190="","",_xll.BDP($A190&amp;" Corp","MATURITY"))</f>
        <v/>
      </c>
      <c r="M190" s="20">
        <f>IF($A190="","",IFERROR(_xll.BDP($A190&amp;" Corp","MIN_PIECE")/1000,""))</f>
        <v/>
      </c>
      <c r="N190" s="21">
        <f>IF($A190="","",_xll.BDP($A190&amp;" Corp","PX_LAST"))</f>
        <v/>
      </c>
      <c r="O190" s="21">
        <f>IF($A190="","",_xll.BDP($A190&amp;" Corp","YAS_BOND_YLD","YAS_YLD_FLAG=15"))</f>
        <v/>
      </c>
      <c r="P190" s="21">
        <f>IF($A190="","",_xll.BDP($A190&amp;" Corp","YAS_MOD_DUR"))</f>
        <v/>
      </c>
      <c r="Q190" s="22">
        <f>IF($A190="","",_xll.BDP($A190&amp;" Corp","YAS_OAS_SPRD"))</f>
        <v/>
      </c>
      <c r="R190" s="22">
        <f>IF($A190="","",_xll.BDP($A190&amp;" Corp","YAS_OAS_SPRD","SETTLE_DT",$B$2))</f>
        <v/>
      </c>
      <c r="S190" s="23">
        <f>IF($A190="","",IF(OR(NOT(ISNUMBER($Q190)),NOT(ISNUMBER($R190))),"",$Q190-$R190))</f>
        <v/>
      </c>
      <c r="T190" s="21">
        <f>IF($A190="","",_xll.BDP($A190&amp;" Corp","YAS_BOND_YLD","YAS_YLD_FLAG=15","SETTLE_DT",$B$2))</f>
        <v/>
      </c>
      <c r="U190" s="24">
        <f>IF($A190="","",IF(OR(NOT(ISNUMBER($O190)),NOT(ISNUMBER($T190))),"",$O190-$T190))</f>
        <v/>
      </c>
      <c r="V190" s="22">
        <f>IF(NOT(ISNUMBER($S190)),"",COUNTIFS($G$7:$G$850,$G190,$S$7:$S$850,"&gt;"&amp;$S190)+COUNTIFS($G$7:$G190,$G190,$S$7:$S190,$S190))</f>
        <v/>
      </c>
      <c r="W190" s="22">
        <f>IF(NOT(ISNUMBER($S190)),"",COUNTIFS($G$7:$G$850,$G190,$S$7:$S$850,"&lt;"&amp;$S190)+COUNTIFS($G$7:$G190,$G190,$S$7:$S190,$S190))</f>
        <v/>
      </c>
      <c r="X190" s="17">
        <f>IF($V190="","",$G190&amp;"|"&amp;$V190)</f>
        <v/>
      </c>
      <c r="Y190" s="17">
        <f>IF($W190="","",$G190&amp;"|"&amp;$W190)</f>
        <v/>
      </c>
    </row>
    <row r="191">
      <c r="A191" s="7" t="inlineStr">
        <is>
          <t>USP56236AB16</t>
        </is>
      </c>
      <c r="B191" s="8">
        <f>IF($A191="","",PROPER(_xll.BDP($A191&amp;" Corp","NAME")))</f>
        <v/>
      </c>
      <c r="C191" s="8">
        <f>IF($A191="","",IFERROR(INDEX(Company_desc!$B$2:$B$1144,MATCH($A191,Company_desc!$A$2:$A$1144,0)),IFERROR(INDEX(SYZ_static!$Q$2:$Q$806,MATCH($A191,SYZ_static!$A$2:$A$806,0)),"")))</f>
        <v/>
      </c>
      <c r="D191" s="8">
        <f>IF($A191="","",IFERROR(INDEX(SYZ_static!$B$2:$B$806,MATCH($A191,SYZ_static!$A$2:$A$806,0)),""))</f>
        <v/>
      </c>
      <c r="E191" s="8">
        <f>IF($A191="","",_xll.BDP($A191&amp;" Corp","INDUSTRY_SECTOR"))</f>
        <v/>
      </c>
      <c r="F191" s="8">
        <f>IF($A191="","",PROPER(_xll.BDP($A191&amp;" Corp","COUNTRY_FULL_NAME")))</f>
        <v/>
      </c>
      <c r="G191" s="8">
        <f>IF($A191="","",_xll.BDP($A191&amp;" Corp","CRNCY"))</f>
        <v/>
      </c>
      <c r="H191" s="8">
        <f>IF($A191="","",IFERROR(INDEX(SYZ_static!$T$2:$T$806,MATCH($A191,SYZ_static!$A$2:$A$806,0)),_xll.BDP($A191&amp;" Corp","RTG_SP")))</f>
        <v/>
      </c>
      <c r="I191" s="8">
        <f>IF($A191="","",IFERROR(INDEX(SYZ_static!$S$2:$S$806,MATCH($A191,SYZ_static!$A$2:$A$806,0)),""))</f>
        <v/>
      </c>
      <c r="J191" s="8">
        <f>IF($A191="","",_xll.BDP($A191&amp;" Corp","PAYMENT_RANK"))</f>
        <v/>
      </c>
      <c r="K191" s="9">
        <f>IF($A191="","",_xll.BDP($A191&amp;" Corp","CPN"))</f>
        <v/>
      </c>
      <c r="L191" s="10">
        <f>IF($A191="","",_xll.BDP($A191&amp;" Corp","MATURITY"))</f>
        <v/>
      </c>
      <c r="M191" s="11">
        <f>IF($A191="","",IFERROR(_xll.BDP($A191&amp;" Corp","MIN_PIECE")/1000,""))</f>
        <v/>
      </c>
      <c r="N191" s="12">
        <f>IF($A191="","",_xll.BDP($A191&amp;" Corp","PX_LAST"))</f>
        <v/>
      </c>
      <c r="O191" s="12">
        <f>IF($A191="","",_xll.BDP($A191&amp;" Corp","YAS_BOND_YLD","YAS_YLD_FLAG=15"))</f>
        <v/>
      </c>
      <c r="P191" s="12">
        <f>IF($A191="","",_xll.BDP($A191&amp;" Corp","YAS_MOD_DUR"))</f>
        <v/>
      </c>
      <c r="Q191" s="13">
        <f>IF($A191="","",_xll.BDP($A191&amp;" Corp","YAS_OAS_SPRD"))</f>
        <v/>
      </c>
      <c r="R191" s="13">
        <f>IF($A191="","",_xll.BDP($A191&amp;" Corp","YAS_OAS_SPRD","SETTLE_DT",$B$2))</f>
        <v/>
      </c>
      <c r="S191" s="14">
        <f>IF($A191="","",IF(OR(NOT(ISNUMBER($Q191)),NOT(ISNUMBER($R191))),"",$Q191-$R191))</f>
        <v/>
      </c>
      <c r="T191" s="12">
        <f>IF($A191="","",_xll.BDP($A191&amp;" Corp","YAS_BOND_YLD","YAS_YLD_FLAG=15","SETTLE_DT",$B$2))</f>
        <v/>
      </c>
      <c r="U191" s="15">
        <f>IF($A191="","",IF(OR(NOT(ISNUMBER($O191)),NOT(ISNUMBER($T191))),"",$O191-$T191))</f>
        <v/>
      </c>
      <c r="V191" s="13">
        <f>IF(NOT(ISNUMBER($S191)),"",COUNTIFS($G$7:$G$850,$G191,$S$7:$S$850,"&gt;"&amp;$S191)+COUNTIFS($G$7:$G191,$G191,$S$7:$S191,$S191))</f>
        <v/>
      </c>
      <c r="W191" s="13">
        <f>IF(NOT(ISNUMBER($S191)),"",COUNTIFS($G$7:$G$850,$G191,$S$7:$S$850,"&lt;"&amp;$S191)+COUNTIFS($G$7:$G191,$G191,$S$7:$S191,$S191))</f>
        <v/>
      </c>
      <c r="X191" s="8">
        <f>IF($V191="","",$G191&amp;"|"&amp;$V191)</f>
        <v/>
      </c>
      <c r="Y191" s="8">
        <f>IF($W191="","",$G191&amp;"|"&amp;$W191)</f>
        <v/>
      </c>
    </row>
    <row r="192">
      <c r="A192" s="16" t="inlineStr">
        <is>
          <t>FR001400F2R8</t>
        </is>
      </c>
      <c r="B192" s="17">
        <f>IF($A192="","",PROPER(_xll.BDP($A192&amp;" Corp","NAME")))</f>
        <v/>
      </c>
      <c r="C192" s="17">
        <f>IF($A192="","",IFERROR(INDEX(Company_desc!$B$2:$B$1144,MATCH($A192,Company_desc!$A$2:$A$1144,0)),IFERROR(INDEX(SYZ_static!$Q$2:$Q$806,MATCH($A192,SYZ_static!$A$2:$A$806,0)),"")))</f>
        <v/>
      </c>
      <c r="D192" s="17">
        <f>IF($A192="","",IFERROR(INDEX(SYZ_static!$B$2:$B$806,MATCH($A192,SYZ_static!$A$2:$A$806,0)),""))</f>
        <v/>
      </c>
      <c r="E192" s="17">
        <f>IF($A192="","",_xll.BDP($A192&amp;" Corp","INDUSTRY_SECTOR"))</f>
        <v/>
      </c>
      <c r="F192" s="17">
        <f>IF($A192="","",PROPER(_xll.BDP($A192&amp;" Corp","COUNTRY_FULL_NAME")))</f>
        <v/>
      </c>
      <c r="G192" s="17">
        <f>IF($A192="","",_xll.BDP($A192&amp;" Corp","CRNCY"))</f>
        <v/>
      </c>
      <c r="H192" s="17">
        <f>IF($A192="","",IFERROR(INDEX(SYZ_static!$T$2:$T$806,MATCH($A192,SYZ_static!$A$2:$A$806,0)),_xll.BDP($A192&amp;" Corp","RTG_SP")))</f>
        <v/>
      </c>
      <c r="I192" s="17">
        <f>IF($A192="","",IFERROR(INDEX(SYZ_static!$S$2:$S$806,MATCH($A192,SYZ_static!$A$2:$A$806,0)),""))</f>
        <v/>
      </c>
      <c r="J192" s="17">
        <f>IF($A192="","",_xll.BDP($A192&amp;" Corp","PAYMENT_RANK"))</f>
        <v/>
      </c>
      <c r="K192" s="18">
        <f>IF($A192="","",_xll.BDP($A192&amp;" Corp","CPN"))</f>
        <v/>
      </c>
      <c r="L192" s="19">
        <f>IF($A192="","",_xll.BDP($A192&amp;" Corp","MATURITY"))</f>
        <v/>
      </c>
      <c r="M192" s="20">
        <f>IF($A192="","",IFERROR(_xll.BDP($A192&amp;" Corp","MIN_PIECE")/1000,""))</f>
        <v/>
      </c>
      <c r="N192" s="21">
        <f>IF($A192="","",_xll.BDP($A192&amp;" Corp","PX_LAST"))</f>
        <v/>
      </c>
      <c r="O192" s="21">
        <f>IF($A192="","",_xll.BDP($A192&amp;" Corp","YAS_BOND_YLD","YAS_YLD_FLAG=15"))</f>
        <v/>
      </c>
      <c r="P192" s="21">
        <f>IF($A192="","",_xll.BDP($A192&amp;" Corp","YAS_MOD_DUR"))</f>
        <v/>
      </c>
      <c r="Q192" s="22">
        <f>IF($A192="","",_xll.BDP($A192&amp;" Corp","YAS_OAS_SPRD"))</f>
        <v/>
      </c>
      <c r="R192" s="22">
        <f>IF($A192="","",_xll.BDP($A192&amp;" Corp","YAS_OAS_SPRD","SETTLE_DT",$B$2))</f>
        <v/>
      </c>
      <c r="S192" s="23">
        <f>IF($A192="","",IF(OR(NOT(ISNUMBER($Q192)),NOT(ISNUMBER($R192))),"",$Q192-$R192))</f>
        <v/>
      </c>
      <c r="T192" s="21">
        <f>IF($A192="","",_xll.BDP($A192&amp;" Corp","YAS_BOND_YLD","YAS_YLD_FLAG=15","SETTLE_DT",$B$2))</f>
        <v/>
      </c>
      <c r="U192" s="24">
        <f>IF($A192="","",IF(OR(NOT(ISNUMBER($O192)),NOT(ISNUMBER($T192))),"",$O192-$T192))</f>
        <v/>
      </c>
      <c r="V192" s="22">
        <f>IF(NOT(ISNUMBER($S192)),"",COUNTIFS($G$7:$G$850,$G192,$S$7:$S$850,"&gt;"&amp;$S192)+COUNTIFS($G$7:$G192,$G192,$S$7:$S192,$S192))</f>
        <v/>
      </c>
      <c r="W192" s="22">
        <f>IF(NOT(ISNUMBER($S192)),"",COUNTIFS($G$7:$G$850,$G192,$S$7:$S$850,"&lt;"&amp;$S192)+COUNTIFS($G$7:$G192,$G192,$S$7:$S192,$S192))</f>
        <v/>
      </c>
      <c r="X192" s="17">
        <f>IF($V192="","",$G192&amp;"|"&amp;$V192)</f>
        <v/>
      </c>
      <c r="Y192" s="17">
        <f>IF($W192="","",$G192&amp;"|"&amp;$W192)</f>
        <v/>
      </c>
    </row>
    <row r="193">
      <c r="A193" s="7" t="inlineStr">
        <is>
          <t>US91911TAR41</t>
        </is>
      </c>
      <c r="B193" s="8">
        <f>IF($A193="","",PROPER(_xll.BDP($A193&amp;" Corp","NAME")))</f>
        <v/>
      </c>
      <c r="C193" s="8">
        <f>IF($A193="","",IFERROR(INDEX(Company_desc!$B$2:$B$1144,MATCH($A193,Company_desc!$A$2:$A$1144,0)),IFERROR(INDEX(SYZ_static!$Q$2:$Q$806,MATCH($A193,SYZ_static!$A$2:$A$806,0)),"")))</f>
        <v/>
      </c>
      <c r="D193" s="8">
        <f>IF($A193="","",IFERROR(INDEX(SYZ_static!$B$2:$B$806,MATCH($A193,SYZ_static!$A$2:$A$806,0)),""))</f>
        <v/>
      </c>
      <c r="E193" s="8">
        <f>IF($A193="","",_xll.BDP($A193&amp;" Corp","INDUSTRY_SECTOR"))</f>
        <v/>
      </c>
      <c r="F193" s="8">
        <f>IF($A193="","",PROPER(_xll.BDP($A193&amp;" Corp","COUNTRY_FULL_NAME")))</f>
        <v/>
      </c>
      <c r="G193" s="8">
        <f>IF($A193="","",_xll.BDP($A193&amp;" Corp","CRNCY"))</f>
        <v/>
      </c>
      <c r="H193" s="8">
        <f>IF($A193="","",IFERROR(INDEX(SYZ_static!$T$2:$T$806,MATCH($A193,SYZ_static!$A$2:$A$806,0)),_xll.BDP($A193&amp;" Corp","RTG_SP")))</f>
        <v/>
      </c>
      <c r="I193" s="8">
        <f>IF($A193="","",IFERROR(INDEX(SYZ_static!$S$2:$S$806,MATCH($A193,SYZ_static!$A$2:$A$806,0)),""))</f>
        <v/>
      </c>
      <c r="J193" s="8">
        <f>IF($A193="","",_xll.BDP($A193&amp;" Corp","PAYMENT_RANK"))</f>
        <v/>
      </c>
      <c r="K193" s="9">
        <f>IF($A193="","",_xll.BDP($A193&amp;" Corp","CPN"))</f>
        <v/>
      </c>
      <c r="L193" s="10">
        <f>IF($A193="","",_xll.BDP($A193&amp;" Corp","MATURITY"))</f>
        <v/>
      </c>
      <c r="M193" s="11">
        <f>IF($A193="","",IFERROR(_xll.BDP($A193&amp;" Corp","MIN_PIECE")/1000,""))</f>
        <v/>
      </c>
      <c r="N193" s="12">
        <f>IF($A193="","",_xll.BDP($A193&amp;" Corp","PX_LAST"))</f>
        <v/>
      </c>
      <c r="O193" s="12">
        <f>IF($A193="","",_xll.BDP($A193&amp;" Corp","YAS_BOND_YLD","YAS_YLD_FLAG=15"))</f>
        <v/>
      </c>
      <c r="P193" s="12">
        <f>IF($A193="","",_xll.BDP($A193&amp;" Corp","YAS_MOD_DUR"))</f>
        <v/>
      </c>
      <c r="Q193" s="13">
        <f>IF($A193="","",_xll.BDP($A193&amp;" Corp","YAS_OAS_SPRD"))</f>
        <v/>
      </c>
      <c r="R193" s="13">
        <f>IF($A193="","",_xll.BDP($A193&amp;" Corp","YAS_OAS_SPRD","SETTLE_DT",$B$2))</f>
        <v/>
      </c>
      <c r="S193" s="14">
        <f>IF($A193="","",IF(OR(NOT(ISNUMBER($Q193)),NOT(ISNUMBER($R193))),"",$Q193-$R193))</f>
        <v/>
      </c>
      <c r="T193" s="12">
        <f>IF($A193="","",_xll.BDP($A193&amp;" Corp","YAS_BOND_YLD","YAS_YLD_FLAG=15","SETTLE_DT",$B$2))</f>
        <v/>
      </c>
      <c r="U193" s="15">
        <f>IF($A193="","",IF(OR(NOT(ISNUMBER($O193)),NOT(ISNUMBER($T193))),"",$O193-$T193))</f>
        <v/>
      </c>
      <c r="V193" s="13">
        <f>IF(NOT(ISNUMBER($S193)),"",COUNTIFS($G$7:$G$850,$G193,$S$7:$S$850,"&gt;"&amp;$S193)+COUNTIFS($G$7:$G193,$G193,$S$7:$S193,$S193))</f>
        <v/>
      </c>
      <c r="W193" s="13">
        <f>IF(NOT(ISNUMBER($S193)),"",COUNTIFS($G$7:$G$850,$G193,$S$7:$S$850,"&lt;"&amp;$S193)+COUNTIFS($G$7:$G193,$G193,$S$7:$S193,$S193))</f>
        <v/>
      </c>
      <c r="X193" s="8">
        <f>IF($V193="","",$G193&amp;"|"&amp;$V193)</f>
        <v/>
      </c>
      <c r="Y193" s="8">
        <f>IF($W193="","",$G193&amp;"|"&amp;$W193)</f>
        <v/>
      </c>
    </row>
    <row r="194">
      <c r="A194" s="16" t="inlineStr">
        <is>
          <t>USP75744AM75</t>
        </is>
      </c>
      <c r="B194" s="17">
        <f>IF($A194="","",PROPER(_xll.BDP($A194&amp;" Corp","NAME")))</f>
        <v/>
      </c>
      <c r="C194" s="17">
        <f>IF($A194="","",IFERROR(INDEX(Company_desc!$B$2:$B$1144,MATCH($A194,Company_desc!$A$2:$A$1144,0)),IFERROR(INDEX(SYZ_static!$Q$2:$Q$806,MATCH($A194,SYZ_static!$A$2:$A$806,0)),"")))</f>
        <v/>
      </c>
      <c r="D194" s="17">
        <f>IF($A194="","",IFERROR(INDEX(SYZ_static!$B$2:$B$806,MATCH($A194,SYZ_static!$A$2:$A$806,0)),""))</f>
        <v/>
      </c>
      <c r="E194" s="17">
        <f>IF($A194="","",_xll.BDP($A194&amp;" Corp","INDUSTRY_SECTOR"))</f>
        <v/>
      </c>
      <c r="F194" s="17">
        <f>IF($A194="","",PROPER(_xll.BDP($A194&amp;" Corp","COUNTRY_FULL_NAME")))</f>
        <v/>
      </c>
      <c r="G194" s="17">
        <f>IF($A194="","",_xll.BDP($A194&amp;" Corp","CRNCY"))</f>
        <v/>
      </c>
      <c r="H194" s="17">
        <f>IF($A194="","",IFERROR(INDEX(SYZ_static!$T$2:$T$806,MATCH($A194,SYZ_static!$A$2:$A$806,0)),_xll.BDP($A194&amp;" Corp","RTG_SP")))</f>
        <v/>
      </c>
      <c r="I194" s="17">
        <f>IF($A194="","",IFERROR(INDEX(SYZ_static!$S$2:$S$806,MATCH($A194,SYZ_static!$A$2:$A$806,0)),""))</f>
        <v/>
      </c>
      <c r="J194" s="17">
        <f>IF($A194="","",_xll.BDP($A194&amp;" Corp","PAYMENT_RANK"))</f>
        <v/>
      </c>
      <c r="K194" s="18">
        <f>IF($A194="","",_xll.BDP($A194&amp;" Corp","CPN"))</f>
        <v/>
      </c>
      <c r="L194" s="19">
        <f>IF($A194="","",_xll.BDP($A194&amp;" Corp","MATURITY"))</f>
        <v/>
      </c>
      <c r="M194" s="20">
        <f>IF($A194="","",IFERROR(_xll.BDP($A194&amp;" Corp","MIN_PIECE")/1000,""))</f>
        <v/>
      </c>
      <c r="N194" s="21">
        <f>IF($A194="","",_xll.BDP($A194&amp;" Corp","PX_LAST"))</f>
        <v/>
      </c>
      <c r="O194" s="21">
        <f>IF($A194="","",_xll.BDP($A194&amp;" Corp","YAS_BOND_YLD","YAS_YLD_FLAG=15"))</f>
        <v/>
      </c>
      <c r="P194" s="21">
        <f>IF($A194="","",_xll.BDP($A194&amp;" Corp","YAS_MOD_DUR"))</f>
        <v/>
      </c>
      <c r="Q194" s="22">
        <f>IF($A194="","",_xll.BDP($A194&amp;" Corp","YAS_OAS_SPRD"))</f>
        <v/>
      </c>
      <c r="R194" s="22">
        <f>IF($A194="","",_xll.BDP($A194&amp;" Corp","YAS_OAS_SPRD","SETTLE_DT",$B$2))</f>
        <v/>
      </c>
      <c r="S194" s="23">
        <f>IF($A194="","",IF(OR(NOT(ISNUMBER($Q194)),NOT(ISNUMBER($R194))),"",$Q194-$R194))</f>
        <v/>
      </c>
      <c r="T194" s="21">
        <f>IF($A194="","",_xll.BDP($A194&amp;" Corp","YAS_BOND_YLD","YAS_YLD_FLAG=15","SETTLE_DT",$B$2))</f>
        <v/>
      </c>
      <c r="U194" s="24">
        <f>IF($A194="","",IF(OR(NOT(ISNUMBER($O194)),NOT(ISNUMBER($T194))),"",$O194-$T194))</f>
        <v/>
      </c>
      <c r="V194" s="22">
        <f>IF(NOT(ISNUMBER($S194)),"",COUNTIFS($G$7:$G$850,$G194,$S$7:$S$850,"&gt;"&amp;$S194)+COUNTIFS($G$7:$G194,$G194,$S$7:$S194,$S194))</f>
        <v/>
      </c>
      <c r="W194" s="22">
        <f>IF(NOT(ISNUMBER($S194)),"",COUNTIFS($G$7:$G$850,$G194,$S$7:$S$850,"&lt;"&amp;$S194)+COUNTIFS($G$7:$G194,$G194,$S$7:$S194,$S194))</f>
        <v/>
      </c>
      <c r="X194" s="17">
        <f>IF($V194="","",$G194&amp;"|"&amp;$V194)</f>
        <v/>
      </c>
      <c r="Y194" s="17">
        <f>IF($W194="","",$G194&amp;"|"&amp;$W194)</f>
        <v/>
      </c>
    </row>
    <row r="195">
      <c r="A195" s="7" t="inlineStr">
        <is>
          <t>CH1357852800</t>
        </is>
      </c>
      <c r="B195" s="8">
        <f>IF($A195="","",PROPER(_xll.BDP($A195&amp;" Corp","NAME")))</f>
        <v/>
      </c>
      <c r="C195" s="8">
        <f>IF($A195="","",IFERROR(INDEX(Company_desc!$B$2:$B$1144,MATCH($A195,Company_desc!$A$2:$A$1144,0)),IFERROR(INDEX(SYZ_static!$Q$2:$Q$806,MATCH($A195,SYZ_static!$A$2:$A$806,0)),"")))</f>
        <v/>
      </c>
      <c r="D195" s="8">
        <f>IF($A195="","",IFERROR(INDEX(SYZ_static!$B$2:$B$806,MATCH($A195,SYZ_static!$A$2:$A$806,0)),""))</f>
        <v/>
      </c>
      <c r="E195" s="8">
        <f>IF($A195="","",_xll.BDP($A195&amp;" Corp","INDUSTRY_SECTOR"))</f>
        <v/>
      </c>
      <c r="F195" s="8">
        <f>IF($A195="","",PROPER(_xll.BDP($A195&amp;" Corp","COUNTRY_FULL_NAME")))</f>
        <v/>
      </c>
      <c r="G195" s="8">
        <f>IF($A195="","",_xll.BDP($A195&amp;" Corp","CRNCY"))</f>
        <v/>
      </c>
      <c r="H195" s="8">
        <f>IF($A195="","",IFERROR(INDEX(SYZ_static!$T$2:$T$806,MATCH($A195,SYZ_static!$A$2:$A$806,0)),_xll.BDP($A195&amp;" Corp","RTG_SP")))</f>
        <v/>
      </c>
      <c r="I195" s="8">
        <f>IF($A195="","",IFERROR(INDEX(SYZ_static!$S$2:$S$806,MATCH($A195,SYZ_static!$A$2:$A$806,0)),""))</f>
        <v/>
      </c>
      <c r="J195" s="8">
        <f>IF($A195="","",_xll.BDP($A195&amp;" Corp","PAYMENT_RANK"))</f>
        <v/>
      </c>
      <c r="K195" s="9">
        <f>IF($A195="","",_xll.BDP($A195&amp;" Corp","CPN"))</f>
        <v/>
      </c>
      <c r="L195" s="10">
        <f>IF($A195="","",_xll.BDP($A195&amp;" Corp","MATURITY"))</f>
        <v/>
      </c>
      <c r="M195" s="11">
        <f>IF($A195="","",IFERROR(_xll.BDP($A195&amp;" Corp","MIN_PIECE")/1000,""))</f>
        <v/>
      </c>
      <c r="N195" s="12">
        <f>IF($A195="","",_xll.BDP($A195&amp;" Corp","PX_LAST"))</f>
        <v/>
      </c>
      <c r="O195" s="12">
        <f>IF($A195="","",_xll.BDP($A195&amp;" Corp","YAS_BOND_YLD","YAS_YLD_FLAG=15"))</f>
        <v/>
      </c>
      <c r="P195" s="12">
        <f>IF($A195="","",_xll.BDP($A195&amp;" Corp","YAS_MOD_DUR"))</f>
        <v/>
      </c>
      <c r="Q195" s="13">
        <f>IF($A195="","",_xll.BDP($A195&amp;" Corp","YAS_OAS_SPRD"))</f>
        <v/>
      </c>
      <c r="R195" s="13">
        <f>IF($A195="","",_xll.BDP($A195&amp;" Corp","YAS_OAS_SPRD","SETTLE_DT",$B$2))</f>
        <v/>
      </c>
      <c r="S195" s="14">
        <f>IF($A195="","",IF(OR(NOT(ISNUMBER($Q195)),NOT(ISNUMBER($R195))),"",$Q195-$R195))</f>
        <v/>
      </c>
      <c r="T195" s="12">
        <f>IF($A195="","",_xll.BDP($A195&amp;" Corp","YAS_BOND_YLD","YAS_YLD_FLAG=15","SETTLE_DT",$B$2))</f>
        <v/>
      </c>
      <c r="U195" s="15">
        <f>IF($A195="","",IF(OR(NOT(ISNUMBER($O195)),NOT(ISNUMBER($T195))),"",$O195-$T195))</f>
        <v/>
      </c>
      <c r="V195" s="13">
        <f>IF(NOT(ISNUMBER($S195)),"",COUNTIFS($G$7:$G$850,$G195,$S$7:$S$850,"&gt;"&amp;$S195)+COUNTIFS($G$7:$G195,$G195,$S$7:$S195,$S195))</f>
        <v/>
      </c>
      <c r="W195" s="13">
        <f>IF(NOT(ISNUMBER($S195)),"",COUNTIFS($G$7:$G$850,$G195,$S$7:$S$850,"&lt;"&amp;$S195)+COUNTIFS($G$7:$G195,$G195,$S$7:$S195,$S195))</f>
        <v/>
      </c>
      <c r="X195" s="8">
        <f>IF($V195="","",$G195&amp;"|"&amp;$V195)</f>
        <v/>
      </c>
      <c r="Y195" s="8">
        <f>IF($W195="","",$G195&amp;"|"&amp;$W195)</f>
        <v/>
      </c>
    </row>
    <row r="196">
      <c r="A196" s="16" t="inlineStr">
        <is>
          <t>US06051GKY43</t>
        </is>
      </c>
      <c r="B196" s="17">
        <f>IF($A196="","",PROPER(_xll.BDP($A196&amp;" Corp","NAME")))</f>
        <v/>
      </c>
      <c r="C196" s="17">
        <f>IF($A196="","",IFERROR(INDEX(Company_desc!$B$2:$B$1144,MATCH($A196,Company_desc!$A$2:$A$1144,0)),IFERROR(INDEX(SYZ_static!$Q$2:$Q$806,MATCH($A196,SYZ_static!$A$2:$A$806,0)),"")))</f>
        <v/>
      </c>
      <c r="D196" s="17">
        <f>IF($A196="","",IFERROR(INDEX(SYZ_static!$B$2:$B$806,MATCH($A196,SYZ_static!$A$2:$A$806,0)),""))</f>
        <v/>
      </c>
      <c r="E196" s="17">
        <f>IF($A196="","",_xll.BDP($A196&amp;" Corp","INDUSTRY_SECTOR"))</f>
        <v/>
      </c>
      <c r="F196" s="17">
        <f>IF($A196="","",PROPER(_xll.BDP($A196&amp;" Corp","COUNTRY_FULL_NAME")))</f>
        <v/>
      </c>
      <c r="G196" s="17">
        <f>IF($A196="","",_xll.BDP($A196&amp;" Corp","CRNCY"))</f>
        <v/>
      </c>
      <c r="H196" s="17">
        <f>IF($A196="","",IFERROR(INDEX(SYZ_static!$T$2:$T$806,MATCH($A196,SYZ_static!$A$2:$A$806,0)),_xll.BDP($A196&amp;" Corp","RTG_SP")))</f>
        <v/>
      </c>
      <c r="I196" s="17">
        <f>IF($A196="","",IFERROR(INDEX(SYZ_static!$S$2:$S$806,MATCH($A196,SYZ_static!$A$2:$A$806,0)),""))</f>
        <v/>
      </c>
      <c r="J196" s="17">
        <f>IF($A196="","",_xll.BDP($A196&amp;" Corp","PAYMENT_RANK"))</f>
        <v/>
      </c>
      <c r="K196" s="18">
        <f>IF($A196="","",_xll.BDP($A196&amp;" Corp","CPN"))</f>
        <v/>
      </c>
      <c r="L196" s="19">
        <f>IF($A196="","",_xll.BDP($A196&amp;" Corp","MATURITY"))</f>
        <v/>
      </c>
      <c r="M196" s="20">
        <f>IF($A196="","",IFERROR(_xll.BDP($A196&amp;" Corp","MIN_PIECE")/1000,""))</f>
        <v/>
      </c>
      <c r="N196" s="21">
        <f>IF($A196="","",_xll.BDP($A196&amp;" Corp","PX_LAST"))</f>
        <v/>
      </c>
      <c r="O196" s="21">
        <f>IF($A196="","",_xll.BDP($A196&amp;" Corp","YAS_BOND_YLD","YAS_YLD_FLAG=15"))</f>
        <v/>
      </c>
      <c r="P196" s="21">
        <f>IF($A196="","",_xll.BDP($A196&amp;" Corp","YAS_MOD_DUR"))</f>
        <v/>
      </c>
      <c r="Q196" s="22">
        <f>IF($A196="","",_xll.BDP($A196&amp;" Corp","YAS_OAS_SPRD"))</f>
        <v/>
      </c>
      <c r="R196" s="22">
        <f>IF($A196="","",_xll.BDP($A196&amp;" Corp","YAS_OAS_SPRD","SETTLE_DT",$B$2))</f>
        <v/>
      </c>
      <c r="S196" s="23">
        <f>IF($A196="","",IF(OR(NOT(ISNUMBER($Q196)),NOT(ISNUMBER($R196))),"",$Q196-$R196))</f>
        <v/>
      </c>
      <c r="T196" s="21">
        <f>IF($A196="","",_xll.BDP($A196&amp;" Corp","YAS_BOND_YLD","YAS_YLD_FLAG=15","SETTLE_DT",$B$2))</f>
        <v/>
      </c>
      <c r="U196" s="24">
        <f>IF($A196="","",IF(OR(NOT(ISNUMBER($O196)),NOT(ISNUMBER($T196))),"",$O196-$T196))</f>
        <v/>
      </c>
      <c r="V196" s="22">
        <f>IF(NOT(ISNUMBER($S196)),"",COUNTIFS($G$7:$G$850,$G196,$S$7:$S$850,"&gt;"&amp;$S196)+COUNTIFS($G$7:$G196,$G196,$S$7:$S196,$S196))</f>
        <v/>
      </c>
      <c r="W196" s="22">
        <f>IF(NOT(ISNUMBER($S196)),"",COUNTIFS($G$7:$G$850,$G196,$S$7:$S$850,"&lt;"&amp;$S196)+COUNTIFS($G$7:$G196,$G196,$S$7:$S196,$S196))</f>
        <v/>
      </c>
      <c r="X196" s="17">
        <f>IF($V196="","",$G196&amp;"|"&amp;$V196)</f>
        <v/>
      </c>
      <c r="Y196" s="17">
        <f>IF($W196="","",$G196&amp;"|"&amp;$W196)</f>
        <v/>
      </c>
    </row>
    <row r="197">
      <c r="A197" s="7" t="inlineStr">
        <is>
          <t>FR001400H1V0</t>
        </is>
      </c>
      <c r="B197" s="8">
        <f>IF($A197="","",PROPER(_xll.BDP($A197&amp;" Corp","NAME")))</f>
        <v/>
      </c>
      <c r="C197" s="8">
        <f>IF($A197="","",IFERROR(INDEX(Company_desc!$B$2:$B$1144,MATCH($A197,Company_desc!$A$2:$A$1144,0)),IFERROR(INDEX(SYZ_static!$Q$2:$Q$806,MATCH($A197,SYZ_static!$A$2:$A$806,0)),"")))</f>
        <v/>
      </c>
      <c r="D197" s="8">
        <f>IF($A197="","",IFERROR(INDEX(SYZ_static!$B$2:$B$806,MATCH($A197,SYZ_static!$A$2:$A$806,0)),""))</f>
        <v/>
      </c>
      <c r="E197" s="8">
        <f>IF($A197="","",_xll.BDP($A197&amp;" Corp","INDUSTRY_SECTOR"))</f>
        <v/>
      </c>
      <c r="F197" s="8">
        <f>IF($A197="","",PROPER(_xll.BDP($A197&amp;" Corp","COUNTRY_FULL_NAME")))</f>
        <v/>
      </c>
      <c r="G197" s="8">
        <f>IF($A197="","",_xll.BDP($A197&amp;" Corp","CRNCY"))</f>
        <v/>
      </c>
      <c r="H197" s="8">
        <f>IF($A197="","",IFERROR(INDEX(SYZ_static!$T$2:$T$806,MATCH($A197,SYZ_static!$A$2:$A$806,0)),_xll.BDP($A197&amp;" Corp","RTG_SP")))</f>
        <v/>
      </c>
      <c r="I197" s="8">
        <f>IF($A197="","",IFERROR(INDEX(SYZ_static!$S$2:$S$806,MATCH($A197,SYZ_static!$A$2:$A$806,0)),""))</f>
        <v/>
      </c>
      <c r="J197" s="8">
        <f>IF($A197="","",_xll.BDP($A197&amp;" Corp","PAYMENT_RANK"))</f>
        <v/>
      </c>
      <c r="K197" s="9">
        <f>IF($A197="","",_xll.BDP($A197&amp;" Corp","CPN"))</f>
        <v/>
      </c>
      <c r="L197" s="10">
        <f>IF($A197="","",_xll.BDP($A197&amp;" Corp","MATURITY"))</f>
        <v/>
      </c>
      <c r="M197" s="11">
        <f>IF($A197="","",IFERROR(_xll.BDP($A197&amp;" Corp","MIN_PIECE")/1000,""))</f>
        <v/>
      </c>
      <c r="N197" s="12">
        <f>IF($A197="","",_xll.BDP($A197&amp;" Corp","PX_LAST"))</f>
        <v/>
      </c>
      <c r="O197" s="12">
        <f>IF($A197="","",_xll.BDP($A197&amp;" Corp","YAS_BOND_YLD","YAS_YLD_FLAG=15"))</f>
        <v/>
      </c>
      <c r="P197" s="12">
        <f>IF($A197="","",_xll.BDP($A197&amp;" Corp","YAS_MOD_DUR"))</f>
        <v/>
      </c>
      <c r="Q197" s="13">
        <f>IF($A197="","",_xll.BDP($A197&amp;" Corp","YAS_OAS_SPRD"))</f>
        <v/>
      </c>
      <c r="R197" s="13">
        <f>IF($A197="","",_xll.BDP($A197&amp;" Corp","YAS_OAS_SPRD","SETTLE_DT",$B$2))</f>
        <v/>
      </c>
      <c r="S197" s="14">
        <f>IF($A197="","",IF(OR(NOT(ISNUMBER($Q197)),NOT(ISNUMBER($R197))),"",$Q197-$R197))</f>
        <v/>
      </c>
      <c r="T197" s="12">
        <f>IF($A197="","",_xll.BDP($A197&amp;" Corp","YAS_BOND_YLD","YAS_YLD_FLAG=15","SETTLE_DT",$B$2))</f>
        <v/>
      </c>
      <c r="U197" s="15">
        <f>IF($A197="","",IF(OR(NOT(ISNUMBER($O197)),NOT(ISNUMBER($T197))),"",$O197-$T197))</f>
        <v/>
      </c>
      <c r="V197" s="13">
        <f>IF(NOT(ISNUMBER($S197)),"",COUNTIFS($G$7:$G$850,$G197,$S$7:$S$850,"&gt;"&amp;$S197)+COUNTIFS($G$7:$G197,$G197,$S$7:$S197,$S197))</f>
        <v/>
      </c>
      <c r="W197" s="13">
        <f>IF(NOT(ISNUMBER($S197)),"",COUNTIFS($G$7:$G$850,$G197,$S$7:$S$850,"&lt;"&amp;$S197)+COUNTIFS($G$7:$G197,$G197,$S$7:$S197,$S197))</f>
        <v/>
      </c>
      <c r="X197" s="8">
        <f>IF($V197="","",$G197&amp;"|"&amp;$V197)</f>
        <v/>
      </c>
      <c r="Y197" s="8">
        <f>IF($W197="","",$G197&amp;"|"&amp;$W197)</f>
        <v/>
      </c>
    </row>
    <row r="198">
      <c r="A198" s="16" t="inlineStr">
        <is>
          <t>US09659X2R20</t>
        </is>
      </c>
      <c r="B198" s="17">
        <f>IF($A198="","",PROPER(_xll.BDP($A198&amp;" Corp","NAME")))</f>
        <v/>
      </c>
      <c r="C198" s="17">
        <f>IF($A198="","",IFERROR(INDEX(Company_desc!$B$2:$B$1144,MATCH($A198,Company_desc!$A$2:$A$1144,0)),IFERROR(INDEX(SYZ_static!$Q$2:$Q$806,MATCH($A198,SYZ_static!$A$2:$A$806,0)),"")))</f>
        <v/>
      </c>
      <c r="D198" s="17">
        <f>IF($A198="","",IFERROR(INDEX(SYZ_static!$B$2:$B$806,MATCH($A198,SYZ_static!$A$2:$A$806,0)),""))</f>
        <v/>
      </c>
      <c r="E198" s="17">
        <f>IF($A198="","",_xll.BDP($A198&amp;" Corp","INDUSTRY_SECTOR"))</f>
        <v/>
      </c>
      <c r="F198" s="17">
        <f>IF($A198="","",PROPER(_xll.BDP($A198&amp;" Corp","COUNTRY_FULL_NAME")))</f>
        <v/>
      </c>
      <c r="G198" s="17">
        <f>IF($A198="","",_xll.BDP($A198&amp;" Corp","CRNCY"))</f>
        <v/>
      </c>
      <c r="H198" s="17">
        <f>IF($A198="","",IFERROR(INDEX(SYZ_static!$T$2:$T$806,MATCH($A198,SYZ_static!$A$2:$A$806,0)),_xll.BDP($A198&amp;" Corp","RTG_SP")))</f>
        <v/>
      </c>
      <c r="I198" s="17">
        <f>IF($A198="","",IFERROR(INDEX(SYZ_static!$S$2:$S$806,MATCH($A198,SYZ_static!$A$2:$A$806,0)),""))</f>
        <v/>
      </c>
      <c r="J198" s="17">
        <f>IF($A198="","",_xll.BDP($A198&amp;" Corp","PAYMENT_RANK"))</f>
        <v/>
      </c>
      <c r="K198" s="18">
        <f>IF($A198="","",_xll.BDP($A198&amp;" Corp","CPN"))</f>
        <v/>
      </c>
      <c r="L198" s="19">
        <f>IF($A198="","",_xll.BDP($A198&amp;" Corp","MATURITY"))</f>
        <v/>
      </c>
      <c r="M198" s="20">
        <f>IF($A198="","",IFERROR(_xll.BDP($A198&amp;" Corp","MIN_PIECE")/1000,""))</f>
        <v/>
      </c>
      <c r="N198" s="21">
        <f>IF($A198="","",_xll.BDP($A198&amp;" Corp","PX_LAST"))</f>
        <v/>
      </c>
      <c r="O198" s="21">
        <f>IF($A198="","",_xll.BDP($A198&amp;" Corp","YAS_BOND_YLD","YAS_YLD_FLAG=15"))</f>
        <v/>
      </c>
      <c r="P198" s="21">
        <f>IF($A198="","",_xll.BDP($A198&amp;" Corp","YAS_MOD_DUR"))</f>
        <v/>
      </c>
      <c r="Q198" s="22">
        <f>IF($A198="","",_xll.BDP($A198&amp;" Corp","YAS_OAS_SPRD"))</f>
        <v/>
      </c>
      <c r="R198" s="22">
        <f>IF($A198="","",_xll.BDP($A198&amp;" Corp","YAS_OAS_SPRD","SETTLE_DT",$B$2))</f>
        <v/>
      </c>
      <c r="S198" s="23">
        <f>IF($A198="","",IF(OR(NOT(ISNUMBER($Q198)),NOT(ISNUMBER($R198))),"",$Q198-$R198))</f>
        <v/>
      </c>
      <c r="T198" s="21">
        <f>IF($A198="","",_xll.BDP($A198&amp;" Corp","YAS_BOND_YLD","YAS_YLD_FLAG=15","SETTLE_DT",$B$2))</f>
        <v/>
      </c>
      <c r="U198" s="24">
        <f>IF($A198="","",IF(OR(NOT(ISNUMBER($O198)),NOT(ISNUMBER($T198))),"",$O198-$T198))</f>
        <v/>
      </c>
      <c r="V198" s="22">
        <f>IF(NOT(ISNUMBER($S198)),"",COUNTIFS($G$7:$G$850,$G198,$S$7:$S$850,"&gt;"&amp;$S198)+COUNTIFS($G$7:$G198,$G198,$S$7:$S198,$S198))</f>
        <v/>
      </c>
      <c r="W198" s="22">
        <f>IF(NOT(ISNUMBER($S198)),"",COUNTIFS($G$7:$G$850,$G198,$S$7:$S$850,"&lt;"&amp;$S198)+COUNTIFS($G$7:$G198,$G198,$S$7:$S198,$S198))</f>
        <v/>
      </c>
      <c r="X198" s="17">
        <f>IF($V198="","",$G198&amp;"|"&amp;$V198)</f>
        <v/>
      </c>
      <c r="Y198" s="17">
        <f>IF($W198="","",$G198&amp;"|"&amp;$W198)</f>
        <v/>
      </c>
    </row>
    <row r="199">
      <c r="A199" s="7" t="inlineStr">
        <is>
          <t>US46647PDH64</t>
        </is>
      </c>
      <c r="B199" s="8">
        <f>IF($A199="","",PROPER(_xll.BDP($A199&amp;" Corp","NAME")))</f>
        <v/>
      </c>
      <c r="C199" s="8">
        <f>IF($A199="","",IFERROR(INDEX(Company_desc!$B$2:$B$1144,MATCH($A199,Company_desc!$A$2:$A$1144,0)),IFERROR(INDEX(SYZ_static!$Q$2:$Q$806,MATCH($A199,SYZ_static!$A$2:$A$806,0)),"")))</f>
        <v/>
      </c>
      <c r="D199" s="8">
        <f>IF($A199="","",IFERROR(INDEX(SYZ_static!$B$2:$B$806,MATCH($A199,SYZ_static!$A$2:$A$806,0)),""))</f>
        <v/>
      </c>
      <c r="E199" s="8">
        <f>IF($A199="","",_xll.BDP($A199&amp;" Corp","INDUSTRY_SECTOR"))</f>
        <v/>
      </c>
      <c r="F199" s="8">
        <f>IF($A199="","",PROPER(_xll.BDP($A199&amp;" Corp","COUNTRY_FULL_NAME")))</f>
        <v/>
      </c>
      <c r="G199" s="8">
        <f>IF($A199="","",_xll.BDP($A199&amp;" Corp","CRNCY"))</f>
        <v/>
      </c>
      <c r="H199" s="8">
        <f>IF($A199="","",IFERROR(INDEX(SYZ_static!$T$2:$T$806,MATCH($A199,SYZ_static!$A$2:$A$806,0)),_xll.BDP($A199&amp;" Corp","RTG_SP")))</f>
        <v/>
      </c>
      <c r="I199" s="8">
        <f>IF($A199="","",IFERROR(INDEX(SYZ_static!$S$2:$S$806,MATCH($A199,SYZ_static!$A$2:$A$806,0)),""))</f>
        <v/>
      </c>
      <c r="J199" s="8">
        <f>IF($A199="","",_xll.BDP($A199&amp;" Corp","PAYMENT_RANK"))</f>
        <v/>
      </c>
      <c r="K199" s="9">
        <f>IF($A199="","",_xll.BDP($A199&amp;" Corp","CPN"))</f>
        <v/>
      </c>
      <c r="L199" s="10">
        <f>IF($A199="","",_xll.BDP($A199&amp;" Corp","MATURITY"))</f>
        <v/>
      </c>
      <c r="M199" s="11">
        <f>IF($A199="","",IFERROR(_xll.BDP($A199&amp;" Corp","MIN_PIECE")/1000,""))</f>
        <v/>
      </c>
      <c r="N199" s="12">
        <f>IF($A199="","",_xll.BDP($A199&amp;" Corp","PX_LAST"))</f>
        <v/>
      </c>
      <c r="O199" s="12">
        <f>IF($A199="","",_xll.BDP($A199&amp;" Corp","YAS_BOND_YLD","YAS_YLD_FLAG=15"))</f>
        <v/>
      </c>
      <c r="P199" s="12">
        <f>IF($A199="","",_xll.BDP($A199&amp;" Corp","YAS_MOD_DUR"))</f>
        <v/>
      </c>
      <c r="Q199" s="13">
        <f>IF($A199="","",_xll.BDP($A199&amp;" Corp","YAS_OAS_SPRD"))</f>
        <v/>
      </c>
      <c r="R199" s="13">
        <f>IF($A199="","",_xll.BDP($A199&amp;" Corp","YAS_OAS_SPRD","SETTLE_DT",$B$2))</f>
        <v/>
      </c>
      <c r="S199" s="14">
        <f>IF($A199="","",IF(OR(NOT(ISNUMBER($Q199)),NOT(ISNUMBER($R199))),"",$Q199-$R199))</f>
        <v/>
      </c>
      <c r="T199" s="12">
        <f>IF($A199="","",_xll.BDP($A199&amp;" Corp","YAS_BOND_YLD","YAS_YLD_FLAG=15","SETTLE_DT",$B$2))</f>
        <v/>
      </c>
      <c r="U199" s="15">
        <f>IF($A199="","",IF(OR(NOT(ISNUMBER($O199)),NOT(ISNUMBER($T199))),"",$O199-$T199))</f>
        <v/>
      </c>
      <c r="V199" s="13">
        <f>IF(NOT(ISNUMBER($S199)),"",COUNTIFS($G$7:$G$850,$G199,$S$7:$S$850,"&gt;"&amp;$S199)+COUNTIFS($G$7:$G199,$G199,$S$7:$S199,$S199))</f>
        <v/>
      </c>
      <c r="W199" s="13">
        <f>IF(NOT(ISNUMBER($S199)),"",COUNTIFS($G$7:$G$850,$G199,$S$7:$S$850,"&lt;"&amp;$S199)+COUNTIFS($G$7:$G199,$G199,$S$7:$S199,$S199))</f>
        <v/>
      </c>
      <c r="X199" s="8">
        <f>IF($V199="","",$G199&amp;"|"&amp;$V199)</f>
        <v/>
      </c>
      <c r="Y199" s="8">
        <f>IF($W199="","",$G199&amp;"|"&amp;$W199)</f>
        <v/>
      </c>
    </row>
    <row r="200">
      <c r="A200" s="16" t="inlineStr">
        <is>
          <t>FR001400P3E2</t>
        </is>
      </c>
      <c r="B200" s="17">
        <f>IF($A200="","",PROPER(_xll.BDP($A200&amp;" Corp","NAME")))</f>
        <v/>
      </c>
      <c r="C200" s="17">
        <f>IF($A200="","",IFERROR(INDEX(Company_desc!$B$2:$B$1144,MATCH($A200,Company_desc!$A$2:$A$1144,0)),IFERROR(INDEX(SYZ_static!$Q$2:$Q$806,MATCH($A200,SYZ_static!$A$2:$A$806,0)),"")))</f>
        <v/>
      </c>
      <c r="D200" s="17">
        <f>IF($A200="","",IFERROR(INDEX(SYZ_static!$B$2:$B$806,MATCH($A200,SYZ_static!$A$2:$A$806,0)),""))</f>
        <v/>
      </c>
      <c r="E200" s="17">
        <f>IF($A200="","",_xll.BDP($A200&amp;" Corp","INDUSTRY_SECTOR"))</f>
        <v/>
      </c>
      <c r="F200" s="17">
        <f>IF($A200="","",PROPER(_xll.BDP($A200&amp;" Corp","COUNTRY_FULL_NAME")))</f>
        <v/>
      </c>
      <c r="G200" s="17">
        <f>IF($A200="","",_xll.BDP($A200&amp;" Corp","CRNCY"))</f>
        <v/>
      </c>
      <c r="H200" s="17">
        <f>IF($A200="","",IFERROR(INDEX(SYZ_static!$T$2:$T$806,MATCH($A200,SYZ_static!$A$2:$A$806,0)),_xll.BDP($A200&amp;" Corp","RTG_SP")))</f>
        <v/>
      </c>
      <c r="I200" s="17">
        <f>IF($A200="","",IFERROR(INDEX(SYZ_static!$S$2:$S$806,MATCH($A200,SYZ_static!$A$2:$A$806,0)),""))</f>
        <v/>
      </c>
      <c r="J200" s="17">
        <f>IF($A200="","",_xll.BDP($A200&amp;" Corp","PAYMENT_RANK"))</f>
        <v/>
      </c>
      <c r="K200" s="18">
        <f>IF($A200="","",_xll.BDP($A200&amp;" Corp","CPN"))</f>
        <v/>
      </c>
      <c r="L200" s="19">
        <f>IF($A200="","",_xll.BDP($A200&amp;" Corp","MATURITY"))</f>
        <v/>
      </c>
      <c r="M200" s="20">
        <f>IF($A200="","",IFERROR(_xll.BDP($A200&amp;" Corp","MIN_PIECE")/1000,""))</f>
        <v/>
      </c>
      <c r="N200" s="21">
        <f>IF($A200="","",_xll.BDP($A200&amp;" Corp","PX_LAST"))</f>
        <v/>
      </c>
      <c r="O200" s="21">
        <f>IF($A200="","",_xll.BDP($A200&amp;" Corp","YAS_BOND_YLD","YAS_YLD_FLAG=15"))</f>
        <v/>
      </c>
      <c r="P200" s="21">
        <f>IF($A200="","",_xll.BDP($A200&amp;" Corp","YAS_MOD_DUR"))</f>
        <v/>
      </c>
      <c r="Q200" s="22">
        <f>IF($A200="","",_xll.BDP($A200&amp;" Corp","YAS_OAS_SPRD"))</f>
        <v/>
      </c>
      <c r="R200" s="22">
        <f>IF($A200="","",_xll.BDP($A200&amp;" Corp","YAS_OAS_SPRD","SETTLE_DT",$B$2))</f>
        <v/>
      </c>
      <c r="S200" s="23">
        <f>IF($A200="","",IF(OR(NOT(ISNUMBER($Q200)),NOT(ISNUMBER($R200))),"",$Q200-$R200))</f>
        <v/>
      </c>
      <c r="T200" s="21">
        <f>IF($A200="","",_xll.BDP($A200&amp;" Corp","YAS_BOND_YLD","YAS_YLD_FLAG=15","SETTLE_DT",$B$2))</f>
        <v/>
      </c>
      <c r="U200" s="24">
        <f>IF($A200="","",IF(OR(NOT(ISNUMBER($O200)),NOT(ISNUMBER($T200))),"",$O200-$T200))</f>
        <v/>
      </c>
      <c r="V200" s="22">
        <f>IF(NOT(ISNUMBER($S200)),"",COUNTIFS($G$7:$G$850,$G200,$S$7:$S$850,"&gt;"&amp;$S200)+COUNTIFS($G$7:$G200,$G200,$S$7:$S200,$S200))</f>
        <v/>
      </c>
      <c r="W200" s="22">
        <f>IF(NOT(ISNUMBER($S200)),"",COUNTIFS($G$7:$G$850,$G200,$S$7:$S$850,"&lt;"&amp;$S200)+COUNTIFS($G$7:$G200,$G200,$S$7:$S200,$S200))</f>
        <v/>
      </c>
      <c r="X200" s="17">
        <f>IF($V200="","",$G200&amp;"|"&amp;$V200)</f>
        <v/>
      </c>
      <c r="Y200" s="17">
        <f>IF($W200="","",$G200&amp;"|"&amp;$W200)</f>
        <v/>
      </c>
    </row>
    <row r="201">
      <c r="A201" s="7" t="inlineStr">
        <is>
          <t>DE000DL19VS4</t>
        </is>
      </c>
      <c r="B201" s="8">
        <f>IF($A201="","",PROPER(_xll.BDP($A201&amp;" Corp","NAME")))</f>
        <v/>
      </c>
      <c r="C201" s="8">
        <f>IF($A201="","",IFERROR(INDEX(Company_desc!$B$2:$B$1144,MATCH($A201,Company_desc!$A$2:$A$1144,0)),IFERROR(INDEX(SYZ_static!$Q$2:$Q$806,MATCH($A201,SYZ_static!$A$2:$A$806,0)),"")))</f>
        <v/>
      </c>
      <c r="D201" s="8">
        <f>IF($A201="","",IFERROR(INDEX(SYZ_static!$B$2:$B$806,MATCH($A201,SYZ_static!$A$2:$A$806,0)),""))</f>
        <v/>
      </c>
      <c r="E201" s="8">
        <f>IF($A201="","",_xll.BDP($A201&amp;" Corp","INDUSTRY_SECTOR"))</f>
        <v/>
      </c>
      <c r="F201" s="8">
        <f>IF($A201="","",PROPER(_xll.BDP($A201&amp;" Corp","COUNTRY_FULL_NAME")))</f>
        <v/>
      </c>
      <c r="G201" s="8">
        <f>IF($A201="","",_xll.BDP($A201&amp;" Corp","CRNCY"))</f>
        <v/>
      </c>
      <c r="H201" s="8">
        <f>IF($A201="","",IFERROR(INDEX(SYZ_static!$T$2:$T$806,MATCH($A201,SYZ_static!$A$2:$A$806,0)),_xll.BDP($A201&amp;" Corp","RTG_SP")))</f>
        <v/>
      </c>
      <c r="I201" s="8">
        <f>IF($A201="","",IFERROR(INDEX(SYZ_static!$S$2:$S$806,MATCH($A201,SYZ_static!$A$2:$A$806,0)),""))</f>
        <v/>
      </c>
      <c r="J201" s="8">
        <f>IF($A201="","",_xll.BDP($A201&amp;" Corp","PAYMENT_RANK"))</f>
        <v/>
      </c>
      <c r="K201" s="9">
        <f>IF($A201="","",_xll.BDP($A201&amp;" Corp","CPN"))</f>
        <v/>
      </c>
      <c r="L201" s="10">
        <f>IF($A201="","",_xll.BDP($A201&amp;" Corp","MATURITY"))</f>
        <v/>
      </c>
      <c r="M201" s="11">
        <f>IF($A201="","",IFERROR(_xll.BDP($A201&amp;" Corp","MIN_PIECE")/1000,""))</f>
        <v/>
      </c>
      <c r="N201" s="12">
        <f>IF($A201="","",_xll.BDP($A201&amp;" Corp","PX_LAST"))</f>
        <v/>
      </c>
      <c r="O201" s="12">
        <f>IF($A201="","",_xll.BDP($A201&amp;" Corp","YAS_BOND_YLD","YAS_YLD_FLAG=15"))</f>
        <v/>
      </c>
      <c r="P201" s="12">
        <f>IF($A201="","",_xll.BDP($A201&amp;" Corp","YAS_MOD_DUR"))</f>
        <v/>
      </c>
      <c r="Q201" s="13">
        <f>IF($A201="","",_xll.BDP($A201&amp;" Corp","YAS_OAS_SPRD"))</f>
        <v/>
      </c>
      <c r="R201" s="13">
        <f>IF($A201="","",_xll.BDP($A201&amp;" Corp","YAS_OAS_SPRD","SETTLE_DT",$B$2))</f>
        <v/>
      </c>
      <c r="S201" s="14">
        <f>IF($A201="","",IF(OR(NOT(ISNUMBER($Q201)),NOT(ISNUMBER($R201))),"",$Q201-$R201))</f>
        <v/>
      </c>
      <c r="T201" s="12">
        <f>IF($A201="","",_xll.BDP($A201&amp;" Corp","YAS_BOND_YLD","YAS_YLD_FLAG=15","SETTLE_DT",$B$2))</f>
        <v/>
      </c>
      <c r="U201" s="15">
        <f>IF($A201="","",IF(OR(NOT(ISNUMBER($O201)),NOT(ISNUMBER($T201))),"",$O201-$T201))</f>
        <v/>
      </c>
      <c r="V201" s="13">
        <f>IF(NOT(ISNUMBER($S201)),"",COUNTIFS($G$7:$G$850,$G201,$S$7:$S$850,"&gt;"&amp;$S201)+COUNTIFS($G$7:$G201,$G201,$S$7:$S201,$S201))</f>
        <v/>
      </c>
      <c r="W201" s="13">
        <f>IF(NOT(ISNUMBER($S201)),"",COUNTIFS($G$7:$G$850,$G201,$S$7:$S$850,"&lt;"&amp;$S201)+COUNTIFS($G$7:$G201,$G201,$S$7:$S201,$S201))</f>
        <v/>
      </c>
      <c r="X201" s="8">
        <f>IF($V201="","",$G201&amp;"|"&amp;$V201)</f>
        <v/>
      </c>
      <c r="Y201" s="8">
        <f>IF($W201="","",$G201&amp;"|"&amp;$W201)</f>
        <v/>
      </c>
    </row>
    <row r="202">
      <c r="A202" s="16" t="inlineStr">
        <is>
          <t>XS2433140113</t>
        </is>
      </c>
      <c r="B202" s="17">
        <f>IF($A202="","",PROPER(_xll.BDP($A202&amp;" Corp","NAME")))</f>
        <v/>
      </c>
      <c r="C202" s="17">
        <f>IF($A202="","",IFERROR(INDEX(Company_desc!$B$2:$B$1144,MATCH($A202,Company_desc!$A$2:$A$1144,0)),IFERROR(INDEX(SYZ_static!$Q$2:$Q$806,MATCH($A202,SYZ_static!$A$2:$A$806,0)),"")))</f>
        <v/>
      </c>
      <c r="D202" s="17">
        <f>IF($A202="","",IFERROR(INDEX(SYZ_static!$B$2:$B$806,MATCH($A202,SYZ_static!$A$2:$A$806,0)),""))</f>
        <v/>
      </c>
      <c r="E202" s="17">
        <f>IF($A202="","",_xll.BDP($A202&amp;" Corp","INDUSTRY_SECTOR"))</f>
        <v/>
      </c>
      <c r="F202" s="17">
        <f>IF($A202="","",PROPER(_xll.BDP($A202&amp;" Corp","COUNTRY_FULL_NAME")))</f>
        <v/>
      </c>
      <c r="G202" s="17">
        <f>IF($A202="","",_xll.BDP($A202&amp;" Corp","CRNCY"))</f>
        <v/>
      </c>
      <c r="H202" s="17">
        <f>IF($A202="","",IFERROR(INDEX(SYZ_static!$T$2:$T$806,MATCH($A202,SYZ_static!$A$2:$A$806,0)),_xll.BDP($A202&amp;" Corp","RTG_SP")))</f>
        <v/>
      </c>
      <c r="I202" s="17">
        <f>IF($A202="","",IFERROR(INDEX(SYZ_static!$S$2:$S$806,MATCH($A202,SYZ_static!$A$2:$A$806,0)),""))</f>
        <v/>
      </c>
      <c r="J202" s="17">
        <f>IF($A202="","",_xll.BDP($A202&amp;" Corp","PAYMENT_RANK"))</f>
        <v/>
      </c>
      <c r="K202" s="18">
        <f>IF($A202="","",_xll.BDP($A202&amp;" Corp","CPN"))</f>
        <v/>
      </c>
      <c r="L202" s="19">
        <f>IF($A202="","",_xll.BDP($A202&amp;" Corp","MATURITY"))</f>
        <v/>
      </c>
      <c r="M202" s="20">
        <f>IF($A202="","",IFERROR(_xll.BDP($A202&amp;" Corp","MIN_PIECE")/1000,""))</f>
        <v/>
      </c>
      <c r="N202" s="21">
        <f>IF($A202="","",_xll.BDP($A202&amp;" Corp","PX_LAST"))</f>
        <v/>
      </c>
      <c r="O202" s="21">
        <f>IF($A202="","",_xll.BDP($A202&amp;" Corp","YAS_BOND_YLD","YAS_YLD_FLAG=15"))</f>
        <v/>
      </c>
      <c r="P202" s="21">
        <f>IF($A202="","",_xll.BDP($A202&amp;" Corp","YAS_MOD_DUR"))</f>
        <v/>
      </c>
      <c r="Q202" s="22">
        <f>IF($A202="","",_xll.BDP($A202&amp;" Corp","YAS_OAS_SPRD"))</f>
        <v/>
      </c>
      <c r="R202" s="22">
        <f>IF($A202="","",_xll.BDP($A202&amp;" Corp","YAS_OAS_SPRD","SETTLE_DT",$B$2))</f>
        <v/>
      </c>
      <c r="S202" s="23">
        <f>IF($A202="","",IF(OR(NOT(ISNUMBER($Q202)),NOT(ISNUMBER($R202))),"",$Q202-$R202))</f>
        <v/>
      </c>
      <c r="T202" s="21">
        <f>IF($A202="","",_xll.BDP($A202&amp;" Corp","YAS_BOND_YLD","YAS_YLD_FLAG=15","SETTLE_DT",$B$2))</f>
        <v/>
      </c>
      <c r="U202" s="24">
        <f>IF($A202="","",IF(OR(NOT(ISNUMBER($O202)),NOT(ISNUMBER($T202))),"",$O202-$T202))</f>
        <v/>
      </c>
      <c r="V202" s="22">
        <f>IF(NOT(ISNUMBER($S202)),"",COUNTIFS($G$7:$G$850,$G202,$S$7:$S$850,"&gt;"&amp;$S202)+COUNTIFS($G$7:$G202,$G202,$S$7:$S202,$S202))</f>
        <v/>
      </c>
      <c r="W202" s="22">
        <f>IF(NOT(ISNUMBER($S202)),"",COUNTIFS($G$7:$G$850,$G202,$S$7:$S$850,"&lt;"&amp;$S202)+COUNTIFS($G$7:$G202,$G202,$S$7:$S202,$S202))</f>
        <v/>
      </c>
      <c r="X202" s="17">
        <f>IF($V202="","",$G202&amp;"|"&amp;$V202)</f>
        <v/>
      </c>
      <c r="Y202" s="17">
        <f>IF($W202="","",$G202&amp;"|"&amp;$W202)</f>
        <v/>
      </c>
    </row>
    <row r="203">
      <c r="A203" s="7" t="inlineStr">
        <is>
          <t>XS2630420268</t>
        </is>
      </c>
      <c r="B203" s="8">
        <f>IF($A203="","",PROPER(_xll.BDP($A203&amp;" Corp","NAME")))</f>
        <v/>
      </c>
      <c r="C203" s="8">
        <f>IF($A203="","",IFERROR(INDEX(Company_desc!$B$2:$B$1144,MATCH($A203,Company_desc!$A$2:$A$1144,0)),IFERROR(INDEX(SYZ_static!$Q$2:$Q$806,MATCH($A203,SYZ_static!$A$2:$A$806,0)),"")))</f>
        <v/>
      </c>
      <c r="D203" s="8">
        <f>IF($A203="","",IFERROR(INDEX(SYZ_static!$B$2:$B$806,MATCH($A203,SYZ_static!$A$2:$A$806,0)),""))</f>
        <v/>
      </c>
      <c r="E203" s="8">
        <f>IF($A203="","",_xll.BDP($A203&amp;" Corp","INDUSTRY_SECTOR"))</f>
        <v/>
      </c>
      <c r="F203" s="8">
        <f>IF($A203="","",PROPER(_xll.BDP($A203&amp;" Corp","COUNTRY_FULL_NAME")))</f>
        <v/>
      </c>
      <c r="G203" s="8">
        <f>IF($A203="","",_xll.BDP($A203&amp;" Corp","CRNCY"))</f>
        <v/>
      </c>
      <c r="H203" s="8">
        <f>IF($A203="","",IFERROR(INDEX(SYZ_static!$T$2:$T$806,MATCH($A203,SYZ_static!$A$2:$A$806,0)),_xll.BDP($A203&amp;" Corp","RTG_SP")))</f>
        <v/>
      </c>
      <c r="I203" s="8">
        <f>IF($A203="","",IFERROR(INDEX(SYZ_static!$S$2:$S$806,MATCH($A203,SYZ_static!$A$2:$A$806,0)),""))</f>
        <v/>
      </c>
      <c r="J203" s="8">
        <f>IF($A203="","",_xll.BDP($A203&amp;" Corp","PAYMENT_RANK"))</f>
        <v/>
      </c>
      <c r="K203" s="9">
        <f>IF($A203="","",_xll.BDP($A203&amp;" Corp","CPN"))</f>
        <v/>
      </c>
      <c r="L203" s="10">
        <f>IF($A203="","",_xll.BDP($A203&amp;" Corp","MATURITY"))</f>
        <v/>
      </c>
      <c r="M203" s="11">
        <f>IF($A203="","",IFERROR(_xll.BDP($A203&amp;" Corp","MIN_PIECE")/1000,""))</f>
        <v/>
      </c>
      <c r="N203" s="12">
        <f>IF($A203="","",_xll.BDP($A203&amp;" Corp","PX_LAST"))</f>
        <v/>
      </c>
      <c r="O203" s="12">
        <f>IF($A203="","",_xll.BDP($A203&amp;" Corp","YAS_BOND_YLD","YAS_YLD_FLAG=15"))</f>
        <v/>
      </c>
      <c r="P203" s="12">
        <f>IF($A203="","",_xll.BDP($A203&amp;" Corp","YAS_MOD_DUR"))</f>
        <v/>
      </c>
      <c r="Q203" s="13">
        <f>IF($A203="","",_xll.BDP($A203&amp;" Corp","YAS_OAS_SPRD"))</f>
        <v/>
      </c>
      <c r="R203" s="13">
        <f>IF($A203="","",_xll.BDP($A203&amp;" Corp","YAS_OAS_SPRD","SETTLE_DT",$B$2))</f>
        <v/>
      </c>
      <c r="S203" s="14">
        <f>IF($A203="","",IF(OR(NOT(ISNUMBER($Q203)),NOT(ISNUMBER($R203))),"",$Q203-$R203))</f>
        <v/>
      </c>
      <c r="T203" s="12">
        <f>IF($A203="","",_xll.BDP($A203&amp;" Corp","YAS_BOND_YLD","YAS_YLD_FLAG=15","SETTLE_DT",$B$2))</f>
        <v/>
      </c>
      <c r="U203" s="15">
        <f>IF($A203="","",IF(OR(NOT(ISNUMBER($O203)),NOT(ISNUMBER($T203))),"",$O203-$T203))</f>
        <v/>
      </c>
      <c r="V203" s="13">
        <f>IF(NOT(ISNUMBER($S203)),"",COUNTIFS($G$7:$G$850,$G203,$S$7:$S$850,"&gt;"&amp;$S203)+COUNTIFS($G$7:$G203,$G203,$S$7:$S203,$S203))</f>
        <v/>
      </c>
      <c r="W203" s="13">
        <f>IF(NOT(ISNUMBER($S203)),"",COUNTIFS($G$7:$G$850,$G203,$S$7:$S$850,"&lt;"&amp;$S203)+COUNTIFS($G$7:$G203,$G203,$S$7:$S203,$S203))</f>
        <v/>
      </c>
      <c r="X203" s="8">
        <f>IF($V203="","",$G203&amp;"|"&amp;$V203)</f>
        <v/>
      </c>
      <c r="Y203" s="8">
        <f>IF($W203="","",$G203&amp;"|"&amp;$W203)</f>
        <v/>
      </c>
    </row>
    <row r="204">
      <c r="A204" s="16" t="inlineStr">
        <is>
          <t>XS2787827190</t>
        </is>
      </c>
      <c r="B204" s="17">
        <f>IF($A204="","",PROPER(_xll.BDP($A204&amp;" Corp","NAME")))</f>
        <v/>
      </c>
      <c r="C204" s="17">
        <f>IF($A204="","",IFERROR(INDEX(Company_desc!$B$2:$B$1144,MATCH($A204,Company_desc!$A$2:$A$1144,0)),IFERROR(INDEX(SYZ_static!$Q$2:$Q$806,MATCH($A204,SYZ_static!$A$2:$A$806,0)),"")))</f>
        <v/>
      </c>
      <c r="D204" s="17">
        <f>IF($A204="","",IFERROR(INDEX(SYZ_static!$B$2:$B$806,MATCH($A204,SYZ_static!$A$2:$A$806,0)),""))</f>
        <v/>
      </c>
      <c r="E204" s="17">
        <f>IF($A204="","",_xll.BDP($A204&amp;" Corp","INDUSTRY_SECTOR"))</f>
        <v/>
      </c>
      <c r="F204" s="17">
        <f>IF($A204="","",PROPER(_xll.BDP($A204&amp;" Corp","COUNTRY_FULL_NAME")))</f>
        <v/>
      </c>
      <c r="G204" s="17">
        <f>IF($A204="","",_xll.BDP($A204&amp;" Corp","CRNCY"))</f>
        <v/>
      </c>
      <c r="H204" s="17">
        <f>IF($A204="","",IFERROR(INDEX(SYZ_static!$T$2:$T$806,MATCH($A204,SYZ_static!$A$2:$A$806,0)),_xll.BDP($A204&amp;" Corp","RTG_SP")))</f>
        <v/>
      </c>
      <c r="I204" s="17">
        <f>IF($A204="","",IFERROR(INDEX(SYZ_static!$S$2:$S$806,MATCH($A204,SYZ_static!$A$2:$A$806,0)),""))</f>
        <v/>
      </c>
      <c r="J204" s="17">
        <f>IF($A204="","",_xll.BDP($A204&amp;" Corp","PAYMENT_RANK"))</f>
        <v/>
      </c>
      <c r="K204" s="18">
        <f>IF($A204="","",_xll.BDP($A204&amp;" Corp","CPN"))</f>
        <v/>
      </c>
      <c r="L204" s="19">
        <f>IF($A204="","",_xll.BDP($A204&amp;" Corp","MATURITY"))</f>
        <v/>
      </c>
      <c r="M204" s="20">
        <f>IF($A204="","",IFERROR(_xll.BDP($A204&amp;" Corp","MIN_PIECE")/1000,""))</f>
        <v/>
      </c>
      <c r="N204" s="21">
        <f>IF($A204="","",_xll.BDP($A204&amp;" Corp","PX_LAST"))</f>
        <v/>
      </c>
      <c r="O204" s="21">
        <f>IF($A204="","",_xll.BDP($A204&amp;" Corp","YAS_BOND_YLD","YAS_YLD_FLAG=15"))</f>
        <v/>
      </c>
      <c r="P204" s="21">
        <f>IF($A204="","",_xll.BDP($A204&amp;" Corp","YAS_MOD_DUR"))</f>
        <v/>
      </c>
      <c r="Q204" s="22">
        <f>IF($A204="","",_xll.BDP($A204&amp;" Corp","YAS_OAS_SPRD"))</f>
        <v/>
      </c>
      <c r="R204" s="22">
        <f>IF($A204="","",_xll.BDP($A204&amp;" Corp","YAS_OAS_SPRD","SETTLE_DT",$B$2))</f>
        <v/>
      </c>
      <c r="S204" s="23">
        <f>IF($A204="","",IF(OR(NOT(ISNUMBER($Q204)),NOT(ISNUMBER($R204))),"",$Q204-$R204))</f>
        <v/>
      </c>
      <c r="T204" s="21">
        <f>IF($A204="","",_xll.BDP($A204&amp;" Corp","YAS_BOND_YLD","YAS_YLD_FLAG=15","SETTLE_DT",$B$2))</f>
        <v/>
      </c>
      <c r="U204" s="24">
        <f>IF($A204="","",IF(OR(NOT(ISNUMBER($O204)),NOT(ISNUMBER($T204))),"",$O204-$T204))</f>
        <v/>
      </c>
      <c r="V204" s="22">
        <f>IF(NOT(ISNUMBER($S204)),"",COUNTIFS($G$7:$G$850,$G204,$S$7:$S$850,"&gt;"&amp;$S204)+COUNTIFS($G$7:$G204,$G204,$S$7:$S204,$S204))</f>
        <v/>
      </c>
      <c r="W204" s="22">
        <f>IF(NOT(ISNUMBER($S204)),"",COUNTIFS($G$7:$G$850,$G204,$S$7:$S$850,"&lt;"&amp;$S204)+COUNTIFS($G$7:$G204,$G204,$S$7:$S204,$S204))</f>
        <v/>
      </c>
      <c r="X204" s="17">
        <f>IF($V204="","",$G204&amp;"|"&amp;$V204)</f>
        <v/>
      </c>
      <c r="Y204" s="17">
        <f>IF($W204="","",$G204&amp;"|"&amp;$W204)</f>
        <v/>
      </c>
    </row>
    <row r="205">
      <c r="A205" s="7" t="inlineStr">
        <is>
          <t>XS2582814385</t>
        </is>
      </c>
      <c r="B205" s="8">
        <f>IF($A205="","",PROPER(_xll.BDP($A205&amp;" Corp","NAME")))</f>
        <v/>
      </c>
      <c r="C205" s="8">
        <f>IF($A205="","",IFERROR(INDEX(Company_desc!$B$2:$B$1144,MATCH($A205,Company_desc!$A$2:$A$1144,0)),IFERROR(INDEX(SYZ_static!$Q$2:$Q$806,MATCH($A205,SYZ_static!$A$2:$A$806,0)),"")))</f>
        <v/>
      </c>
      <c r="D205" s="8">
        <f>IF($A205="","",IFERROR(INDEX(SYZ_static!$B$2:$B$806,MATCH($A205,SYZ_static!$A$2:$A$806,0)),""))</f>
        <v/>
      </c>
      <c r="E205" s="8">
        <f>IF($A205="","",_xll.BDP($A205&amp;" Corp","INDUSTRY_SECTOR"))</f>
        <v/>
      </c>
      <c r="F205" s="8">
        <f>IF($A205="","",PROPER(_xll.BDP($A205&amp;" Corp","COUNTRY_FULL_NAME")))</f>
        <v/>
      </c>
      <c r="G205" s="8">
        <f>IF($A205="","",_xll.BDP($A205&amp;" Corp","CRNCY"))</f>
        <v/>
      </c>
      <c r="H205" s="8">
        <f>IF($A205="","",IFERROR(INDEX(SYZ_static!$T$2:$T$806,MATCH($A205,SYZ_static!$A$2:$A$806,0)),_xll.BDP($A205&amp;" Corp","RTG_SP")))</f>
        <v/>
      </c>
      <c r="I205" s="8">
        <f>IF($A205="","",IFERROR(INDEX(SYZ_static!$S$2:$S$806,MATCH($A205,SYZ_static!$A$2:$A$806,0)),""))</f>
        <v/>
      </c>
      <c r="J205" s="8">
        <f>IF($A205="","",_xll.BDP($A205&amp;" Corp","PAYMENT_RANK"))</f>
        <v/>
      </c>
      <c r="K205" s="9">
        <f>IF($A205="","",_xll.BDP($A205&amp;" Corp","CPN"))</f>
        <v/>
      </c>
      <c r="L205" s="10">
        <f>IF($A205="","",_xll.BDP($A205&amp;" Corp","MATURITY"))</f>
        <v/>
      </c>
      <c r="M205" s="11">
        <f>IF($A205="","",IFERROR(_xll.BDP($A205&amp;" Corp","MIN_PIECE")/1000,""))</f>
        <v/>
      </c>
      <c r="N205" s="12">
        <f>IF($A205="","",_xll.BDP($A205&amp;" Corp","PX_LAST"))</f>
        <v/>
      </c>
      <c r="O205" s="12">
        <f>IF($A205="","",_xll.BDP($A205&amp;" Corp","YAS_BOND_YLD","YAS_YLD_FLAG=15"))</f>
        <v/>
      </c>
      <c r="P205" s="12">
        <f>IF($A205="","",_xll.BDP($A205&amp;" Corp","YAS_MOD_DUR"))</f>
        <v/>
      </c>
      <c r="Q205" s="13">
        <f>IF($A205="","",_xll.BDP($A205&amp;" Corp","YAS_OAS_SPRD"))</f>
        <v/>
      </c>
      <c r="R205" s="13">
        <f>IF($A205="","",_xll.BDP($A205&amp;" Corp","YAS_OAS_SPRD","SETTLE_DT",$B$2))</f>
        <v/>
      </c>
      <c r="S205" s="14">
        <f>IF($A205="","",IF(OR(NOT(ISNUMBER($Q205)),NOT(ISNUMBER($R205))),"",$Q205-$R205))</f>
        <v/>
      </c>
      <c r="T205" s="12">
        <f>IF($A205="","",_xll.BDP($A205&amp;" Corp","YAS_BOND_YLD","YAS_YLD_FLAG=15","SETTLE_DT",$B$2))</f>
        <v/>
      </c>
      <c r="U205" s="15">
        <f>IF($A205="","",IF(OR(NOT(ISNUMBER($O205)),NOT(ISNUMBER($T205))),"",$O205-$T205))</f>
        <v/>
      </c>
      <c r="V205" s="13">
        <f>IF(NOT(ISNUMBER($S205)),"",COUNTIFS($G$7:$G$850,$G205,$S$7:$S$850,"&gt;"&amp;$S205)+COUNTIFS($G$7:$G205,$G205,$S$7:$S205,$S205))</f>
        <v/>
      </c>
      <c r="W205" s="13">
        <f>IF(NOT(ISNUMBER($S205)),"",COUNTIFS($G$7:$G$850,$G205,$S$7:$S$850,"&lt;"&amp;$S205)+COUNTIFS($G$7:$G205,$G205,$S$7:$S205,$S205))</f>
        <v/>
      </c>
      <c r="X205" s="8">
        <f>IF($V205="","",$G205&amp;"|"&amp;$V205)</f>
        <v/>
      </c>
      <c r="Y205" s="8">
        <f>IF($W205="","",$G205&amp;"|"&amp;$W205)</f>
        <v/>
      </c>
    </row>
    <row r="206">
      <c r="A206" s="16" t="inlineStr">
        <is>
          <t>USP93077AC28</t>
        </is>
      </c>
      <c r="B206" s="17">
        <f>IF($A206="","",PROPER(_xll.BDP($A206&amp;" Corp","NAME")))</f>
        <v/>
      </c>
      <c r="C206" s="17">
        <f>IF($A206="","",IFERROR(INDEX(Company_desc!$B$2:$B$1144,MATCH($A206,Company_desc!$A$2:$A$1144,0)),IFERROR(INDEX(SYZ_static!$Q$2:$Q$806,MATCH($A206,SYZ_static!$A$2:$A$806,0)),"")))</f>
        <v/>
      </c>
      <c r="D206" s="17">
        <f>IF($A206="","",IFERROR(INDEX(SYZ_static!$B$2:$B$806,MATCH($A206,SYZ_static!$A$2:$A$806,0)),""))</f>
        <v/>
      </c>
      <c r="E206" s="17">
        <f>IF($A206="","",_xll.BDP($A206&amp;" Corp","INDUSTRY_SECTOR"))</f>
        <v/>
      </c>
      <c r="F206" s="17">
        <f>IF($A206="","",PROPER(_xll.BDP($A206&amp;" Corp","COUNTRY_FULL_NAME")))</f>
        <v/>
      </c>
      <c r="G206" s="17">
        <f>IF($A206="","",_xll.BDP($A206&amp;" Corp","CRNCY"))</f>
        <v/>
      </c>
      <c r="H206" s="17">
        <f>IF($A206="","",IFERROR(INDEX(SYZ_static!$T$2:$T$806,MATCH($A206,SYZ_static!$A$2:$A$806,0)),_xll.BDP($A206&amp;" Corp","RTG_SP")))</f>
        <v/>
      </c>
      <c r="I206" s="17">
        <f>IF($A206="","",IFERROR(INDEX(SYZ_static!$S$2:$S$806,MATCH($A206,SYZ_static!$A$2:$A$806,0)),""))</f>
        <v/>
      </c>
      <c r="J206" s="17">
        <f>IF($A206="","",_xll.BDP($A206&amp;" Corp","PAYMENT_RANK"))</f>
        <v/>
      </c>
      <c r="K206" s="18">
        <f>IF($A206="","",_xll.BDP($A206&amp;" Corp","CPN"))</f>
        <v/>
      </c>
      <c r="L206" s="19">
        <f>IF($A206="","",_xll.BDP($A206&amp;" Corp","MATURITY"))</f>
        <v/>
      </c>
      <c r="M206" s="20">
        <f>IF($A206="","",IFERROR(_xll.BDP($A206&amp;" Corp","MIN_PIECE")/1000,""))</f>
        <v/>
      </c>
      <c r="N206" s="21">
        <f>IF($A206="","",_xll.BDP($A206&amp;" Corp","PX_LAST"))</f>
        <v/>
      </c>
      <c r="O206" s="21">
        <f>IF($A206="","",_xll.BDP($A206&amp;" Corp","YAS_BOND_YLD","YAS_YLD_FLAG=15"))</f>
        <v/>
      </c>
      <c r="P206" s="21">
        <f>IF($A206="","",_xll.BDP($A206&amp;" Corp","YAS_MOD_DUR"))</f>
        <v/>
      </c>
      <c r="Q206" s="22">
        <f>IF($A206="","",_xll.BDP($A206&amp;" Corp","YAS_OAS_SPRD"))</f>
        <v/>
      </c>
      <c r="R206" s="22">
        <f>IF($A206="","",_xll.BDP($A206&amp;" Corp","YAS_OAS_SPRD","SETTLE_DT",$B$2))</f>
        <v/>
      </c>
      <c r="S206" s="23">
        <f>IF($A206="","",IF(OR(NOT(ISNUMBER($Q206)),NOT(ISNUMBER($R206))),"",$Q206-$R206))</f>
        <v/>
      </c>
      <c r="T206" s="21">
        <f>IF($A206="","",_xll.BDP($A206&amp;" Corp","YAS_BOND_YLD","YAS_YLD_FLAG=15","SETTLE_DT",$B$2))</f>
        <v/>
      </c>
      <c r="U206" s="24">
        <f>IF($A206="","",IF(OR(NOT(ISNUMBER($O206)),NOT(ISNUMBER($T206))),"",$O206-$T206))</f>
        <v/>
      </c>
      <c r="V206" s="22">
        <f>IF(NOT(ISNUMBER($S206)),"",COUNTIFS($G$7:$G$850,$G206,$S$7:$S$850,"&gt;"&amp;$S206)+COUNTIFS($G$7:$G206,$G206,$S$7:$S206,$S206))</f>
        <v/>
      </c>
      <c r="W206" s="22">
        <f>IF(NOT(ISNUMBER($S206)),"",COUNTIFS($G$7:$G$850,$G206,$S$7:$S$850,"&lt;"&amp;$S206)+COUNTIFS($G$7:$G206,$G206,$S$7:$S206,$S206))</f>
        <v/>
      </c>
      <c r="X206" s="17">
        <f>IF($V206="","",$G206&amp;"|"&amp;$V206)</f>
        <v/>
      </c>
      <c r="Y206" s="17">
        <f>IF($W206="","",$G206&amp;"|"&amp;$W206)</f>
        <v/>
      </c>
    </row>
    <row r="207">
      <c r="A207" s="7" t="inlineStr">
        <is>
          <t>US17327CAT09</t>
        </is>
      </c>
      <c r="B207" s="8">
        <f>IF($A207="","",PROPER(_xll.BDP($A207&amp;" Corp","NAME")))</f>
        <v/>
      </c>
      <c r="C207" s="8">
        <f>IF($A207="","",IFERROR(INDEX(Company_desc!$B$2:$B$1144,MATCH($A207,Company_desc!$A$2:$A$1144,0)),IFERROR(INDEX(SYZ_static!$Q$2:$Q$806,MATCH($A207,SYZ_static!$A$2:$A$806,0)),"")))</f>
        <v/>
      </c>
      <c r="D207" s="8">
        <f>IF($A207="","",IFERROR(INDEX(SYZ_static!$B$2:$B$806,MATCH($A207,SYZ_static!$A$2:$A$806,0)),""))</f>
        <v/>
      </c>
      <c r="E207" s="8">
        <f>IF($A207="","",_xll.BDP($A207&amp;" Corp","INDUSTRY_SECTOR"))</f>
        <v/>
      </c>
      <c r="F207" s="8">
        <f>IF($A207="","",PROPER(_xll.BDP($A207&amp;" Corp","COUNTRY_FULL_NAME")))</f>
        <v/>
      </c>
      <c r="G207" s="8">
        <f>IF($A207="","",_xll.BDP($A207&amp;" Corp","CRNCY"))</f>
        <v/>
      </c>
      <c r="H207" s="8">
        <f>IF($A207="","",IFERROR(INDEX(SYZ_static!$T$2:$T$806,MATCH($A207,SYZ_static!$A$2:$A$806,0)),_xll.BDP($A207&amp;" Corp","RTG_SP")))</f>
        <v/>
      </c>
      <c r="I207" s="8">
        <f>IF($A207="","",IFERROR(INDEX(SYZ_static!$S$2:$S$806,MATCH($A207,SYZ_static!$A$2:$A$806,0)),""))</f>
        <v/>
      </c>
      <c r="J207" s="8">
        <f>IF($A207="","",_xll.BDP($A207&amp;" Corp","PAYMENT_RANK"))</f>
        <v/>
      </c>
      <c r="K207" s="9">
        <f>IF($A207="","",_xll.BDP($A207&amp;" Corp","CPN"))</f>
        <v/>
      </c>
      <c r="L207" s="10">
        <f>IF($A207="","",_xll.BDP($A207&amp;" Corp","MATURITY"))</f>
        <v/>
      </c>
      <c r="M207" s="11">
        <f>IF($A207="","",IFERROR(_xll.BDP($A207&amp;" Corp","MIN_PIECE")/1000,""))</f>
        <v/>
      </c>
      <c r="N207" s="12">
        <f>IF($A207="","",_xll.BDP($A207&amp;" Corp","PX_LAST"))</f>
        <v/>
      </c>
      <c r="O207" s="12">
        <f>IF($A207="","",_xll.BDP($A207&amp;" Corp","YAS_BOND_YLD","YAS_YLD_FLAG=15"))</f>
        <v/>
      </c>
      <c r="P207" s="12">
        <f>IF($A207="","",_xll.BDP($A207&amp;" Corp","YAS_MOD_DUR"))</f>
        <v/>
      </c>
      <c r="Q207" s="13">
        <f>IF($A207="","",_xll.BDP($A207&amp;" Corp","YAS_OAS_SPRD"))</f>
        <v/>
      </c>
      <c r="R207" s="13">
        <f>IF($A207="","",_xll.BDP($A207&amp;" Corp","YAS_OAS_SPRD","SETTLE_DT",$B$2))</f>
        <v/>
      </c>
      <c r="S207" s="14">
        <f>IF($A207="","",IF(OR(NOT(ISNUMBER($Q207)),NOT(ISNUMBER($R207))),"",$Q207-$R207))</f>
        <v/>
      </c>
      <c r="T207" s="12">
        <f>IF($A207="","",_xll.BDP($A207&amp;" Corp","YAS_BOND_YLD","YAS_YLD_FLAG=15","SETTLE_DT",$B$2))</f>
        <v/>
      </c>
      <c r="U207" s="15">
        <f>IF($A207="","",IF(OR(NOT(ISNUMBER($O207)),NOT(ISNUMBER($T207))),"",$O207-$T207))</f>
        <v/>
      </c>
      <c r="V207" s="13">
        <f>IF(NOT(ISNUMBER($S207)),"",COUNTIFS($G$7:$G$850,$G207,$S$7:$S$850,"&gt;"&amp;$S207)+COUNTIFS($G$7:$G207,$G207,$S$7:$S207,$S207))</f>
        <v/>
      </c>
      <c r="W207" s="13">
        <f>IF(NOT(ISNUMBER($S207)),"",COUNTIFS($G$7:$G$850,$G207,$S$7:$S$850,"&lt;"&amp;$S207)+COUNTIFS($G$7:$G207,$G207,$S$7:$S207,$S207))</f>
        <v/>
      </c>
      <c r="X207" s="8">
        <f>IF($V207="","",$G207&amp;"|"&amp;$V207)</f>
        <v/>
      </c>
      <c r="Y207" s="8">
        <f>IF($W207="","",$G207&amp;"|"&amp;$W207)</f>
        <v/>
      </c>
    </row>
    <row r="208">
      <c r="A208" s="16" t="inlineStr">
        <is>
          <t>US38141GC365</t>
        </is>
      </c>
      <c r="B208" s="17">
        <f>IF($A208="","",PROPER(_xll.BDP($A208&amp;" Corp","NAME")))</f>
        <v/>
      </c>
      <c r="C208" s="17">
        <f>IF($A208="","",IFERROR(INDEX(Company_desc!$B$2:$B$1144,MATCH($A208,Company_desc!$A$2:$A$1144,0)),IFERROR(INDEX(SYZ_static!$Q$2:$Q$806,MATCH($A208,SYZ_static!$A$2:$A$806,0)),"")))</f>
        <v/>
      </c>
      <c r="D208" s="17">
        <f>IF($A208="","",IFERROR(INDEX(SYZ_static!$B$2:$B$806,MATCH($A208,SYZ_static!$A$2:$A$806,0)),""))</f>
        <v/>
      </c>
      <c r="E208" s="17">
        <f>IF($A208="","",_xll.BDP($A208&amp;" Corp","INDUSTRY_SECTOR"))</f>
        <v/>
      </c>
      <c r="F208" s="17">
        <f>IF($A208="","",PROPER(_xll.BDP($A208&amp;" Corp","COUNTRY_FULL_NAME")))</f>
        <v/>
      </c>
      <c r="G208" s="17">
        <f>IF($A208="","",_xll.BDP($A208&amp;" Corp","CRNCY"))</f>
        <v/>
      </c>
      <c r="H208" s="17">
        <f>IF($A208="","",IFERROR(INDEX(SYZ_static!$T$2:$T$806,MATCH($A208,SYZ_static!$A$2:$A$806,0)),_xll.BDP($A208&amp;" Corp","RTG_SP")))</f>
        <v/>
      </c>
      <c r="I208" s="17">
        <f>IF($A208="","",IFERROR(INDEX(SYZ_static!$S$2:$S$806,MATCH($A208,SYZ_static!$A$2:$A$806,0)),""))</f>
        <v/>
      </c>
      <c r="J208" s="17">
        <f>IF($A208="","",_xll.BDP($A208&amp;" Corp","PAYMENT_RANK"))</f>
        <v/>
      </c>
      <c r="K208" s="18">
        <f>IF($A208="","",_xll.BDP($A208&amp;" Corp","CPN"))</f>
        <v/>
      </c>
      <c r="L208" s="19">
        <f>IF($A208="","",_xll.BDP($A208&amp;" Corp","MATURITY"))</f>
        <v/>
      </c>
      <c r="M208" s="20">
        <f>IF($A208="","",IFERROR(_xll.BDP($A208&amp;" Corp","MIN_PIECE")/1000,""))</f>
        <v/>
      </c>
      <c r="N208" s="21">
        <f>IF($A208="","",_xll.BDP($A208&amp;" Corp","PX_LAST"))</f>
        <v/>
      </c>
      <c r="O208" s="21">
        <f>IF($A208="","",_xll.BDP($A208&amp;" Corp","YAS_BOND_YLD","YAS_YLD_FLAG=15"))</f>
        <v/>
      </c>
      <c r="P208" s="21">
        <f>IF($A208="","",_xll.BDP($A208&amp;" Corp","YAS_MOD_DUR"))</f>
        <v/>
      </c>
      <c r="Q208" s="22">
        <f>IF($A208="","",_xll.BDP($A208&amp;" Corp","YAS_OAS_SPRD"))</f>
        <v/>
      </c>
      <c r="R208" s="22">
        <f>IF($A208="","",_xll.BDP($A208&amp;" Corp","YAS_OAS_SPRD","SETTLE_DT",$B$2))</f>
        <v/>
      </c>
      <c r="S208" s="23">
        <f>IF($A208="","",IF(OR(NOT(ISNUMBER($Q208)),NOT(ISNUMBER($R208))),"",$Q208-$R208))</f>
        <v/>
      </c>
      <c r="T208" s="21">
        <f>IF($A208="","",_xll.BDP($A208&amp;" Corp","YAS_BOND_YLD","YAS_YLD_FLAG=15","SETTLE_DT",$B$2))</f>
        <v/>
      </c>
      <c r="U208" s="24">
        <f>IF($A208="","",IF(OR(NOT(ISNUMBER($O208)),NOT(ISNUMBER($T208))),"",$O208-$T208))</f>
        <v/>
      </c>
      <c r="V208" s="22">
        <f>IF(NOT(ISNUMBER($S208)),"",COUNTIFS($G$7:$G$850,$G208,$S$7:$S$850,"&gt;"&amp;$S208)+COUNTIFS($G$7:$G208,$G208,$S$7:$S208,$S208))</f>
        <v/>
      </c>
      <c r="W208" s="22">
        <f>IF(NOT(ISNUMBER($S208)),"",COUNTIFS($G$7:$G$850,$G208,$S$7:$S$850,"&lt;"&amp;$S208)+COUNTIFS($G$7:$G208,$G208,$S$7:$S208,$S208))</f>
        <v/>
      </c>
      <c r="X208" s="17">
        <f>IF($V208="","",$G208&amp;"|"&amp;$V208)</f>
        <v/>
      </c>
      <c r="Y208" s="17">
        <f>IF($W208="","",$G208&amp;"|"&amp;$W208)</f>
        <v/>
      </c>
    </row>
    <row r="209">
      <c r="A209" s="7" t="inlineStr">
        <is>
          <t>FR001400KHX5</t>
        </is>
      </c>
      <c r="B209" s="8">
        <f>IF($A209="","",PROPER(_xll.BDP($A209&amp;" Corp","NAME")))</f>
        <v/>
      </c>
      <c r="C209" s="8">
        <f>IF($A209="","",IFERROR(INDEX(Company_desc!$B$2:$B$1144,MATCH($A209,Company_desc!$A$2:$A$1144,0)),IFERROR(INDEX(SYZ_static!$Q$2:$Q$806,MATCH($A209,SYZ_static!$A$2:$A$806,0)),"")))</f>
        <v/>
      </c>
      <c r="D209" s="8">
        <f>IF($A209="","",IFERROR(INDEX(SYZ_static!$B$2:$B$806,MATCH($A209,SYZ_static!$A$2:$A$806,0)),""))</f>
        <v/>
      </c>
      <c r="E209" s="8">
        <f>IF($A209="","",_xll.BDP($A209&amp;" Corp","INDUSTRY_SECTOR"))</f>
        <v/>
      </c>
      <c r="F209" s="8">
        <f>IF($A209="","",PROPER(_xll.BDP($A209&amp;" Corp","COUNTRY_FULL_NAME")))</f>
        <v/>
      </c>
      <c r="G209" s="8">
        <f>IF($A209="","",_xll.BDP($A209&amp;" Corp","CRNCY"))</f>
        <v/>
      </c>
      <c r="H209" s="8">
        <f>IF($A209="","",IFERROR(INDEX(SYZ_static!$T$2:$T$806,MATCH($A209,SYZ_static!$A$2:$A$806,0)),_xll.BDP($A209&amp;" Corp","RTG_SP")))</f>
        <v/>
      </c>
      <c r="I209" s="8">
        <f>IF($A209="","",IFERROR(INDEX(SYZ_static!$S$2:$S$806,MATCH($A209,SYZ_static!$A$2:$A$806,0)),""))</f>
        <v/>
      </c>
      <c r="J209" s="8">
        <f>IF($A209="","",_xll.BDP($A209&amp;" Corp","PAYMENT_RANK"))</f>
        <v/>
      </c>
      <c r="K209" s="9">
        <f>IF($A209="","",_xll.BDP($A209&amp;" Corp","CPN"))</f>
        <v/>
      </c>
      <c r="L209" s="10">
        <f>IF($A209="","",_xll.BDP($A209&amp;" Corp","MATURITY"))</f>
        <v/>
      </c>
      <c r="M209" s="11">
        <f>IF($A209="","",IFERROR(_xll.BDP($A209&amp;" Corp","MIN_PIECE")/1000,""))</f>
        <v/>
      </c>
      <c r="N209" s="12">
        <f>IF($A209="","",_xll.BDP($A209&amp;" Corp","PX_LAST"))</f>
        <v/>
      </c>
      <c r="O209" s="12">
        <f>IF($A209="","",_xll.BDP($A209&amp;" Corp","YAS_BOND_YLD","YAS_YLD_FLAG=15"))</f>
        <v/>
      </c>
      <c r="P209" s="12">
        <f>IF($A209="","",_xll.BDP($A209&amp;" Corp","YAS_MOD_DUR"))</f>
        <v/>
      </c>
      <c r="Q209" s="13">
        <f>IF($A209="","",_xll.BDP($A209&amp;" Corp","YAS_OAS_SPRD"))</f>
        <v/>
      </c>
      <c r="R209" s="13">
        <f>IF($A209="","",_xll.BDP($A209&amp;" Corp","YAS_OAS_SPRD","SETTLE_DT",$B$2))</f>
        <v/>
      </c>
      <c r="S209" s="14">
        <f>IF($A209="","",IF(OR(NOT(ISNUMBER($Q209)),NOT(ISNUMBER($R209))),"",$Q209-$R209))</f>
        <v/>
      </c>
      <c r="T209" s="12">
        <f>IF($A209="","",_xll.BDP($A209&amp;" Corp","YAS_BOND_YLD","YAS_YLD_FLAG=15","SETTLE_DT",$B$2))</f>
        <v/>
      </c>
      <c r="U209" s="15">
        <f>IF($A209="","",IF(OR(NOT(ISNUMBER($O209)),NOT(ISNUMBER($T209))),"",$O209-$T209))</f>
        <v/>
      </c>
      <c r="V209" s="13">
        <f>IF(NOT(ISNUMBER($S209)),"",COUNTIFS($G$7:$G$850,$G209,$S$7:$S$850,"&gt;"&amp;$S209)+COUNTIFS($G$7:$G209,$G209,$S$7:$S209,$S209))</f>
        <v/>
      </c>
      <c r="W209" s="13">
        <f>IF(NOT(ISNUMBER($S209)),"",COUNTIFS($G$7:$G$850,$G209,$S$7:$S$850,"&lt;"&amp;$S209)+COUNTIFS($G$7:$G209,$G209,$S$7:$S209,$S209))</f>
        <v/>
      </c>
      <c r="X209" s="8">
        <f>IF($V209="","",$G209&amp;"|"&amp;$V209)</f>
        <v/>
      </c>
      <c r="Y209" s="8">
        <f>IF($W209="","",$G209&amp;"|"&amp;$W209)</f>
        <v/>
      </c>
    </row>
    <row r="210">
      <c r="A210" s="16" t="inlineStr">
        <is>
          <t>US23636BBH15</t>
        </is>
      </c>
      <c r="B210" s="17">
        <f>IF($A210="","",PROPER(_xll.BDP($A210&amp;" Corp","NAME")))</f>
        <v/>
      </c>
      <c r="C210" s="17">
        <f>IF($A210="","",IFERROR(INDEX(Company_desc!$B$2:$B$1144,MATCH($A210,Company_desc!$A$2:$A$1144,0)),IFERROR(INDEX(SYZ_static!$Q$2:$Q$806,MATCH($A210,SYZ_static!$A$2:$A$806,0)),"")))</f>
        <v/>
      </c>
      <c r="D210" s="17">
        <f>IF($A210="","",IFERROR(INDEX(SYZ_static!$B$2:$B$806,MATCH($A210,SYZ_static!$A$2:$A$806,0)),""))</f>
        <v/>
      </c>
      <c r="E210" s="17">
        <f>IF($A210="","",_xll.BDP($A210&amp;" Corp","INDUSTRY_SECTOR"))</f>
        <v/>
      </c>
      <c r="F210" s="17">
        <f>IF($A210="","",PROPER(_xll.BDP($A210&amp;" Corp","COUNTRY_FULL_NAME")))</f>
        <v/>
      </c>
      <c r="G210" s="17">
        <f>IF($A210="","",_xll.BDP($A210&amp;" Corp","CRNCY"))</f>
        <v/>
      </c>
      <c r="H210" s="17">
        <f>IF($A210="","",IFERROR(INDEX(SYZ_static!$T$2:$T$806,MATCH($A210,SYZ_static!$A$2:$A$806,0)),_xll.BDP($A210&amp;" Corp","RTG_SP")))</f>
        <v/>
      </c>
      <c r="I210" s="17">
        <f>IF($A210="","",IFERROR(INDEX(SYZ_static!$S$2:$S$806,MATCH($A210,SYZ_static!$A$2:$A$806,0)),""))</f>
        <v/>
      </c>
      <c r="J210" s="17">
        <f>IF($A210="","",_xll.BDP($A210&amp;" Corp","PAYMENT_RANK"))</f>
        <v/>
      </c>
      <c r="K210" s="18">
        <f>IF($A210="","",_xll.BDP($A210&amp;" Corp","CPN"))</f>
        <v/>
      </c>
      <c r="L210" s="19">
        <f>IF($A210="","",_xll.BDP($A210&amp;" Corp","MATURITY"))</f>
        <v/>
      </c>
      <c r="M210" s="20">
        <f>IF($A210="","",IFERROR(_xll.BDP($A210&amp;" Corp","MIN_PIECE")/1000,""))</f>
        <v/>
      </c>
      <c r="N210" s="21">
        <f>IF($A210="","",_xll.BDP($A210&amp;" Corp","PX_LAST"))</f>
        <v/>
      </c>
      <c r="O210" s="21">
        <f>IF($A210="","",_xll.BDP($A210&amp;" Corp","YAS_BOND_YLD","YAS_YLD_FLAG=15"))</f>
        <v/>
      </c>
      <c r="P210" s="21">
        <f>IF($A210="","",_xll.BDP($A210&amp;" Corp","YAS_MOD_DUR"))</f>
        <v/>
      </c>
      <c r="Q210" s="22">
        <f>IF($A210="","",_xll.BDP($A210&amp;" Corp","YAS_OAS_SPRD"))</f>
        <v/>
      </c>
      <c r="R210" s="22">
        <f>IF($A210="","",_xll.BDP($A210&amp;" Corp","YAS_OAS_SPRD","SETTLE_DT",$B$2))</f>
        <v/>
      </c>
      <c r="S210" s="23">
        <f>IF($A210="","",IF(OR(NOT(ISNUMBER($Q210)),NOT(ISNUMBER($R210))),"",$Q210-$R210))</f>
        <v/>
      </c>
      <c r="T210" s="21">
        <f>IF($A210="","",_xll.BDP($A210&amp;" Corp","YAS_BOND_YLD","YAS_YLD_FLAG=15","SETTLE_DT",$B$2))</f>
        <v/>
      </c>
      <c r="U210" s="24">
        <f>IF($A210="","",IF(OR(NOT(ISNUMBER($O210)),NOT(ISNUMBER($T210))),"",$O210-$T210))</f>
        <v/>
      </c>
      <c r="V210" s="22">
        <f>IF(NOT(ISNUMBER($S210)),"",COUNTIFS($G$7:$G$850,$G210,$S$7:$S$850,"&gt;"&amp;$S210)+COUNTIFS($G$7:$G210,$G210,$S$7:$S210,$S210))</f>
        <v/>
      </c>
      <c r="W210" s="22">
        <f>IF(NOT(ISNUMBER($S210)),"",COUNTIFS($G$7:$G$850,$G210,$S$7:$S$850,"&lt;"&amp;$S210)+COUNTIFS($G$7:$G210,$G210,$S$7:$S210,$S210))</f>
        <v/>
      </c>
      <c r="X210" s="17">
        <f>IF($V210="","",$G210&amp;"|"&amp;$V210)</f>
        <v/>
      </c>
      <c r="Y210" s="17">
        <f>IF($W210="","",$G210&amp;"|"&amp;$W210)</f>
        <v/>
      </c>
    </row>
    <row r="211">
      <c r="A211" s="7" t="inlineStr">
        <is>
          <t>XS2898290916</t>
        </is>
      </c>
      <c r="B211" s="8">
        <f>IF($A211="","",PROPER(_xll.BDP($A211&amp;" Corp","NAME")))</f>
        <v/>
      </c>
      <c r="C211" s="8">
        <f>IF($A211="","",IFERROR(INDEX(Company_desc!$B$2:$B$1144,MATCH($A211,Company_desc!$A$2:$A$1144,0)),IFERROR(INDEX(SYZ_static!$Q$2:$Q$806,MATCH($A211,SYZ_static!$A$2:$A$806,0)),"")))</f>
        <v/>
      </c>
      <c r="D211" s="8">
        <f>IF($A211="","",IFERROR(INDEX(SYZ_static!$B$2:$B$806,MATCH($A211,SYZ_static!$A$2:$A$806,0)),""))</f>
        <v/>
      </c>
      <c r="E211" s="8">
        <f>IF($A211="","",_xll.BDP($A211&amp;" Corp","INDUSTRY_SECTOR"))</f>
        <v/>
      </c>
      <c r="F211" s="8">
        <f>IF($A211="","",PROPER(_xll.BDP($A211&amp;" Corp","COUNTRY_FULL_NAME")))</f>
        <v/>
      </c>
      <c r="G211" s="8">
        <f>IF($A211="","",_xll.BDP($A211&amp;" Corp","CRNCY"))</f>
        <v/>
      </c>
      <c r="H211" s="8">
        <f>IF($A211="","",IFERROR(INDEX(SYZ_static!$T$2:$T$806,MATCH($A211,SYZ_static!$A$2:$A$806,0)),_xll.BDP($A211&amp;" Corp","RTG_SP")))</f>
        <v/>
      </c>
      <c r="I211" s="8">
        <f>IF($A211="","",IFERROR(INDEX(SYZ_static!$S$2:$S$806,MATCH($A211,SYZ_static!$A$2:$A$806,0)),""))</f>
        <v/>
      </c>
      <c r="J211" s="8">
        <f>IF($A211="","",_xll.BDP($A211&amp;" Corp","PAYMENT_RANK"))</f>
        <v/>
      </c>
      <c r="K211" s="9">
        <f>IF($A211="","",_xll.BDP($A211&amp;" Corp","CPN"))</f>
        <v/>
      </c>
      <c r="L211" s="10">
        <f>IF($A211="","",_xll.BDP($A211&amp;" Corp","MATURITY"))</f>
        <v/>
      </c>
      <c r="M211" s="11">
        <f>IF($A211="","",IFERROR(_xll.BDP($A211&amp;" Corp","MIN_PIECE")/1000,""))</f>
        <v/>
      </c>
      <c r="N211" s="12">
        <f>IF($A211="","",_xll.BDP($A211&amp;" Corp","PX_LAST"))</f>
        <v/>
      </c>
      <c r="O211" s="12">
        <f>IF($A211="","",_xll.BDP($A211&amp;" Corp","YAS_BOND_YLD","YAS_YLD_FLAG=15"))</f>
        <v/>
      </c>
      <c r="P211" s="12">
        <f>IF($A211="","",_xll.BDP($A211&amp;" Corp","YAS_MOD_DUR"))</f>
        <v/>
      </c>
      <c r="Q211" s="13">
        <f>IF($A211="","",_xll.BDP($A211&amp;" Corp","YAS_OAS_SPRD"))</f>
        <v/>
      </c>
      <c r="R211" s="13">
        <f>IF($A211="","",_xll.BDP($A211&amp;" Corp","YAS_OAS_SPRD","SETTLE_DT",$B$2))</f>
        <v/>
      </c>
      <c r="S211" s="14">
        <f>IF($A211="","",IF(OR(NOT(ISNUMBER($Q211)),NOT(ISNUMBER($R211))),"",$Q211-$R211))</f>
        <v/>
      </c>
      <c r="T211" s="12">
        <f>IF($A211="","",_xll.BDP($A211&amp;" Corp","YAS_BOND_YLD","YAS_YLD_FLAG=15","SETTLE_DT",$B$2))</f>
        <v/>
      </c>
      <c r="U211" s="15">
        <f>IF($A211="","",IF(OR(NOT(ISNUMBER($O211)),NOT(ISNUMBER($T211))),"",$O211-$T211))</f>
        <v/>
      </c>
      <c r="V211" s="13">
        <f>IF(NOT(ISNUMBER($S211)),"",COUNTIFS($G$7:$G$850,$G211,$S$7:$S$850,"&gt;"&amp;$S211)+COUNTIFS($G$7:$G211,$G211,$S$7:$S211,$S211))</f>
        <v/>
      </c>
      <c r="W211" s="13">
        <f>IF(NOT(ISNUMBER($S211)),"",COUNTIFS($G$7:$G$850,$G211,$S$7:$S$850,"&lt;"&amp;$S211)+COUNTIFS($G$7:$G211,$G211,$S$7:$S211,$S211))</f>
        <v/>
      </c>
      <c r="X211" s="8">
        <f>IF($V211="","",$G211&amp;"|"&amp;$V211)</f>
        <v/>
      </c>
      <c r="Y211" s="8">
        <f>IF($W211="","",$G211&amp;"|"&amp;$W211)</f>
        <v/>
      </c>
    </row>
    <row r="212">
      <c r="A212" s="16" t="inlineStr">
        <is>
          <t>US731011AW25</t>
        </is>
      </c>
      <c r="B212" s="17">
        <f>IF($A212="","",PROPER(_xll.BDP($A212&amp;" Corp","NAME")))</f>
        <v/>
      </c>
      <c r="C212" s="17">
        <f>IF($A212="","",IFERROR(INDEX(Company_desc!$B$2:$B$1144,MATCH($A212,Company_desc!$A$2:$A$1144,0)),IFERROR(INDEX(SYZ_static!$Q$2:$Q$806,MATCH($A212,SYZ_static!$A$2:$A$806,0)),"")))</f>
        <v/>
      </c>
      <c r="D212" s="17">
        <f>IF($A212="","",IFERROR(INDEX(SYZ_static!$B$2:$B$806,MATCH($A212,SYZ_static!$A$2:$A$806,0)),""))</f>
        <v/>
      </c>
      <c r="E212" s="17">
        <f>IF($A212="","",_xll.BDP($A212&amp;" Corp","INDUSTRY_SECTOR"))</f>
        <v/>
      </c>
      <c r="F212" s="17">
        <f>IF($A212="","",PROPER(_xll.BDP($A212&amp;" Corp","COUNTRY_FULL_NAME")))</f>
        <v/>
      </c>
      <c r="G212" s="17">
        <f>IF($A212="","",_xll.BDP($A212&amp;" Corp","CRNCY"))</f>
        <v/>
      </c>
      <c r="H212" s="17">
        <f>IF($A212="","",IFERROR(INDEX(SYZ_static!$T$2:$T$806,MATCH($A212,SYZ_static!$A$2:$A$806,0)),_xll.BDP($A212&amp;" Corp","RTG_SP")))</f>
        <v/>
      </c>
      <c r="I212" s="17">
        <f>IF($A212="","",IFERROR(INDEX(SYZ_static!$S$2:$S$806,MATCH($A212,SYZ_static!$A$2:$A$806,0)),""))</f>
        <v/>
      </c>
      <c r="J212" s="17">
        <f>IF($A212="","",_xll.BDP($A212&amp;" Corp","PAYMENT_RANK"))</f>
        <v/>
      </c>
      <c r="K212" s="18">
        <f>IF($A212="","",_xll.BDP($A212&amp;" Corp","CPN"))</f>
        <v/>
      </c>
      <c r="L212" s="19">
        <f>IF($A212="","",_xll.BDP($A212&amp;" Corp","MATURITY"))</f>
        <v/>
      </c>
      <c r="M212" s="20">
        <f>IF($A212="","",IFERROR(_xll.BDP($A212&amp;" Corp","MIN_PIECE")/1000,""))</f>
        <v/>
      </c>
      <c r="N212" s="21">
        <f>IF($A212="","",_xll.BDP($A212&amp;" Corp","PX_LAST"))</f>
        <v/>
      </c>
      <c r="O212" s="21">
        <f>IF($A212="","",_xll.BDP($A212&amp;" Corp","YAS_BOND_YLD","YAS_YLD_FLAG=15"))</f>
        <v/>
      </c>
      <c r="P212" s="21">
        <f>IF($A212="","",_xll.BDP($A212&amp;" Corp","YAS_MOD_DUR"))</f>
        <v/>
      </c>
      <c r="Q212" s="22">
        <f>IF($A212="","",_xll.BDP($A212&amp;" Corp","YAS_OAS_SPRD"))</f>
        <v/>
      </c>
      <c r="R212" s="22">
        <f>IF($A212="","",_xll.BDP($A212&amp;" Corp","YAS_OAS_SPRD","SETTLE_DT",$B$2))</f>
        <v/>
      </c>
      <c r="S212" s="23">
        <f>IF($A212="","",IF(OR(NOT(ISNUMBER($Q212)),NOT(ISNUMBER($R212))),"",$Q212-$R212))</f>
        <v/>
      </c>
      <c r="T212" s="21">
        <f>IF($A212="","",_xll.BDP($A212&amp;" Corp","YAS_BOND_YLD","YAS_YLD_FLAG=15","SETTLE_DT",$B$2))</f>
        <v/>
      </c>
      <c r="U212" s="24">
        <f>IF($A212="","",IF(OR(NOT(ISNUMBER($O212)),NOT(ISNUMBER($T212))),"",$O212-$T212))</f>
        <v/>
      </c>
      <c r="V212" s="22">
        <f>IF(NOT(ISNUMBER($S212)),"",COUNTIFS($G$7:$G$850,$G212,$S$7:$S$850,"&gt;"&amp;$S212)+COUNTIFS($G$7:$G212,$G212,$S$7:$S212,$S212))</f>
        <v/>
      </c>
      <c r="W212" s="22">
        <f>IF(NOT(ISNUMBER($S212)),"",COUNTIFS($G$7:$G$850,$G212,$S$7:$S$850,"&lt;"&amp;$S212)+COUNTIFS($G$7:$G212,$G212,$S$7:$S212,$S212))</f>
        <v/>
      </c>
      <c r="X212" s="17">
        <f>IF($V212="","",$G212&amp;"|"&amp;$V212)</f>
        <v/>
      </c>
      <c r="Y212" s="17">
        <f>IF($W212="","",$G212&amp;"|"&amp;$W212)</f>
        <v/>
      </c>
    </row>
    <row r="213">
      <c r="A213" s="7" t="inlineStr">
        <is>
          <t>US86964WAF95</t>
        </is>
      </c>
      <c r="B213" s="8">
        <f>IF($A213="","",PROPER(_xll.BDP($A213&amp;" Corp","NAME")))</f>
        <v/>
      </c>
      <c r="C213" s="8">
        <f>IF($A213="","",IFERROR(INDEX(Company_desc!$B$2:$B$1144,MATCH($A213,Company_desc!$A$2:$A$1144,0)),IFERROR(INDEX(SYZ_static!$Q$2:$Q$806,MATCH($A213,SYZ_static!$A$2:$A$806,0)),"")))</f>
        <v/>
      </c>
      <c r="D213" s="8">
        <f>IF($A213="","",IFERROR(INDEX(SYZ_static!$B$2:$B$806,MATCH($A213,SYZ_static!$A$2:$A$806,0)),""))</f>
        <v/>
      </c>
      <c r="E213" s="8">
        <f>IF($A213="","",_xll.BDP($A213&amp;" Corp","INDUSTRY_SECTOR"))</f>
        <v/>
      </c>
      <c r="F213" s="8">
        <f>IF($A213="","",PROPER(_xll.BDP($A213&amp;" Corp","COUNTRY_FULL_NAME")))</f>
        <v/>
      </c>
      <c r="G213" s="8">
        <f>IF($A213="","",_xll.BDP($A213&amp;" Corp","CRNCY"))</f>
        <v/>
      </c>
      <c r="H213" s="8">
        <f>IF($A213="","",IFERROR(INDEX(SYZ_static!$T$2:$T$806,MATCH($A213,SYZ_static!$A$2:$A$806,0)),_xll.BDP($A213&amp;" Corp","RTG_SP")))</f>
        <v/>
      </c>
      <c r="I213" s="8">
        <f>IF($A213="","",IFERROR(INDEX(SYZ_static!$S$2:$S$806,MATCH($A213,SYZ_static!$A$2:$A$806,0)),""))</f>
        <v/>
      </c>
      <c r="J213" s="8">
        <f>IF($A213="","",_xll.BDP($A213&amp;" Corp","PAYMENT_RANK"))</f>
        <v/>
      </c>
      <c r="K213" s="9">
        <f>IF($A213="","",_xll.BDP($A213&amp;" Corp","CPN"))</f>
        <v/>
      </c>
      <c r="L213" s="10">
        <f>IF($A213="","",_xll.BDP($A213&amp;" Corp","MATURITY"))</f>
        <v/>
      </c>
      <c r="M213" s="11">
        <f>IF($A213="","",IFERROR(_xll.BDP($A213&amp;" Corp","MIN_PIECE")/1000,""))</f>
        <v/>
      </c>
      <c r="N213" s="12">
        <f>IF($A213="","",_xll.BDP($A213&amp;" Corp","PX_LAST"))</f>
        <v/>
      </c>
      <c r="O213" s="12">
        <f>IF($A213="","",_xll.BDP($A213&amp;" Corp","YAS_BOND_YLD","YAS_YLD_FLAG=15"))</f>
        <v/>
      </c>
      <c r="P213" s="12">
        <f>IF($A213="","",_xll.BDP($A213&amp;" Corp","YAS_MOD_DUR"))</f>
        <v/>
      </c>
      <c r="Q213" s="13">
        <f>IF($A213="","",_xll.BDP($A213&amp;" Corp","YAS_OAS_SPRD"))</f>
        <v/>
      </c>
      <c r="R213" s="13">
        <f>IF($A213="","",_xll.BDP($A213&amp;" Corp","YAS_OAS_SPRD","SETTLE_DT",$B$2))</f>
        <v/>
      </c>
      <c r="S213" s="14">
        <f>IF($A213="","",IF(OR(NOT(ISNUMBER($Q213)),NOT(ISNUMBER($R213))),"",$Q213-$R213))</f>
        <v/>
      </c>
      <c r="T213" s="12">
        <f>IF($A213="","",_xll.BDP($A213&amp;" Corp","YAS_BOND_YLD","YAS_YLD_FLAG=15","SETTLE_DT",$B$2))</f>
        <v/>
      </c>
      <c r="U213" s="15">
        <f>IF($A213="","",IF(OR(NOT(ISNUMBER($O213)),NOT(ISNUMBER($T213))),"",$O213-$T213))</f>
        <v/>
      </c>
      <c r="V213" s="13">
        <f>IF(NOT(ISNUMBER($S213)),"",COUNTIFS($G$7:$G$850,$G213,$S$7:$S$850,"&gt;"&amp;$S213)+COUNTIFS($G$7:$G213,$G213,$S$7:$S213,$S213))</f>
        <v/>
      </c>
      <c r="W213" s="13">
        <f>IF(NOT(ISNUMBER($S213)),"",COUNTIFS($G$7:$G$850,$G213,$S$7:$S$850,"&lt;"&amp;$S213)+COUNTIFS($G$7:$G213,$G213,$S$7:$S213,$S213))</f>
        <v/>
      </c>
      <c r="X213" s="8">
        <f>IF($V213="","",$G213&amp;"|"&amp;$V213)</f>
        <v/>
      </c>
      <c r="Y213" s="8">
        <f>IF($W213="","",$G213&amp;"|"&amp;$W213)</f>
        <v/>
      </c>
    </row>
    <row r="214">
      <c r="A214" s="16" t="inlineStr">
        <is>
          <t>XS2747270556</t>
        </is>
      </c>
      <c r="B214" s="17">
        <f>IF($A214="","",PROPER(_xll.BDP($A214&amp;" Corp","NAME")))</f>
        <v/>
      </c>
      <c r="C214" s="17">
        <f>IF($A214="","",IFERROR(INDEX(Company_desc!$B$2:$B$1144,MATCH($A214,Company_desc!$A$2:$A$1144,0)),IFERROR(INDEX(SYZ_static!$Q$2:$Q$806,MATCH($A214,SYZ_static!$A$2:$A$806,0)),"")))</f>
        <v/>
      </c>
      <c r="D214" s="17">
        <f>IF($A214="","",IFERROR(INDEX(SYZ_static!$B$2:$B$806,MATCH($A214,SYZ_static!$A$2:$A$806,0)),""))</f>
        <v/>
      </c>
      <c r="E214" s="17">
        <f>IF($A214="","",_xll.BDP($A214&amp;" Corp","INDUSTRY_SECTOR"))</f>
        <v/>
      </c>
      <c r="F214" s="17">
        <f>IF($A214="","",PROPER(_xll.BDP($A214&amp;" Corp","COUNTRY_FULL_NAME")))</f>
        <v/>
      </c>
      <c r="G214" s="17">
        <f>IF($A214="","",_xll.BDP($A214&amp;" Corp","CRNCY"))</f>
        <v/>
      </c>
      <c r="H214" s="17">
        <f>IF($A214="","",IFERROR(INDEX(SYZ_static!$T$2:$T$806,MATCH($A214,SYZ_static!$A$2:$A$806,0)),_xll.BDP($A214&amp;" Corp","RTG_SP")))</f>
        <v/>
      </c>
      <c r="I214" s="17">
        <f>IF($A214="","",IFERROR(INDEX(SYZ_static!$S$2:$S$806,MATCH($A214,SYZ_static!$A$2:$A$806,0)),""))</f>
        <v/>
      </c>
      <c r="J214" s="17">
        <f>IF($A214="","",_xll.BDP($A214&amp;" Corp","PAYMENT_RANK"))</f>
        <v/>
      </c>
      <c r="K214" s="18">
        <f>IF($A214="","",_xll.BDP($A214&amp;" Corp","CPN"))</f>
        <v/>
      </c>
      <c r="L214" s="19">
        <f>IF($A214="","",_xll.BDP($A214&amp;" Corp","MATURITY"))</f>
        <v/>
      </c>
      <c r="M214" s="20">
        <f>IF($A214="","",IFERROR(_xll.BDP($A214&amp;" Corp","MIN_PIECE")/1000,""))</f>
        <v/>
      </c>
      <c r="N214" s="21">
        <f>IF($A214="","",_xll.BDP($A214&amp;" Corp","PX_LAST"))</f>
        <v/>
      </c>
      <c r="O214" s="21">
        <f>IF($A214="","",_xll.BDP($A214&amp;" Corp","YAS_BOND_YLD","YAS_YLD_FLAG=15"))</f>
        <v/>
      </c>
      <c r="P214" s="21">
        <f>IF($A214="","",_xll.BDP($A214&amp;" Corp","YAS_MOD_DUR"))</f>
        <v/>
      </c>
      <c r="Q214" s="22">
        <f>IF($A214="","",_xll.BDP($A214&amp;" Corp","YAS_OAS_SPRD"))</f>
        <v/>
      </c>
      <c r="R214" s="22">
        <f>IF($A214="","",_xll.BDP($A214&amp;" Corp","YAS_OAS_SPRD","SETTLE_DT",$B$2))</f>
        <v/>
      </c>
      <c r="S214" s="23">
        <f>IF($A214="","",IF(OR(NOT(ISNUMBER($Q214)),NOT(ISNUMBER($R214))),"",$Q214-$R214))</f>
        <v/>
      </c>
      <c r="T214" s="21">
        <f>IF($A214="","",_xll.BDP($A214&amp;" Corp","YAS_BOND_YLD","YAS_YLD_FLAG=15","SETTLE_DT",$B$2))</f>
        <v/>
      </c>
      <c r="U214" s="24">
        <f>IF($A214="","",IF(OR(NOT(ISNUMBER($O214)),NOT(ISNUMBER($T214))),"",$O214-$T214))</f>
        <v/>
      </c>
      <c r="V214" s="22">
        <f>IF(NOT(ISNUMBER($S214)),"",COUNTIFS($G$7:$G$850,$G214,$S$7:$S$850,"&gt;"&amp;$S214)+COUNTIFS($G$7:$G214,$G214,$S$7:$S214,$S214))</f>
        <v/>
      </c>
      <c r="W214" s="22">
        <f>IF(NOT(ISNUMBER($S214)),"",COUNTIFS($G$7:$G$850,$G214,$S$7:$S$850,"&lt;"&amp;$S214)+COUNTIFS($G$7:$G214,$G214,$S$7:$S214,$S214))</f>
        <v/>
      </c>
      <c r="X214" s="17">
        <f>IF($V214="","",$G214&amp;"|"&amp;$V214)</f>
        <v/>
      </c>
      <c r="Y214" s="17">
        <f>IF($W214="","",$G214&amp;"|"&amp;$W214)</f>
        <v/>
      </c>
    </row>
    <row r="215">
      <c r="A215" s="7" t="inlineStr">
        <is>
          <t>XS2580269426</t>
        </is>
      </c>
      <c r="B215" s="8">
        <f>IF($A215="","",PROPER(_xll.BDP($A215&amp;" Corp","NAME")))</f>
        <v/>
      </c>
      <c r="C215" s="8">
        <f>IF($A215="","",IFERROR(INDEX(Company_desc!$B$2:$B$1144,MATCH($A215,Company_desc!$A$2:$A$1144,0)),IFERROR(INDEX(SYZ_static!$Q$2:$Q$806,MATCH($A215,SYZ_static!$A$2:$A$806,0)),"")))</f>
        <v/>
      </c>
      <c r="D215" s="8">
        <f>IF($A215="","",IFERROR(INDEX(SYZ_static!$B$2:$B$806,MATCH($A215,SYZ_static!$A$2:$A$806,0)),""))</f>
        <v/>
      </c>
      <c r="E215" s="8">
        <f>IF($A215="","",_xll.BDP($A215&amp;" Corp","INDUSTRY_SECTOR"))</f>
        <v/>
      </c>
      <c r="F215" s="8">
        <f>IF($A215="","",PROPER(_xll.BDP($A215&amp;" Corp","COUNTRY_FULL_NAME")))</f>
        <v/>
      </c>
      <c r="G215" s="8">
        <f>IF($A215="","",_xll.BDP($A215&amp;" Corp","CRNCY"))</f>
        <v/>
      </c>
      <c r="H215" s="8">
        <f>IF($A215="","",IFERROR(INDEX(SYZ_static!$T$2:$T$806,MATCH($A215,SYZ_static!$A$2:$A$806,0)),_xll.BDP($A215&amp;" Corp","RTG_SP")))</f>
        <v/>
      </c>
      <c r="I215" s="8">
        <f>IF($A215="","",IFERROR(INDEX(SYZ_static!$S$2:$S$806,MATCH($A215,SYZ_static!$A$2:$A$806,0)),""))</f>
        <v/>
      </c>
      <c r="J215" s="8">
        <f>IF($A215="","",_xll.BDP($A215&amp;" Corp","PAYMENT_RANK"))</f>
        <v/>
      </c>
      <c r="K215" s="9">
        <f>IF($A215="","",_xll.BDP($A215&amp;" Corp","CPN"))</f>
        <v/>
      </c>
      <c r="L215" s="10">
        <f>IF($A215="","",_xll.BDP($A215&amp;" Corp","MATURITY"))</f>
        <v/>
      </c>
      <c r="M215" s="11">
        <f>IF($A215="","",IFERROR(_xll.BDP($A215&amp;" Corp","MIN_PIECE")/1000,""))</f>
        <v/>
      </c>
      <c r="N215" s="12">
        <f>IF($A215="","",_xll.BDP($A215&amp;" Corp","PX_LAST"))</f>
        <v/>
      </c>
      <c r="O215" s="12">
        <f>IF($A215="","",_xll.BDP($A215&amp;" Corp","YAS_BOND_YLD","YAS_YLD_FLAG=15"))</f>
        <v/>
      </c>
      <c r="P215" s="12">
        <f>IF($A215="","",_xll.BDP($A215&amp;" Corp","YAS_MOD_DUR"))</f>
        <v/>
      </c>
      <c r="Q215" s="13">
        <f>IF($A215="","",_xll.BDP($A215&amp;" Corp","YAS_OAS_SPRD"))</f>
        <v/>
      </c>
      <c r="R215" s="13">
        <f>IF($A215="","",_xll.BDP($A215&amp;" Corp","YAS_OAS_SPRD","SETTLE_DT",$B$2))</f>
        <v/>
      </c>
      <c r="S215" s="14">
        <f>IF($A215="","",IF(OR(NOT(ISNUMBER($Q215)),NOT(ISNUMBER($R215))),"",$Q215-$R215))</f>
        <v/>
      </c>
      <c r="T215" s="12">
        <f>IF($A215="","",_xll.BDP($A215&amp;" Corp","YAS_BOND_YLD","YAS_YLD_FLAG=15","SETTLE_DT",$B$2))</f>
        <v/>
      </c>
      <c r="U215" s="15">
        <f>IF($A215="","",IF(OR(NOT(ISNUMBER($O215)),NOT(ISNUMBER($T215))),"",$O215-$T215))</f>
        <v/>
      </c>
      <c r="V215" s="13">
        <f>IF(NOT(ISNUMBER($S215)),"",COUNTIFS($G$7:$G$850,$G215,$S$7:$S$850,"&gt;"&amp;$S215)+COUNTIFS($G$7:$G215,$G215,$S$7:$S215,$S215))</f>
        <v/>
      </c>
      <c r="W215" s="13">
        <f>IF(NOT(ISNUMBER($S215)),"",COUNTIFS($G$7:$G$850,$G215,$S$7:$S$850,"&lt;"&amp;$S215)+COUNTIFS($G$7:$G215,$G215,$S$7:$S215,$S215))</f>
        <v/>
      </c>
      <c r="X215" s="8">
        <f>IF($V215="","",$G215&amp;"|"&amp;$V215)</f>
        <v/>
      </c>
      <c r="Y215" s="8">
        <f>IF($W215="","",$G215&amp;"|"&amp;$W215)</f>
        <v/>
      </c>
    </row>
    <row r="216">
      <c r="A216" s="16" t="inlineStr">
        <is>
          <t>FR001400EHG3</t>
        </is>
      </c>
      <c r="B216" s="17">
        <f>IF($A216="","",PROPER(_xll.BDP($A216&amp;" Corp","NAME")))</f>
        <v/>
      </c>
      <c r="C216" s="17">
        <f>IF($A216="","",IFERROR(INDEX(Company_desc!$B$2:$B$1144,MATCH($A216,Company_desc!$A$2:$A$1144,0)),IFERROR(INDEX(SYZ_static!$Q$2:$Q$806,MATCH($A216,SYZ_static!$A$2:$A$806,0)),"")))</f>
        <v/>
      </c>
      <c r="D216" s="17">
        <f>IF($A216="","",IFERROR(INDEX(SYZ_static!$B$2:$B$806,MATCH($A216,SYZ_static!$A$2:$A$806,0)),""))</f>
        <v/>
      </c>
      <c r="E216" s="17">
        <f>IF($A216="","",_xll.BDP($A216&amp;" Corp","INDUSTRY_SECTOR"))</f>
        <v/>
      </c>
      <c r="F216" s="17">
        <f>IF($A216="","",PROPER(_xll.BDP($A216&amp;" Corp","COUNTRY_FULL_NAME")))</f>
        <v/>
      </c>
      <c r="G216" s="17">
        <f>IF($A216="","",_xll.BDP($A216&amp;" Corp","CRNCY"))</f>
        <v/>
      </c>
      <c r="H216" s="17">
        <f>IF($A216="","",IFERROR(INDEX(SYZ_static!$T$2:$T$806,MATCH($A216,SYZ_static!$A$2:$A$806,0)),_xll.BDP($A216&amp;" Corp","RTG_SP")))</f>
        <v/>
      </c>
      <c r="I216" s="17">
        <f>IF($A216="","",IFERROR(INDEX(SYZ_static!$S$2:$S$806,MATCH($A216,SYZ_static!$A$2:$A$806,0)),""))</f>
        <v/>
      </c>
      <c r="J216" s="17">
        <f>IF($A216="","",_xll.BDP($A216&amp;" Corp","PAYMENT_RANK"))</f>
        <v/>
      </c>
      <c r="K216" s="18">
        <f>IF($A216="","",_xll.BDP($A216&amp;" Corp","CPN"))</f>
        <v/>
      </c>
      <c r="L216" s="19">
        <f>IF($A216="","",_xll.BDP($A216&amp;" Corp","MATURITY"))</f>
        <v/>
      </c>
      <c r="M216" s="20">
        <f>IF($A216="","",IFERROR(_xll.BDP($A216&amp;" Corp","MIN_PIECE")/1000,""))</f>
        <v/>
      </c>
      <c r="N216" s="21">
        <f>IF($A216="","",_xll.BDP($A216&amp;" Corp","PX_LAST"))</f>
        <v/>
      </c>
      <c r="O216" s="21">
        <f>IF($A216="","",_xll.BDP($A216&amp;" Corp","YAS_BOND_YLD","YAS_YLD_FLAG=15"))</f>
        <v/>
      </c>
      <c r="P216" s="21">
        <f>IF($A216="","",_xll.BDP($A216&amp;" Corp","YAS_MOD_DUR"))</f>
        <v/>
      </c>
      <c r="Q216" s="22">
        <f>IF($A216="","",_xll.BDP($A216&amp;" Corp","YAS_OAS_SPRD"))</f>
        <v/>
      </c>
      <c r="R216" s="22">
        <f>IF($A216="","",_xll.BDP($A216&amp;" Corp","YAS_OAS_SPRD","SETTLE_DT",$B$2))</f>
        <v/>
      </c>
      <c r="S216" s="23">
        <f>IF($A216="","",IF(OR(NOT(ISNUMBER($Q216)),NOT(ISNUMBER($R216))),"",$Q216-$R216))</f>
        <v/>
      </c>
      <c r="T216" s="21">
        <f>IF($A216="","",_xll.BDP($A216&amp;" Corp","YAS_BOND_YLD","YAS_YLD_FLAG=15","SETTLE_DT",$B$2))</f>
        <v/>
      </c>
      <c r="U216" s="24">
        <f>IF($A216="","",IF(OR(NOT(ISNUMBER($O216)),NOT(ISNUMBER($T216))),"",$O216-$T216))</f>
        <v/>
      </c>
      <c r="V216" s="22">
        <f>IF(NOT(ISNUMBER($S216)),"",COUNTIFS($G$7:$G$850,$G216,$S$7:$S$850,"&gt;"&amp;$S216)+COUNTIFS($G$7:$G216,$G216,$S$7:$S216,$S216))</f>
        <v/>
      </c>
      <c r="W216" s="22">
        <f>IF(NOT(ISNUMBER($S216)),"",COUNTIFS($G$7:$G$850,$G216,$S$7:$S$850,"&lt;"&amp;$S216)+COUNTIFS($G$7:$G216,$G216,$S$7:$S216,$S216))</f>
        <v/>
      </c>
      <c r="X216" s="17">
        <f>IF($V216="","",$G216&amp;"|"&amp;$V216)</f>
        <v/>
      </c>
      <c r="Y216" s="17">
        <f>IF($W216="","",$G216&amp;"|"&amp;$W216)</f>
        <v/>
      </c>
    </row>
    <row r="217">
      <c r="A217" s="7" t="inlineStr">
        <is>
          <t>XS2689127467</t>
        </is>
      </c>
      <c r="B217" s="8">
        <f>IF($A217="","",PROPER(_xll.BDP($A217&amp;" Corp","NAME")))</f>
        <v/>
      </c>
      <c r="C217" s="8">
        <f>IF($A217="","",IFERROR(INDEX(Company_desc!$B$2:$B$1144,MATCH($A217,Company_desc!$A$2:$A$1144,0)),IFERROR(INDEX(SYZ_static!$Q$2:$Q$806,MATCH($A217,SYZ_static!$A$2:$A$806,0)),"")))</f>
        <v/>
      </c>
      <c r="D217" s="8">
        <f>IF($A217="","",IFERROR(INDEX(SYZ_static!$B$2:$B$806,MATCH($A217,SYZ_static!$A$2:$A$806,0)),""))</f>
        <v/>
      </c>
      <c r="E217" s="8">
        <f>IF($A217="","",_xll.BDP($A217&amp;" Corp","INDUSTRY_SECTOR"))</f>
        <v/>
      </c>
      <c r="F217" s="8">
        <f>IF($A217="","",PROPER(_xll.BDP($A217&amp;" Corp","COUNTRY_FULL_NAME")))</f>
        <v/>
      </c>
      <c r="G217" s="8">
        <f>IF($A217="","",_xll.BDP($A217&amp;" Corp","CRNCY"))</f>
        <v/>
      </c>
      <c r="H217" s="8">
        <f>IF($A217="","",IFERROR(INDEX(SYZ_static!$T$2:$T$806,MATCH($A217,SYZ_static!$A$2:$A$806,0)),_xll.BDP($A217&amp;" Corp","RTG_SP")))</f>
        <v/>
      </c>
      <c r="I217" s="8">
        <f>IF($A217="","",IFERROR(INDEX(SYZ_static!$S$2:$S$806,MATCH($A217,SYZ_static!$A$2:$A$806,0)),""))</f>
        <v/>
      </c>
      <c r="J217" s="8">
        <f>IF($A217="","",_xll.BDP($A217&amp;" Corp","PAYMENT_RANK"))</f>
        <v/>
      </c>
      <c r="K217" s="9">
        <f>IF($A217="","",_xll.BDP($A217&amp;" Corp","CPN"))</f>
        <v/>
      </c>
      <c r="L217" s="10">
        <f>IF($A217="","",_xll.BDP($A217&amp;" Corp","MATURITY"))</f>
        <v/>
      </c>
      <c r="M217" s="11">
        <f>IF($A217="","",IFERROR(_xll.BDP($A217&amp;" Corp","MIN_PIECE")/1000,""))</f>
        <v/>
      </c>
      <c r="N217" s="12">
        <f>IF($A217="","",_xll.BDP($A217&amp;" Corp","PX_LAST"))</f>
        <v/>
      </c>
      <c r="O217" s="12">
        <f>IF($A217="","",_xll.BDP($A217&amp;" Corp","YAS_BOND_YLD","YAS_YLD_FLAG=15"))</f>
        <v/>
      </c>
      <c r="P217" s="12">
        <f>IF($A217="","",_xll.BDP($A217&amp;" Corp","YAS_MOD_DUR"))</f>
        <v/>
      </c>
      <c r="Q217" s="13">
        <f>IF($A217="","",_xll.BDP($A217&amp;" Corp","YAS_OAS_SPRD"))</f>
        <v/>
      </c>
      <c r="R217" s="13">
        <f>IF($A217="","",_xll.BDP($A217&amp;" Corp","YAS_OAS_SPRD","SETTLE_DT",$B$2))</f>
        <v/>
      </c>
      <c r="S217" s="14">
        <f>IF($A217="","",IF(OR(NOT(ISNUMBER($Q217)),NOT(ISNUMBER($R217))),"",$Q217-$R217))</f>
        <v/>
      </c>
      <c r="T217" s="12">
        <f>IF($A217="","",_xll.BDP($A217&amp;" Corp","YAS_BOND_YLD","YAS_YLD_FLAG=15","SETTLE_DT",$B$2))</f>
        <v/>
      </c>
      <c r="U217" s="15">
        <f>IF($A217="","",IF(OR(NOT(ISNUMBER($O217)),NOT(ISNUMBER($T217))),"",$O217-$T217))</f>
        <v/>
      </c>
      <c r="V217" s="13">
        <f>IF(NOT(ISNUMBER($S217)),"",COUNTIFS($G$7:$G$850,$G217,$S$7:$S$850,"&gt;"&amp;$S217)+COUNTIFS($G$7:$G217,$G217,$S$7:$S217,$S217))</f>
        <v/>
      </c>
      <c r="W217" s="13">
        <f>IF(NOT(ISNUMBER($S217)),"",COUNTIFS($G$7:$G$850,$G217,$S$7:$S$850,"&lt;"&amp;$S217)+COUNTIFS($G$7:$G217,$G217,$S$7:$S217,$S217))</f>
        <v/>
      </c>
      <c r="X217" s="8">
        <f>IF($V217="","",$G217&amp;"|"&amp;$V217)</f>
        <v/>
      </c>
      <c r="Y217" s="8">
        <f>IF($W217="","",$G217&amp;"|"&amp;$W217)</f>
        <v/>
      </c>
    </row>
    <row r="218">
      <c r="A218" s="16" t="inlineStr">
        <is>
          <t>US86964WAJ18</t>
        </is>
      </c>
      <c r="B218" s="17">
        <f>IF($A218="","",PROPER(_xll.BDP($A218&amp;" Corp","NAME")))</f>
        <v/>
      </c>
      <c r="C218" s="17">
        <f>IF($A218="","",IFERROR(INDEX(Company_desc!$B$2:$B$1144,MATCH($A218,Company_desc!$A$2:$A$1144,0)),IFERROR(INDEX(SYZ_static!$Q$2:$Q$806,MATCH($A218,SYZ_static!$A$2:$A$806,0)),"")))</f>
        <v/>
      </c>
      <c r="D218" s="17">
        <f>IF($A218="","",IFERROR(INDEX(SYZ_static!$B$2:$B$806,MATCH($A218,SYZ_static!$A$2:$A$806,0)),""))</f>
        <v/>
      </c>
      <c r="E218" s="17">
        <f>IF($A218="","",_xll.BDP($A218&amp;" Corp","INDUSTRY_SECTOR"))</f>
        <v/>
      </c>
      <c r="F218" s="17">
        <f>IF($A218="","",PROPER(_xll.BDP($A218&amp;" Corp","COUNTRY_FULL_NAME")))</f>
        <v/>
      </c>
      <c r="G218" s="17">
        <f>IF($A218="","",_xll.BDP($A218&amp;" Corp","CRNCY"))</f>
        <v/>
      </c>
      <c r="H218" s="17">
        <f>IF($A218="","",IFERROR(INDEX(SYZ_static!$T$2:$T$806,MATCH($A218,SYZ_static!$A$2:$A$806,0)),_xll.BDP($A218&amp;" Corp","RTG_SP")))</f>
        <v/>
      </c>
      <c r="I218" s="17">
        <f>IF($A218="","",IFERROR(INDEX(SYZ_static!$S$2:$S$806,MATCH($A218,SYZ_static!$A$2:$A$806,0)),""))</f>
        <v/>
      </c>
      <c r="J218" s="17">
        <f>IF($A218="","",_xll.BDP($A218&amp;" Corp","PAYMENT_RANK"))</f>
        <v/>
      </c>
      <c r="K218" s="18">
        <f>IF($A218="","",_xll.BDP($A218&amp;" Corp","CPN"))</f>
        <v/>
      </c>
      <c r="L218" s="19">
        <f>IF($A218="","",_xll.BDP($A218&amp;" Corp","MATURITY"))</f>
        <v/>
      </c>
      <c r="M218" s="20">
        <f>IF($A218="","",IFERROR(_xll.BDP($A218&amp;" Corp","MIN_PIECE")/1000,""))</f>
        <v/>
      </c>
      <c r="N218" s="21">
        <f>IF($A218="","",_xll.BDP($A218&amp;" Corp","PX_LAST"))</f>
        <v/>
      </c>
      <c r="O218" s="21">
        <f>IF($A218="","",_xll.BDP($A218&amp;" Corp","YAS_BOND_YLD","YAS_YLD_FLAG=15"))</f>
        <v/>
      </c>
      <c r="P218" s="21">
        <f>IF($A218="","",_xll.BDP($A218&amp;" Corp","YAS_MOD_DUR"))</f>
        <v/>
      </c>
      <c r="Q218" s="22">
        <f>IF($A218="","",_xll.BDP($A218&amp;" Corp","YAS_OAS_SPRD"))</f>
        <v/>
      </c>
      <c r="R218" s="22">
        <f>IF($A218="","",_xll.BDP($A218&amp;" Corp","YAS_OAS_SPRD","SETTLE_DT",$B$2))</f>
        <v/>
      </c>
      <c r="S218" s="23">
        <f>IF($A218="","",IF(OR(NOT(ISNUMBER($Q218)),NOT(ISNUMBER($R218))),"",$Q218-$R218))</f>
        <v/>
      </c>
      <c r="T218" s="21">
        <f>IF($A218="","",_xll.BDP($A218&amp;" Corp","YAS_BOND_YLD","YAS_YLD_FLAG=15","SETTLE_DT",$B$2))</f>
        <v/>
      </c>
      <c r="U218" s="24">
        <f>IF($A218="","",IF(OR(NOT(ISNUMBER($O218)),NOT(ISNUMBER($T218))),"",$O218-$T218))</f>
        <v/>
      </c>
      <c r="V218" s="22">
        <f>IF(NOT(ISNUMBER($S218)),"",COUNTIFS($G$7:$G$850,$G218,$S$7:$S$850,"&gt;"&amp;$S218)+COUNTIFS($G$7:$G218,$G218,$S$7:$S218,$S218))</f>
        <v/>
      </c>
      <c r="W218" s="22">
        <f>IF(NOT(ISNUMBER($S218)),"",COUNTIFS($G$7:$G$850,$G218,$S$7:$S$850,"&lt;"&amp;$S218)+COUNTIFS($G$7:$G218,$G218,$S$7:$S218,$S218))</f>
        <v/>
      </c>
      <c r="X218" s="17">
        <f>IF($V218="","",$G218&amp;"|"&amp;$V218)</f>
        <v/>
      </c>
      <c r="Y218" s="17">
        <f>IF($W218="","",$G218&amp;"|"&amp;$W218)</f>
        <v/>
      </c>
    </row>
    <row r="219">
      <c r="A219" s="7" t="inlineStr">
        <is>
          <t>US29273VAY65</t>
        </is>
      </c>
      <c r="B219" s="8">
        <f>IF($A219="","",PROPER(_xll.BDP($A219&amp;" Corp","NAME")))</f>
        <v/>
      </c>
      <c r="C219" s="8">
        <f>IF($A219="","",IFERROR(INDEX(Company_desc!$B$2:$B$1144,MATCH($A219,Company_desc!$A$2:$A$1144,0)),IFERROR(INDEX(SYZ_static!$Q$2:$Q$806,MATCH($A219,SYZ_static!$A$2:$A$806,0)),"")))</f>
        <v/>
      </c>
      <c r="D219" s="8">
        <f>IF($A219="","",IFERROR(INDEX(SYZ_static!$B$2:$B$806,MATCH($A219,SYZ_static!$A$2:$A$806,0)),""))</f>
        <v/>
      </c>
      <c r="E219" s="8">
        <f>IF($A219="","",_xll.BDP($A219&amp;" Corp","INDUSTRY_SECTOR"))</f>
        <v/>
      </c>
      <c r="F219" s="8">
        <f>IF($A219="","",PROPER(_xll.BDP($A219&amp;" Corp","COUNTRY_FULL_NAME")))</f>
        <v/>
      </c>
      <c r="G219" s="8">
        <f>IF($A219="","",_xll.BDP($A219&amp;" Corp","CRNCY"))</f>
        <v/>
      </c>
      <c r="H219" s="8">
        <f>IF($A219="","",IFERROR(INDEX(SYZ_static!$T$2:$T$806,MATCH($A219,SYZ_static!$A$2:$A$806,0)),_xll.BDP($A219&amp;" Corp","RTG_SP")))</f>
        <v/>
      </c>
      <c r="I219" s="8">
        <f>IF($A219="","",IFERROR(INDEX(SYZ_static!$S$2:$S$806,MATCH($A219,SYZ_static!$A$2:$A$806,0)),""))</f>
        <v/>
      </c>
      <c r="J219" s="8">
        <f>IF($A219="","",_xll.BDP($A219&amp;" Corp","PAYMENT_RANK"))</f>
        <v/>
      </c>
      <c r="K219" s="9">
        <f>IF($A219="","",_xll.BDP($A219&amp;" Corp","CPN"))</f>
        <v/>
      </c>
      <c r="L219" s="10">
        <f>IF($A219="","",_xll.BDP($A219&amp;" Corp","MATURITY"))</f>
        <v/>
      </c>
      <c r="M219" s="11">
        <f>IF($A219="","",IFERROR(_xll.BDP($A219&amp;" Corp","MIN_PIECE")/1000,""))</f>
        <v/>
      </c>
      <c r="N219" s="12">
        <f>IF($A219="","",_xll.BDP($A219&amp;" Corp","PX_LAST"))</f>
        <v/>
      </c>
      <c r="O219" s="12">
        <f>IF($A219="","",_xll.BDP($A219&amp;" Corp","YAS_BOND_YLD","YAS_YLD_FLAG=15"))</f>
        <v/>
      </c>
      <c r="P219" s="12">
        <f>IF($A219="","",_xll.BDP($A219&amp;" Corp","YAS_MOD_DUR"))</f>
        <v/>
      </c>
      <c r="Q219" s="13">
        <f>IF($A219="","",_xll.BDP($A219&amp;" Corp","YAS_OAS_SPRD"))</f>
        <v/>
      </c>
      <c r="R219" s="13">
        <f>IF($A219="","",_xll.BDP($A219&amp;" Corp","YAS_OAS_SPRD","SETTLE_DT",$B$2))</f>
        <v/>
      </c>
      <c r="S219" s="14">
        <f>IF($A219="","",IF(OR(NOT(ISNUMBER($Q219)),NOT(ISNUMBER($R219))),"",$Q219-$R219))</f>
        <v/>
      </c>
      <c r="T219" s="12">
        <f>IF($A219="","",_xll.BDP($A219&amp;" Corp","YAS_BOND_YLD","YAS_YLD_FLAG=15","SETTLE_DT",$B$2))</f>
        <v/>
      </c>
      <c r="U219" s="15">
        <f>IF($A219="","",IF(OR(NOT(ISNUMBER($O219)),NOT(ISNUMBER($T219))),"",$O219-$T219))</f>
        <v/>
      </c>
      <c r="V219" s="13">
        <f>IF(NOT(ISNUMBER($S219)),"",COUNTIFS($G$7:$G$850,$G219,$S$7:$S$850,"&gt;"&amp;$S219)+COUNTIFS($G$7:$G219,$G219,$S$7:$S219,$S219))</f>
        <v/>
      </c>
      <c r="W219" s="13">
        <f>IF(NOT(ISNUMBER($S219)),"",COUNTIFS($G$7:$G$850,$G219,$S$7:$S$850,"&lt;"&amp;$S219)+COUNTIFS($G$7:$G219,$G219,$S$7:$S219,$S219))</f>
        <v/>
      </c>
      <c r="X219" s="8">
        <f>IF($V219="","",$G219&amp;"|"&amp;$V219)</f>
        <v/>
      </c>
      <c r="Y219" s="8">
        <f>IF($W219="","",$G219&amp;"|"&amp;$W219)</f>
        <v/>
      </c>
    </row>
    <row r="220">
      <c r="A220" s="16" t="inlineStr">
        <is>
          <t>US86964WAH51</t>
        </is>
      </c>
      <c r="B220" s="17">
        <f>IF($A220="","",PROPER(_xll.BDP($A220&amp;" Corp","NAME")))</f>
        <v/>
      </c>
      <c r="C220" s="17">
        <f>IF($A220="","",IFERROR(INDEX(Company_desc!$B$2:$B$1144,MATCH($A220,Company_desc!$A$2:$A$1144,0)),IFERROR(INDEX(SYZ_static!$Q$2:$Q$806,MATCH($A220,SYZ_static!$A$2:$A$806,0)),"")))</f>
        <v/>
      </c>
      <c r="D220" s="17">
        <f>IF($A220="","",IFERROR(INDEX(SYZ_static!$B$2:$B$806,MATCH($A220,SYZ_static!$A$2:$A$806,0)),""))</f>
        <v/>
      </c>
      <c r="E220" s="17">
        <f>IF($A220="","",_xll.BDP($A220&amp;" Corp","INDUSTRY_SECTOR"))</f>
        <v/>
      </c>
      <c r="F220" s="17">
        <f>IF($A220="","",PROPER(_xll.BDP($A220&amp;" Corp","COUNTRY_FULL_NAME")))</f>
        <v/>
      </c>
      <c r="G220" s="17">
        <f>IF($A220="","",_xll.BDP($A220&amp;" Corp","CRNCY"))</f>
        <v/>
      </c>
      <c r="H220" s="17">
        <f>IF($A220="","",IFERROR(INDEX(SYZ_static!$T$2:$T$806,MATCH($A220,SYZ_static!$A$2:$A$806,0)),_xll.BDP($A220&amp;" Corp","RTG_SP")))</f>
        <v/>
      </c>
      <c r="I220" s="17">
        <f>IF($A220="","",IFERROR(INDEX(SYZ_static!$S$2:$S$806,MATCH($A220,SYZ_static!$A$2:$A$806,0)),""))</f>
        <v/>
      </c>
      <c r="J220" s="17">
        <f>IF($A220="","",_xll.BDP($A220&amp;" Corp","PAYMENT_RANK"))</f>
        <v/>
      </c>
      <c r="K220" s="18">
        <f>IF($A220="","",_xll.BDP($A220&amp;" Corp","CPN"))</f>
        <v/>
      </c>
      <c r="L220" s="19">
        <f>IF($A220="","",_xll.BDP($A220&amp;" Corp","MATURITY"))</f>
        <v/>
      </c>
      <c r="M220" s="20">
        <f>IF($A220="","",IFERROR(_xll.BDP($A220&amp;" Corp","MIN_PIECE")/1000,""))</f>
        <v/>
      </c>
      <c r="N220" s="21">
        <f>IF($A220="","",_xll.BDP($A220&amp;" Corp","PX_LAST"))</f>
        <v/>
      </c>
      <c r="O220" s="21">
        <f>IF($A220="","",_xll.BDP($A220&amp;" Corp","YAS_BOND_YLD","YAS_YLD_FLAG=15"))</f>
        <v/>
      </c>
      <c r="P220" s="21">
        <f>IF($A220="","",_xll.BDP($A220&amp;" Corp","YAS_MOD_DUR"))</f>
        <v/>
      </c>
      <c r="Q220" s="22">
        <f>IF($A220="","",_xll.BDP($A220&amp;" Corp","YAS_OAS_SPRD"))</f>
        <v/>
      </c>
      <c r="R220" s="22">
        <f>IF($A220="","",_xll.BDP($A220&amp;" Corp","YAS_OAS_SPRD","SETTLE_DT",$B$2))</f>
        <v/>
      </c>
      <c r="S220" s="23">
        <f>IF($A220="","",IF(OR(NOT(ISNUMBER($Q220)),NOT(ISNUMBER($R220))),"",$Q220-$R220))</f>
        <v/>
      </c>
      <c r="T220" s="21">
        <f>IF($A220="","",_xll.BDP($A220&amp;" Corp","YAS_BOND_YLD","YAS_YLD_FLAG=15","SETTLE_DT",$B$2))</f>
        <v/>
      </c>
      <c r="U220" s="24">
        <f>IF($A220="","",IF(OR(NOT(ISNUMBER($O220)),NOT(ISNUMBER($T220))),"",$O220-$T220))</f>
        <v/>
      </c>
      <c r="V220" s="22">
        <f>IF(NOT(ISNUMBER($S220)),"",COUNTIFS($G$7:$G$850,$G220,$S$7:$S$850,"&gt;"&amp;$S220)+COUNTIFS($G$7:$G220,$G220,$S$7:$S220,$S220))</f>
        <v/>
      </c>
      <c r="W220" s="22">
        <f>IF(NOT(ISNUMBER($S220)),"",COUNTIFS($G$7:$G$850,$G220,$S$7:$S$850,"&lt;"&amp;$S220)+COUNTIFS($G$7:$G220,$G220,$S$7:$S220,$S220))</f>
        <v/>
      </c>
      <c r="X220" s="17">
        <f>IF($V220="","",$G220&amp;"|"&amp;$V220)</f>
        <v/>
      </c>
      <c r="Y220" s="17">
        <f>IF($W220="","",$G220&amp;"|"&amp;$W220)</f>
        <v/>
      </c>
    </row>
    <row r="221">
      <c r="A221" s="7" t="inlineStr">
        <is>
          <t>XS1221677120</t>
        </is>
      </c>
      <c r="B221" s="8">
        <f>IF($A221="","",PROPER(_xll.BDP($A221&amp;" Corp","NAME")))</f>
        <v/>
      </c>
      <c r="C221" s="8">
        <f>IF($A221="","",IFERROR(INDEX(Company_desc!$B$2:$B$1144,MATCH($A221,Company_desc!$A$2:$A$1144,0)),IFERROR(INDEX(SYZ_static!$Q$2:$Q$806,MATCH($A221,SYZ_static!$A$2:$A$806,0)),"")))</f>
        <v/>
      </c>
      <c r="D221" s="8">
        <f>IF($A221="","",IFERROR(INDEX(SYZ_static!$B$2:$B$806,MATCH($A221,SYZ_static!$A$2:$A$806,0)),""))</f>
        <v/>
      </c>
      <c r="E221" s="8">
        <f>IF($A221="","",_xll.BDP($A221&amp;" Corp","INDUSTRY_SECTOR"))</f>
        <v/>
      </c>
      <c r="F221" s="8">
        <f>IF($A221="","",PROPER(_xll.BDP($A221&amp;" Corp","COUNTRY_FULL_NAME")))</f>
        <v/>
      </c>
      <c r="G221" s="8">
        <f>IF($A221="","",_xll.BDP($A221&amp;" Corp","CRNCY"))</f>
        <v/>
      </c>
      <c r="H221" s="8">
        <f>IF($A221="","",IFERROR(INDEX(SYZ_static!$T$2:$T$806,MATCH($A221,SYZ_static!$A$2:$A$806,0)),_xll.BDP($A221&amp;" Corp","RTG_SP")))</f>
        <v/>
      </c>
      <c r="I221" s="8">
        <f>IF($A221="","",IFERROR(INDEX(SYZ_static!$S$2:$S$806,MATCH($A221,SYZ_static!$A$2:$A$806,0)),""))</f>
        <v/>
      </c>
      <c r="J221" s="8">
        <f>IF($A221="","",_xll.BDP($A221&amp;" Corp","PAYMENT_RANK"))</f>
        <v/>
      </c>
      <c r="K221" s="9">
        <f>IF($A221="","",_xll.BDP($A221&amp;" Corp","CPN"))</f>
        <v/>
      </c>
      <c r="L221" s="10">
        <f>IF($A221="","",_xll.BDP($A221&amp;" Corp","MATURITY"))</f>
        <v/>
      </c>
      <c r="M221" s="11">
        <f>IF($A221="","",IFERROR(_xll.BDP($A221&amp;" Corp","MIN_PIECE")/1000,""))</f>
        <v/>
      </c>
      <c r="N221" s="12">
        <f>IF($A221="","",_xll.BDP($A221&amp;" Corp","PX_LAST"))</f>
        <v/>
      </c>
      <c r="O221" s="12">
        <f>IF($A221="","",_xll.BDP($A221&amp;" Corp","YAS_BOND_YLD","YAS_YLD_FLAG=15"))</f>
        <v/>
      </c>
      <c r="P221" s="12">
        <f>IF($A221="","",_xll.BDP($A221&amp;" Corp","YAS_MOD_DUR"))</f>
        <v/>
      </c>
      <c r="Q221" s="13">
        <f>IF($A221="","",_xll.BDP($A221&amp;" Corp","YAS_OAS_SPRD"))</f>
        <v/>
      </c>
      <c r="R221" s="13">
        <f>IF($A221="","",_xll.BDP($A221&amp;" Corp","YAS_OAS_SPRD","SETTLE_DT",$B$2))</f>
        <v/>
      </c>
      <c r="S221" s="14">
        <f>IF($A221="","",IF(OR(NOT(ISNUMBER($Q221)),NOT(ISNUMBER($R221))),"",$Q221-$R221))</f>
        <v/>
      </c>
      <c r="T221" s="12">
        <f>IF($A221="","",_xll.BDP($A221&amp;" Corp","YAS_BOND_YLD","YAS_YLD_FLAG=15","SETTLE_DT",$B$2))</f>
        <v/>
      </c>
      <c r="U221" s="15">
        <f>IF($A221="","",IF(OR(NOT(ISNUMBER($O221)),NOT(ISNUMBER($T221))),"",$O221-$T221))</f>
        <v/>
      </c>
      <c r="V221" s="13">
        <f>IF(NOT(ISNUMBER($S221)),"",COUNTIFS($G$7:$G$850,$G221,$S$7:$S$850,"&gt;"&amp;$S221)+COUNTIFS($G$7:$G221,$G221,$S$7:$S221,$S221))</f>
        <v/>
      </c>
      <c r="W221" s="13">
        <f>IF(NOT(ISNUMBER($S221)),"",COUNTIFS($G$7:$G$850,$G221,$S$7:$S$850,"&lt;"&amp;$S221)+COUNTIFS($G$7:$G221,$G221,$S$7:$S221,$S221))</f>
        <v/>
      </c>
      <c r="X221" s="8">
        <f>IF($V221="","",$G221&amp;"|"&amp;$V221)</f>
        <v/>
      </c>
      <c r="Y221" s="8">
        <f>IF($W221="","",$G221&amp;"|"&amp;$W221)</f>
        <v/>
      </c>
    </row>
    <row r="222">
      <c r="A222" s="16" t="inlineStr">
        <is>
          <t>FR0013535150</t>
        </is>
      </c>
      <c r="B222" s="17">
        <f>IF($A222="","",PROPER(_xll.BDP($A222&amp;" Corp","NAME")))</f>
        <v/>
      </c>
      <c r="C222" s="17">
        <f>IF($A222="","",IFERROR(INDEX(Company_desc!$B$2:$B$1144,MATCH($A222,Company_desc!$A$2:$A$1144,0)),IFERROR(INDEX(SYZ_static!$Q$2:$Q$806,MATCH($A222,SYZ_static!$A$2:$A$806,0)),"")))</f>
        <v/>
      </c>
      <c r="D222" s="17">
        <f>IF($A222="","",IFERROR(INDEX(SYZ_static!$B$2:$B$806,MATCH($A222,SYZ_static!$A$2:$A$806,0)),""))</f>
        <v/>
      </c>
      <c r="E222" s="17">
        <f>IF($A222="","",_xll.BDP($A222&amp;" Corp","INDUSTRY_SECTOR"))</f>
        <v/>
      </c>
      <c r="F222" s="17">
        <f>IF($A222="","",PROPER(_xll.BDP($A222&amp;" Corp","COUNTRY_FULL_NAME")))</f>
        <v/>
      </c>
      <c r="G222" s="17">
        <f>IF($A222="","",_xll.BDP($A222&amp;" Corp","CRNCY"))</f>
        <v/>
      </c>
      <c r="H222" s="17">
        <f>IF($A222="","",IFERROR(INDEX(SYZ_static!$T$2:$T$806,MATCH($A222,SYZ_static!$A$2:$A$806,0)),_xll.BDP($A222&amp;" Corp","RTG_SP")))</f>
        <v/>
      </c>
      <c r="I222" s="17">
        <f>IF($A222="","",IFERROR(INDEX(SYZ_static!$S$2:$S$806,MATCH($A222,SYZ_static!$A$2:$A$806,0)),""))</f>
        <v/>
      </c>
      <c r="J222" s="17">
        <f>IF($A222="","",_xll.BDP($A222&amp;" Corp","PAYMENT_RANK"))</f>
        <v/>
      </c>
      <c r="K222" s="18">
        <f>IF($A222="","",_xll.BDP($A222&amp;" Corp","CPN"))</f>
        <v/>
      </c>
      <c r="L222" s="19">
        <f>IF($A222="","",_xll.BDP($A222&amp;" Corp","MATURITY"))</f>
        <v/>
      </c>
      <c r="M222" s="20">
        <f>IF($A222="","",IFERROR(_xll.BDP($A222&amp;" Corp","MIN_PIECE")/1000,""))</f>
        <v/>
      </c>
      <c r="N222" s="21">
        <f>IF($A222="","",_xll.BDP($A222&amp;" Corp","PX_LAST"))</f>
        <v/>
      </c>
      <c r="O222" s="21">
        <f>IF($A222="","",_xll.BDP($A222&amp;" Corp","YAS_BOND_YLD","YAS_YLD_FLAG=15"))</f>
        <v/>
      </c>
      <c r="P222" s="21">
        <f>IF($A222="","",_xll.BDP($A222&amp;" Corp","YAS_MOD_DUR"))</f>
        <v/>
      </c>
      <c r="Q222" s="22">
        <f>IF($A222="","",_xll.BDP($A222&amp;" Corp","YAS_OAS_SPRD"))</f>
        <v/>
      </c>
      <c r="R222" s="22">
        <f>IF($A222="","",_xll.BDP($A222&amp;" Corp","YAS_OAS_SPRD","SETTLE_DT",$B$2))</f>
        <v/>
      </c>
      <c r="S222" s="23">
        <f>IF($A222="","",IF(OR(NOT(ISNUMBER($Q222)),NOT(ISNUMBER($R222))),"",$Q222-$R222))</f>
        <v/>
      </c>
      <c r="T222" s="21">
        <f>IF($A222="","",_xll.BDP($A222&amp;" Corp","YAS_BOND_YLD","YAS_YLD_FLAG=15","SETTLE_DT",$B$2))</f>
        <v/>
      </c>
      <c r="U222" s="24">
        <f>IF($A222="","",IF(OR(NOT(ISNUMBER($O222)),NOT(ISNUMBER($T222))),"",$O222-$T222))</f>
        <v/>
      </c>
      <c r="V222" s="22">
        <f>IF(NOT(ISNUMBER($S222)),"",COUNTIFS($G$7:$G$850,$G222,$S$7:$S$850,"&gt;"&amp;$S222)+COUNTIFS($G$7:$G222,$G222,$S$7:$S222,$S222))</f>
        <v/>
      </c>
      <c r="W222" s="22">
        <f>IF(NOT(ISNUMBER($S222)),"",COUNTIFS($G$7:$G$850,$G222,$S$7:$S$850,"&lt;"&amp;$S222)+COUNTIFS($G$7:$G222,$G222,$S$7:$S222,$S222))</f>
        <v/>
      </c>
      <c r="X222" s="17">
        <f>IF($V222="","",$G222&amp;"|"&amp;$V222)</f>
        <v/>
      </c>
      <c r="Y222" s="17">
        <f>IF($W222="","",$G222&amp;"|"&amp;$W222)</f>
        <v/>
      </c>
    </row>
    <row r="223">
      <c r="A223" s="7" t="inlineStr">
        <is>
          <t>US42824CBV00</t>
        </is>
      </c>
      <c r="B223" s="8">
        <f>IF($A223="","",PROPER(_xll.BDP($A223&amp;" Corp","NAME")))</f>
        <v/>
      </c>
      <c r="C223" s="8">
        <f>IF($A223="","",IFERROR(INDEX(Company_desc!$B$2:$B$1144,MATCH($A223,Company_desc!$A$2:$A$1144,0)),IFERROR(INDEX(SYZ_static!$Q$2:$Q$806,MATCH($A223,SYZ_static!$A$2:$A$806,0)),"")))</f>
        <v/>
      </c>
      <c r="D223" s="8">
        <f>IF($A223="","",IFERROR(INDEX(SYZ_static!$B$2:$B$806,MATCH($A223,SYZ_static!$A$2:$A$806,0)),""))</f>
        <v/>
      </c>
      <c r="E223" s="8">
        <f>IF($A223="","",_xll.BDP($A223&amp;" Corp","INDUSTRY_SECTOR"))</f>
        <v/>
      </c>
      <c r="F223" s="8">
        <f>IF($A223="","",PROPER(_xll.BDP($A223&amp;" Corp","COUNTRY_FULL_NAME")))</f>
        <v/>
      </c>
      <c r="G223" s="8">
        <f>IF($A223="","",_xll.BDP($A223&amp;" Corp","CRNCY"))</f>
        <v/>
      </c>
      <c r="H223" s="8">
        <f>IF($A223="","",IFERROR(INDEX(SYZ_static!$T$2:$T$806,MATCH($A223,SYZ_static!$A$2:$A$806,0)),_xll.BDP($A223&amp;" Corp","RTG_SP")))</f>
        <v/>
      </c>
      <c r="I223" s="8">
        <f>IF($A223="","",IFERROR(INDEX(SYZ_static!$S$2:$S$806,MATCH($A223,SYZ_static!$A$2:$A$806,0)),""))</f>
        <v/>
      </c>
      <c r="J223" s="8">
        <f>IF($A223="","",_xll.BDP($A223&amp;" Corp","PAYMENT_RANK"))</f>
        <v/>
      </c>
      <c r="K223" s="9">
        <f>IF($A223="","",_xll.BDP($A223&amp;" Corp","CPN"))</f>
        <v/>
      </c>
      <c r="L223" s="10">
        <f>IF($A223="","",_xll.BDP($A223&amp;" Corp","MATURITY"))</f>
        <v/>
      </c>
      <c r="M223" s="11">
        <f>IF($A223="","",IFERROR(_xll.BDP($A223&amp;" Corp","MIN_PIECE")/1000,""))</f>
        <v/>
      </c>
      <c r="N223" s="12">
        <f>IF($A223="","",_xll.BDP($A223&amp;" Corp","PX_LAST"))</f>
        <v/>
      </c>
      <c r="O223" s="12">
        <f>IF($A223="","",_xll.BDP($A223&amp;" Corp","YAS_BOND_YLD","YAS_YLD_FLAG=15"))</f>
        <v/>
      </c>
      <c r="P223" s="12">
        <f>IF($A223="","",_xll.BDP($A223&amp;" Corp","YAS_MOD_DUR"))</f>
        <v/>
      </c>
      <c r="Q223" s="13">
        <f>IF($A223="","",_xll.BDP($A223&amp;" Corp","YAS_OAS_SPRD"))</f>
        <v/>
      </c>
      <c r="R223" s="13">
        <f>IF($A223="","",_xll.BDP($A223&amp;" Corp","YAS_OAS_SPRD","SETTLE_DT",$B$2))</f>
        <v/>
      </c>
      <c r="S223" s="14">
        <f>IF($A223="","",IF(OR(NOT(ISNUMBER($Q223)),NOT(ISNUMBER($R223))),"",$Q223-$R223))</f>
        <v/>
      </c>
      <c r="T223" s="12">
        <f>IF($A223="","",_xll.BDP($A223&amp;" Corp","YAS_BOND_YLD","YAS_YLD_FLAG=15","SETTLE_DT",$B$2))</f>
        <v/>
      </c>
      <c r="U223" s="15">
        <f>IF($A223="","",IF(OR(NOT(ISNUMBER($O223)),NOT(ISNUMBER($T223))),"",$O223-$T223))</f>
        <v/>
      </c>
      <c r="V223" s="13">
        <f>IF(NOT(ISNUMBER($S223)),"",COUNTIFS($G$7:$G$850,$G223,$S$7:$S$850,"&gt;"&amp;$S223)+COUNTIFS($G$7:$G223,$G223,$S$7:$S223,$S223))</f>
        <v/>
      </c>
      <c r="W223" s="13">
        <f>IF(NOT(ISNUMBER($S223)),"",COUNTIFS($G$7:$G$850,$G223,$S$7:$S$850,"&lt;"&amp;$S223)+COUNTIFS($G$7:$G223,$G223,$S$7:$S223,$S223))</f>
        <v/>
      </c>
      <c r="X223" s="8">
        <f>IF($V223="","",$G223&amp;"|"&amp;$V223)</f>
        <v/>
      </c>
      <c r="Y223" s="8">
        <f>IF($W223="","",$G223&amp;"|"&amp;$W223)</f>
        <v/>
      </c>
    </row>
    <row r="224">
      <c r="A224" s="16" t="inlineStr">
        <is>
          <t>XS1298711729</t>
        </is>
      </c>
      <c r="B224" s="17">
        <f>IF($A224="","",PROPER(_xll.BDP($A224&amp;" Corp","NAME")))</f>
        <v/>
      </c>
      <c r="C224" s="17">
        <f>IF($A224="","",IFERROR(INDEX(Company_desc!$B$2:$B$1144,MATCH($A224,Company_desc!$A$2:$A$1144,0)),IFERROR(INDEX(SYZ_static!$Q$2:$Q$806,MATCH($A224,SYZ_static!$A$2:$A$806,0)),"")))</f>
        <v/>
      </c>
      <c r="D224" s="17">
        <f>IF($A224="","",IFERROR(INDEX(SYZ_static!$B$2:$B$806,MATCH($A224,SYZ_static!$A$2:$A$806,0)),""))</f>
        <v/>
      </c>
      <c r="E224" s="17">
        <f>IF($A224="","",_xll.BDP($A224&amp;" Corp","INDUSTRY_SECTOR"))</f>
        <v/>
      </c>
      <c r="F224" s="17">
        <f>IF($A224="","",PROPER(_xll.BDP($A224&amp;" Corp","COUNTRY_FULL_NAME")))</f>
        <v/>
      </c>
      <c r="G224" s="17">
        <f>IF($A224="","",_xll.BDP($A224&amp;" Corp","CRNCY"))</f>
        <v/>
      </c>
      <c r="H224" s="17">
        <f>IF($A224="","",IFERROR(INDEX(SYZ_static!$T$2:$T$806,MATCH($A224,SYZ_static!$A$2:$A$806,0)),_xll.BDP($A224&amp;" Corp","RTG_SP")))</f>
        <v/>
      </c>
      <c r="I224" s="17">
        <f>IF($A224="","",IFERROR(INDEX(SYZ_static!$S$2:$S$806,MATCH($A224,SYZ_static!$A$2:$A$806,0)),""))</f>
        <v/>
      </c>
      <c r="J224" s="17">
        <f>IF($A224="","",_xll.BDP($A224&amp;" Corp","PAYMENT_RANK"))</f>
        <v/>
      </c>
      <c r="K224" s="18">
        <f>IF($A224="","",_xll.BDP($A224&amp;" Corp","CPN"))</f>
        <v/>
      </c>
      <c r="L224" s="19">
        <f>IF($A224="","",_xll.BDP($A224&amp;" Corp","MATURITY"))</f>
        <v/>
      </c>
      <c r="M224" s="20">
        <f>IF($A224="","",IFERROR(_xll.BDP($A224&amp;" Corp","MIN_PIECE")/1000,""))</f>
        <v/>
      </c>
      <c r="N224" s="21">
        <f>IF($A224="","",_xll.BDP($A224&amp;" Corp","PX_LAST"))</f>
        <v/>
      </c>
      <c r="O224" s="21">
        <f>IF($A224="","",_xll.BDP($A224&amp;" Corp","YAS_BOND_YLD","YAS_YLD_FLAG=15"))</f>
        <v/>
      </c>
      <c r="P224" s="21">
        <f>IF($A224="","",_xll.BDP($A224&amp;" Corp","YAS_MOD_DUR"))</f>
        <v/>
      </c>
      <c r="Q224" s="22">
        <f>IF($A224="","",_xll.BDP($A224&amp;" Corp","YAS_OAS_SPRD"))</f>
        <v/>
      </c>
      <c r="R224" s="22">
        <f>IF($A224="","",_xll.BDP($A224&amp;" Corp","YAS_OAS_SPRD","SETTLE_DT",$B$2))</f>
        <v/>
      </c>
      <c r="S224" s="23">
        <f>IF($A224="","",IF(OR(NOT(ISNUMBER($Q224)),NOT(ISNUMBER($R224))),"",$Q224-$R224))</f>
        <v/>
      </c>
      <c r="T224" s="21">
        <f>IF($A224="","",_xll.BDP($A224&amp;" Corp","YAS_BOND_YLD","YAS_YLD_FLAG=15","SETTLE_DT",$B$2))</f>
        <v/>
      </c>
      <c r="U224" s="24">
        <f>IF($A224="","",IF(OR(NOT(ISNUMBER($O224)),NOT(ISNUMBER($T224))),"",$O224-$T224))</f>
        <v/>
      </c>
      <c r="V224" s="22">
        <f>IF(NOT(ISNUMBER($S224)),"",COUNTIFS($G$7:$G$850,$G224,$S$7:$S$850,"&gt;"&amp;$S224)+COUNTIFS($G$7:$G224,$G224,$S$7:$S224,$S224))</f>
        <v/>
      </c>
      <c r="W224" s="22">
        <f>IF(NOT(ISNUMBER($S224)),"",COUNTIFS($G$7:$G$850,$G224,$S$7:$S$850,"&lt;"&amp;$S224)+COUNTIFS($G$7:$G224,$G224,$S$7:$S224,$S224))</f>
        <v/>
      </c>
      <c r="X224" s="17">
        <f>IF($V224="","",$G224&amp;"|"&amp;$V224)</f>
        <v/>
      </c>
      <c r="Y224" s="17">
        <f>IF($W224="","",$G224&amp;"|"&amp;$W224)</f>
        <v/>
      </c>
    </row>
    <row r="225">
      <c r="A225" s="7" t="inlineStr">
        <is>
          <t>US91911TAE38</t>
        </is>
      </c>
      <c r="B225" s="8">
        <f>IF($A225="","",PROPER(_xll.BDP($A225&amp;" Corp","NAME")))</f>
        <v/>
      </c>
      <c r="C225" s="8">
        <f>IF($A225="","",IFERROR(INDEX(Company_desc!$B$2:$B$1144,MATCH($A225,Company_desc!$A$2:$A$1144,0)),IFERROR(INDEX(SYZ_static!$Q$2:$Q$806,MATCH($A225,SYZ_static!$A$2:$A$806,0)),"")))</f>
        <v/>
      </c>
      <c r="D225" s="8">
        <f>IF($A225="","",IFERROR(INDEX(SYZ_static!$B$2:$B$806,MATCH($A225,SYZ_static!$A$2:$A$806,0)),""))</f>
        <v/>
      </c>
      <c r="E225" s="8">
        <f>IF($A225="","",_xll.BDP($A225&amp;" Corp","INDUSTRY_SECTOR"))</f>
        <v/>
      </c>
      <c r="F225" s="8">
        <f>IF($A225="","",PROPER(_xll.BDP($A225&amp;" Corp","COUNTRY_FULL_NAME")))</f>
        <v/>
      </c>
      <c r="G225" s="8">
        <f>IF($A225="","",_xll.BDP($A225&amp;" Corp","CRNCY"))</f>
        <v/>
      </c>
      <c r="H225" s="8">
        <f>IF($A225="","",IFERROR(INDEX(SYZ_static!$T$2:$T$806,MATCH($A225,SYZ_static!$A$2:$A$806,0)),_xll.BDP($A225&amp;" Corp","RTG_SP")))</f>
        <v/>
      </c>
      <c r="I225" s="8">
        <f>IF($A225="","",IFERROR(INDEX(SYZ_static!$S$2:$S$806,MATCH($A225,SYZ_static!$A$2:$A$806,0)),""))</f>
        <v/>
      </c>
      <c r="J225" s="8">
        <f>IF($A225="","",_xll.BDP($A225&amp;" Corp","PAYMENT_RANK"))</f>
        <v/>
      </c>
      <c r="K225" s="9">
        <f>IF($A225="","",_xll.BDP($A225&amp;" Corp","CPN"))</f>
        <v/>
      </c>
      <c r="L225" s="10">
        <f>IF($A225="","",_xll.BDP($A225&amp;" Corp","MATURITY"))</f>
        <v/>
      </c>
      <c r="M225" s="11">
        <f>IF($A225="","",IFERROR(_xll.BDP($A225&amp;" Corp","MIN_PIECE")/1000,""))</f>
        <v/>
      </c>
      <c r="N225" s="12">
        <f>IF($A225="","",_xll.BDP($A225&amp;" Corp","PX_LAST"))</f>
        <v/>
      </c>
      <c r="O225" s="12">
        <f>IF($A225="","",_xll.BDP($A225&amp;" Corp","YAS_BOND_YLD","YAS_YLD_FLAG=15"))</f>
        <v/>
      </c>
      <c r="P225" s="12">
        <f>IF($A225="","",_xll.BDP($A225&amp;" Corp","YAS_MOD_DUR"))</f>
        <v/>
      </c>
      <c r="Q225" s="13">
        <f>IF($A225="","",_xll.BDP($A225&amp;" Corp","YAS_OAS_SPRD"))</f>
        <v/>
      </c>
      <c r="R225" s="13">
        <f>IF($A225="","",_xll.BDP($A225&amp;" Corp","YAS_OAS_SPRD","SETTLE_DT",$B$2))</f>
        <v/>
      </c>
      <c r="S225" s="14">
        <f>IF($A225="","",IF(OR(NOT(ISNUMBER($Q225)),NOT(ISNUMBER($R225))),"",$Q225-$R225))</f>
        <v/>
      </c>
      <c r="T225" s="12">
        <f>IF($A225="","",_xll.BDP($A225&amp;" Corp","YAS_BOND_YLD","YAS_YLD_FLAG=15","SETTLE_DT",$B$2))</f>
        <v/>
      </c>
      <c r="U225" s="15">
        <f>IF($A225="","",IF(OR(NOT(ISNUMBER($O225)),NOT(ISNUMBER($T225))),"",$O225-$T225))</f>
        <v/>
      </c>
      <c r="V225" s="13">
        <f>IF(NOT(ISNUMBER($S225)),"",COUNTIFS($G$7:$G$850,$G225,$S$7:$S$850,"&gt;"&amp;$S225)+COUNTIFS($G$7:$G225,$G225,$S$7:$S225,$S225))</f>
        <v/>
      </c>
      <c r="W225" s="13">
        <f>IF(NOT(ISNUMBER($S225)),"",COUNTIFS($G$7:$G$850,$G225,$S$7:$S$850,"&lt;"&amp;$S225)+COUNTIFS($G$7:$G225,$G225,$S$7:$S225,$S225))</f>
        <v/>
      </c>
      <c r="X225" s="8">
        <f>IF($V225="","",$G225&amp;"|"&amp;$V225)</f>
        <v/>
      </c>
      <c r="Y225" s="8">
        <f>IF($W225="","",$G225&amp;"|"&amp;$W225)</f>
        <v/>
      </c>
    </row>
    <row r="226">
      <c r="A226" s="16" t="inlineStr">
        <is>
          <t>US06406RBZ91</t>
        </is>
      </c>
      <c r="B226" s="17">
        <f>IF($A226="","",PROPER(_xll.BDP($A226&amp;" Corp","NAME")))</f>
        <v/>
      </c>
      <c r="C226" s="17">
        <f>IF($A226="","",IFERROR(INDEX(Company_desc!$B$2:$B$1144,MATCH($A226,Company_desc!$A$2:$A$1144,0)),IFERROR(INDEX(SYZ_static!$Q$2:$Q$806,MATCH($A226,SYZ_static!$A$2:$A$806,0)),"")))</f>
        <v/>
      </c>
      <c r="D226" s="17">
        <f>IF($A226="","",IFERROR(INDEX(SYZ_static!$B$2:$B$806,MATCH($A226,SYZ_static!$A$2:$A$806,0)),""))</f>
        <v/>
      </c>
      <c r="E226" s="17">
        <f>IF($A226="","",_xll.BDP($A226&amp;" Corp","INDUSTRY_SECTOR"))</f>
        <v/>
      </c>
      <c r="F226" s="17">
        <f>IF($A226="","",PROPER(_xll.BDP($A226&amp;" Corp","COUNTRY_FULL_NAME")))</f>
        <v/>
      </c>
      <c r="G226" s="17">
        <f>IF($A226="","",_xll.BDP($A226&amp;" Corp","CRNCY"))</f>
        <v/>
      </c>
      <c r="H226" s="17">
        <f>IF($A226="","",IFERROR(INDEX(SYZ_static!$T$2:$T$806,MATCH($A226,SYZ_static!$A$2:$A$806,0)),_xll.BDP($A226&amp;" Corp","RTG_SP")))</f>
        <v/>
      </c>
      <c r="I226" s="17">
        <f>IF($A226="","",IFERROR(INDEX(SYZ_static!$S$2:$S$806,MATCH($A226,SYZ_static!$A$2:$A$806,0)),""))</f>
        <v/>
      </c>
      <c r="J226" s="17">
        <f>IF($A226="","",_xll.BDP($A226&amp;" Corp","PAYMENT_RANK"))</f>
        <v/>
      </c>
      <c r="K226" s="18">
        <f>IF($A226="","",_xll.BDP($A226&amp;" Corp","CPN"))</f>
        <v/>
      </c>
      <c r="L226" s="19">
        <f>IF($A226="","",_xll.BDP($A226&amp;" Corp","MATURITY"))</f>
        <v/>
      </c>
      <c r="M226" s="20">
        <f>IF($A226="","",IFERROR(_xll.BDP($A226&amp;" Corp","MIN_PIECE")/1000,""))</f>
        <v/>
      </c>
      <c r="N226" s="21">
        <f>IF($A226="","",_xll.BDP($A226&amp;" Corp","PX_LAST"))</f>
        <v/>
      </c>
      <c r="O226" s="21">
        <f>IF($A226="","",_xll.BDP($A226&amp;" Corp","YAS_BOND_YLD","YAS_YLD_FLAG=15"))</f>
        <v/>
      </c>
      <c r="P226" s="21">
        <f>IF($A226="","",_xll.BDP($A226&amp;" Corp","YAS_MOD_DUR"))</f>
        <v/>
      </c>
      <c r="Q226" s="22">
        <f>IF($A226="","",_xll.BDP($A226&amp;" Corp","YAS_OAS_SPRD"))</f>
        <v/>
      </c>
      <c r="R226" s="22">
        <f>IF($A226="","",_xll.BDP($A226&amp;" Corp","YAS_OAS_SPRD","SETTLE_DT",$B$2))</f>
        <v/>
      </c>
      <c r="S226" s="23">
        <f>IF($A226="","",IF(OR(NOT(ISNUMBER($Q226)),NOT(ISNUMBER($R226))),"",$Q226-$R226))</f>
        <v/>
      </c>
      <c r="T226" s="21">
        <f>IF($A226="","",_xll.BDP($A226&amp;" Corp","YAS_BOND_YLD","YAS_YLD_FLAG=15","SETTLE_DT",$B$2))</f>
        <v/>
      </c>
      <c r="U226" s="24">
        <f>IF($A226="","",IF(OR(NOT(ISNUMBER($O226)),NOT(ISNUMBER($T226))),"",$O226-$T226))</f>
        <v/>
      </c>
      <c r="V226" s="22">
        <f>IF(NOT(ISNUMBER($S226)),"",COUNTIFS($G$7:$G$850,$G226,$S$7:$S$850,"&gt;"&amp;$S226)+COUNTIFS($G$7:$G226,$G226,$S$7:$S226,$S226))</f>
        <v/>
      </c>
      <c r="W226" s="22">
        <f>IF(NOT(ISNUMBER($S226)),"",COUNTIFS($G$7:$G$850,$G226,$S$7:$S$850,"&lt;"&amp;$S226)+COUNTIFS($G$7:$G226,$G226,$S$7:$S226,$S226))</f>
        <v/>
      </c>
      <c r="X226" s="17">
        <f>IF($V226="","",$G226&amp;"|"&amp;$V226)</f>
        <v/>
      </c>
      <c r="Y226" s="17">
        <f>IF($W226="","",$G226&amp;"|"&amp;$W226)</f>
        <v/>
      </c>
    </row>
    <row r="227">
      <c r="A227" s="7" t="inlineStr">
        <is>
          <t>USP6629MAC66</t>
        </is>
      </c>
      <c r="B227" s="8">
        <f>IF($A227="","",PROPER(_xll.BDP($A227&amp;" Corp","NAME")))</f>
        <v/>
      </c>
      <c r="C227" s="8">
        <f>IF($A227="","",IFERROR(INDEX(Company_desc!$B$2:$B$1144,MATCH($A227,Company_desc!$A$2:$A$1144,0)),IFERROR(INDEX(SYZ_static!$Q$2:$Q$806,MATCH($A227,SYZ_static!$A$2:$A$806,0)),"")))</f>
        <v/>
      </c>
      <c r="D227" s="8">
        <f>IF($A227="","",IFERROR(INDEX(SYZ_static!$B$2:$B$806,MATCH($A227,SYZ_static!$A$2:$A$806,0)),""))</f>
        <v/>
      </c>
      <c r="E227" s="8">
        <f>IF($A227="","",_xll.BDP($A227&amp;" Corp","INDUSTRY_SECTOR"))</f>
        <v/>
      </c>
      <c r="F227" s="8">
        <f>IF($A227="","",PROPER(_xll.BDP($A227&amp;" Corp","COUNTRY_FULL_NAME")))</f>
        <v/>
      </c>
      <c r="G227" s="8">
        <f>IF($A227="","",_xll.BDP($A227&amp;" Corp","CRNCY"))</f>
        <v/>
      </c>
      <c r="H227" s="8">
        <f>IF($A227="","",IFERROR(INDEX(SYZ_static!$T$2:$T$806,MATCH($A227,SYZ_static!$A$2:$A$806,0)),_xll.BDP($A227&amp;" Corp","RTG_SP")))</f>
        <v/>
      </c>
      <c r="I227" s="8">
        <f>IF($A227="","",IFERROR(INDEX(SYZ_static!$S$2:$S$806,MATCH($A227,SYZ_static!$A$2:$A$806,0)),""))</f>
        <v/>
      </c>
      <c r="J227" s="8">
        <f>IF($A227="","",_xll.BDP($A227&amp;" Corp","PAYMENT_RANK"))</f>
        <v/>
      </c>
      <c r="K227" s="9">
        <f>IF($A227="","",_xll.BDP($A227&amp;" Corp","CPN"))</f>
        <v/>
      </c>
      <c r="L227" s="10">
        <f>IF($A227="","",_xll.BDP($A227&amp;" Corp","MATURITY"))</f>
        <v/>
      </c>
      <c r="M227" s="11">
        <f>IF($A227="","",IFERROR(_xll.BDP($A227&amp;" Corp","MIN_PIECE")/1000,""))</f>
        <v/>
      </c>
      <c r="N227" s="12">
        <f>IF($A227="","",_xll.BDP($A227&amp;" Corp","PX_LAST"))</f>
        <v/>
      </c>
      <c r="O227" s="12">
        <f>IF($A227="","",_xll.BDP($A227&amp;" Corp","YAS_BOND_YLD","YAS_YLD_FLAG=15"))</f>
        <v/>
      </c>
      <c r="P227" s="12">
        <f>IF($A227="","",_xll.BDP($A227&amp;" Corp","YAS_MOD_DUR"))</f>
        <v/>
      </c>
      <c r="Q227" s="13">
        <f>IF($A227="","",_xll.BDP($A227&amp;" Corp","YAS_OAS_SPRD"))</f>
        <v/>
      </c>
      <c r="R227" s="13">
        <f>IF($A227="","",_xll.BDP($A227&amp;" Corp","YAS_OAS_SPRD","SETTLE_DT",$B$2))</f>
        <v/>
      </c>
      <c r="S227" s="14">
        <f>IF($A227="","",IF(OR(NOT(ISNUMBER($Q227)),NOT(ISNUMBER($R227))),"",$Q227-$R227))</f>
        <v/>
      </c>
      <c r="T227" s="12">
        <f>IF($A227="","",_xll.BDP($A227&amp;" Corp","YAS_BOND_YLD","YAS_YLD_FLAG=15","SETTLE_DT",$B$2))</f>
        <v/>
      </c>
      <c r="U227" s="15">
        <f>IF($A227="","",IF(OR(NOT(ISNUMBER($O227)),NOT(ISNUMBER($T227))),"",$O227-$T227))</f>
        <v/>
      </c>
      <c r="V227" s="13">
        <f>IF(NOT(ISNUMBER($S227)),"",COUNTIFS($G$7:$G$850,$G227,$S$7:$S$850,"&gt;"&amp;$S227)+COUNTIFS($G$7:$G227,$G227,$S$7:$S227,$S227))</f>
        <v/>
      </c>
      <c r="W227" s="13">
        <f>IF(NOT(ISNUMBER($S227)),"",COUNTIFS($G$7:$G$850,$G227,$S$7:$S$850,"&lt;"&amp;$S227)+COUNTIFS($G$7:$G227,$G227,$S$7:$S227,$S227))</f>
        <v/>
      </c>
      <c r="X227" s="8">
        <f>IF($V227="","",$G227&amp;"|"&amp;$V227)</f>
        <v/>
      </c>
      <c r="Y227" s="8">
        <f>IF($W227="","",$G227&amp;"|"&amp;$W227)</f>
        <v/>
      </c>
    </row>
    <row r="228">
      <c r="A228" s="16" t="inlineStr">
        <is>
          <t>XS2010026305</t>
        </is>
      </c>
      <c r="B228" s="17">
        <f>IF($A228="","",PROPER(_xll.BDP($A228&amp;" Corp","NAME")))</f>
        <v/>
      </c>
      <c r="C228" s="17">
        <f>IF($A228="","",IFERROR(INDEX(Company_desc!$B$2:$B$1144,MATCH($A228,Company_desc!$A$2:$A$1144,0)),IFERROR(INDEX(SYZ_static!$Q$2:$Q$806,MATCH($A228,SYZ_static!$A$2:$A$806,0)),"")))</f>
        <v/>
      </c>
      <c r="D228" s="17">
        <f>IF($A228="","",IFERROR(INDEX(SYZ_static!$B$2:$B$806,MATCH($A228,SYZ_static!$A$2:$A$806,0)),""))</f>
        <v/>
      </c>
      <c r="E228" s="17">
        <f>IF($A228="","",_xll.BDP($A228&amp;" Corp","INDUSTRY_SECTOR"))</f>
        <v/>
      </c>
      <c r="F228" s="17">
        <f>IF($A228="","",PROPER(_xll.BDP($A228&amp;" Corp","COUNTRY_FULL_NAME")))</f>
        <v/>
      </c>
      <c r="G228" s="17">
        <f>IF($A228="","",_xll.BDP($A228&amp;" Corp","CRNCY"))</f>
        <v/>
      </c>
      <c r="H228" s="17">
        <f>IF($A228="","",IFERROR(INDEX(SYZ_static!$T$2:$T$806,MATCH($A228,SYZ_static!$A$2:$A$806,0)),_xll.BDP($A228&amp;" Corp","RTG_SP")))</f>
        <v/>
      </c>
      <c r="I228" s="17">
        <f>IF($A228="","",IFERROR(INDEX(SYZ_static!$S$2:$S$806,MATCH($A228,SYZ_static!$A$2:$A$806,0)),""))</f>
        <v/>
      </c>
      <c r="J228" s="17">
        <f>IF($A228="","",_xll.BDP($A228&amp;" Corp","PAYMENT_RANK"))</f>
        <v/>
      </c>
      <c r="K228" s="18">
        <f>IF($A228="","",_xll.BDP($A228&amp;" Corp","CPN"))</f>
        <v/>
      </c>
      <c r="L228" s="19">
        <f>IF($A228="","",_xll.BDP($A228&amp;" Corp","MATURITY"))</f>
        <v/>
      </c>
      <c r="M228" s="20">
        <f>IF($A228="","",IFERROR(_xll.BDP($A228&amp;" Corp","MIN_PIECE")/1000,""))</f>
        <v/>
      </c>
      <c r="N228" s="21">
        <f>IF($A228="","",_xll.BDP($A228&amp;" Corp","PX_LAST"))</f>
        <v/>
      </c>
      <c r="O228" s="21">
        <f>IF($A228="","",_xll.BDP($A228&amp;" Corp","YAS_BOND_YLD","YAS_YLD_FLAG=15"))</f>
        <v/>
      </c>
      <c r="P228" s="21">
        <f>IF($A228="","",_xll.BDP($A228&amp;" Corp","YAS_MOD_DUR"))</f>
        <v/>
      </c>
      <c r="Q228" s="22">
        <f>IF($A228="","",_xll.BDP($A228&amp;" Corp","YAS_OAS_SPRD"))</f>
        <v/>
      </c>
      <c r="R228" s="22">
        <f>IF($A228="","",_xll.BDP($A228&amp;" Corp","YAS_OAS_SPRD","SETTLE_DT",$B$2))</f>
        <v/>
      </c>
      <c r="S228" s="23">
        <f>IF($A228="","",IF(OR(NOT(ISNUMBER($Q228)),NOT(ISNUMBER($R228))),"",$Q228-$R228))</f>
        <v/>
      </c>
      <c r="T228" s="21">
        <f>IF($A228="","",_xll.BDP($A228&amp;" Corp","YAS_BOND_YLD","YAS_YLD_FLAG=15","SETTLE_DT",$B$2))</f>
        <v/>
      </c>
      <c r="U228" s="24">
        <f>IF($A228="","",IF(OR(NOT(ISNUMBER($O228)),NOT(ISNUMBER($T228))),"",$O228-$T228))</f>
        <v/>
      </c>
      <c r="V228" s="22">
        <f>IF(NOT(ISNUMBER($S228)),"",COUNTIFS($G$7:$G$850,$G228,$S$7:$S$850,"&gt;"&amp;$S228)+COUNTIFS($G$7:$G228,$G228,$S$7:$S228,$S228))</f>
        <v/>
      </c>
      <c r="W228" s="22">
        <f>IF(NOT(ISNUMBER($S228)),"",COUNTIFS($G$7:$G$850,$G228,$S$7:$S$850,"&lt;"&amp;$S228)+COUNTIFS($G$7:$G228,$G228,$S$7:$S228,$S228))</f>
        <v/>
      </c>
      <c r="X228" s="17">
        <f>IF($V228="","",$G228&amp;"|"&amp;$V228)</f>
        <v/>
      </c>
      <c r="Y228" s="17">
        <f>IF($W228="","",$G228&amp;"|"&amp;$W228)</f>
        <v/>
      </c>
    </row>
    <row r="229">
      <c r="A229" s="7" t="inlineStr">
        <is>
          <t>US65535HBA68</t>
        </is>
      </c>
      <c r="B229" s="8">
        <f>IF($A229="","",PROPER(_xll.BDP($A229&amp;" Corp","NAME")))</f>
        <v/>
      </c>
      <c r="C229" s="8">
        <f>IF($A229="","",IFERROR(INDEX(Company_desc!$B$2:$B$1144,MATCH($A229,Company_desc!$A$2:$A$1144,0)),IFERROR(INDEX(SYZ_static!$Q$2:$Q$806,MATCH($A229,SYZ_static!$A$2:$A$806,0)),"")))</f>
        <v/>
      </c>
      <c r="D229" s="8">
        <f>IF($A229="","",IFERROR(INDEX(SYZ_static!$B$2:$B$806,MATCH($A229,SYZ_static!$A$2:$A$806,0)),""))</f>
        <v/>
      </c>
      <c r="E229" s="8">
        <f>IF($A229="","",_xll.BDP($A229&amp;" Corp","INDUSTRY_SECTOR"))</f>
        <v/>
      </c>
      <c r="F229" s="8">
        <f>IF($A229="","",PROPER(_xll.BDP($A229&amp;" Corp","COUNTRY_FULL_NAME")))</f>
        <v/>
      </c>
      <c r="G229" s="8">
        <f>IF($A229="","",_xll.BDP($A229&amp;" Corp","CRNCY"))</f>
        <v/>
      </c>
      <c r="H229" s="8">
        <f>IF($A229="","",IFERROR(INDEX(SYZ_static!$T$2:$T$806,MATCH($A229,SYZ_static!$A$2:$A$806,0)),_xll.BDP($A229&amp;" Corp","RTG_SP")))</f>
        <v/>
      </c>
      <c r="I229" s="8">
        <f>IF($A229="","",IFERROR(INDEX(SYZ_static!$S$2:$S$806,MATCH($A229,SYZ_static!$A$2:$A$806,0)),""))</f>
        <v/>
      </c>
      <c r="J229" s="8">
        <f>IF($A229="","",_xll.BDP($A229&amp;" Corp","PAYMENT_RANK"))</f>
        <v/>
      </c>
      <c r="K229" s="9">
        <f>IF($A229="","",_xll.BDP($A229&amp;" Corp","CPN"))</f>
        <v/>
      </c>
      <c r="L229" s="10">
        <f>IF($A229="","",_xll.BDP($A229&amp;" Corp","MATURITY"))</f>
        <v/>
      </c>
      <c r="M229" s="11">
        <f>IF($A229="","",IFERROR(_xll.BDP($A229&amp;" Corp","MIN_PIECE")/1000,""))</f>
        <v/>
      </c>
      <c r="N229" s="12">
        <f>IF($A229="","",_xll.BDP($A229&amp;" Corp","PX_LAST"))</f>
        <v/>
      </c>
      <c r="O229" s="12">
        <f>IF($A229="","",_xll.BDP($A229&amp;" Corp","YAS_BOND_YLD","YAS_YLD_FLAG=15"))</f>
        <v/>
      </c>
      <c r="P229" s="12">
        <f>IF($A229="","",_xll.BDP($A229&amp;" Corp","YAS_MOD_DUR"))</f>
        <v/>
      </c>
      <c r="Q229" s="13">
        <f>IF($A229="","",_xll.BDP($A229&amp;" Corp","YAS_OAS_SPRD"))</f>
        <v/>
      </c>
      <c r="R229" s="13">
        <f>IF($A229="","",_xll.BDP($A229&amp;" Corp","YAS_OAS_SPRD","SETTLE_DT",$B$2))</f>
        <v/>
      </c>
      <c r="S229" s="14">
        <f>IF($A229="","",IF(OR(NOT(ISNUMBER($Q229)),NOT(ISNUMBER($R229))),"",$Q229-$R229))</f>
        <v/>
      </c>
      <c r="T229" s="12">
        <f>IF($A229="","",_xll.BDP($A229&amp;" Corp","YAS_BOND_YLD","YAS_YLD_FLAG=15","SETTLE_DT",$B$2))</f>
        <v/>
      </c>
      <c r="U229" s="15">
        <f>IF($A229="","",IF(OR(NOT(ISNUMBER($O229)),NOT(ISNUMBER($T229))),"",$O229-$T229))</f>
        <v/>
      </c>
      <c r="V229" s="13">
        <f>IF(NOT(ISNUMBER($S229)),"",COUNTIFS($G$7:$G$850,$G229,$S$7:$S$850,"&gt;"&amp;$S229)+COUNTIFS($G$7:$G229,$G229,$S$7:$S229,$S229))</f>
        <v/>
      </c>
      <c r="W229" s="13">
        <f>IF(NOT(ISNUMBER($S229)),"",COUNTIFS($G$7:$G$850,$G229,$S$7:$S$850,"&lt;"&amp;$S229)+COUNTIFS($G$7:$G229,$G229,$S$7:$S229,$S229))</f>
        <v/>
      </c>
      <c r="X229" s="8">
        <f>IF($V229="","",$G229&amp;"|"&amp;$V229)</f>
        <v/>
      </c>
      <c r="Y229" s="8">
        <f>IF($W229="","",$G229&amp;"|"&amp;$W229)</f>
        <v/>
      </c>
    </row>
    <row r="230">
      <c r="A230" s="16" t="inlineStr">
        <is>
          <t>XS2791972248</t>
        </is>
      </c>
      <c r="B230" s="17">
        <f>IF($A230="","",PROPER(_xll.BDP($A230&amp;" Corp","NAME")))</f>
        <v/>
      </c>
      <c r="C230" s="17">
        <f>IF($A230="","",IFERROR(INDEX(Company_desc!$B$2:$B$1144,MATCH($A230,Company_desc!$A$2:$A$1144,0)),IFERROR(INDEX(SYZ_static!$Q$2:$Q$806,MATCH($A230,SYZ_static!$A$2:$A$806,0)),"")))</f>
        <v/>
      </c>
      <c r="D230" s="17">
        <f>IF($A230="","",IFERROR(INDEX(SYZ_static!$B$2:$B$806,MATCH($A230,SYZ_static!$A$2:$A$806,0)),""))</f>
        <v/>
      </c>
      <c r="E230" s="17">
        <f>IF($A230="","",_xll.BDP($A230&amp;" Corp","INDUSTRY_SECTOR"))</f>
        <v/>
      </c>
      <c r="F230" s="17">
        <f>IF($A230="","",PROPER(_xll.BDP($A230&amp;" Corp","COUNTRY_FULL_NAME")))</f>
        <v/>
      </c>
      <c r="G230" s="17">
        <f>IF($A230="","",_xll.BDP($A230&amp;" Corp","CRNCY"))</f>
        <v/>
      </c>
      <c r="H230" s="17">
        <f>IF($A230="","",IFERROR(INDEX(SYZ_static!$T$2:$T$806,MATCH($A230,SYZ_static!$A$2:$A$806,0)),_xll.BDP($A230&amp;" Corp","RTG_SP")))</f>
        <v/>
      </c>
      <c r="I230" s="17">
        <f>IF($A230="","",IFERROR(INDEX(SYZ_static!$S$2:$S$806,MATCH($A230,SYZ_static!$A$2:$A$806,0)),""))</f>
        <v/>
      </c>
      <c r="J230" s="17">
        <f>IF($A230="","",_xll.BDP($A230&amp;" Corp","PAYMENT_RANK"))</f>
        <v/>
      </c>
      <c r="K230" s="18">
        <f>IF($A230="","",_xll.BDP($A230&amp;" Corp","CPN"))</f>
        <v/>
      </c>
      <c r="L230" s="19">
        <f>IF($A230="","",_xll.BDP($A230&amp;" Corp","MATURITY"))</f>
        <v/>
      </c>
      <c r="M230" s="20">
        <f>IF($A230="","",IFERROR(_xll.BDP($A230&amp;" Corp","MIN_PIECE")/1000,""))</f>
        <v/>
      </c>
      <c r="N230" s="21">
        <f>IF($A230="","",_xll.BDP($A230&amp;" Corp","PX_LAST"))</f>
        <v/>
      </c>
      <c r="O230" s="21">
        <f>IF($A230="","",_xll.BDP($A230&amp;" Corp","YAS_BOND_YLD","YAS_YLD_FLAG=15"))</f>
        <v/>
      </c>
      <c r="P230" s="21">
        <f>IF($A230="","",_xll.BDP($A230&amp;" Corp","YAS_MOD_DUR"))</f>
        <v/>
      </c>
      <c r="Q230" s="22">
        <f>IF($A230="","",_xll.BDP($A230&amp;" Corp","YAS_OAS_SPRD"))</f>
        <v/>
      </c>
      <c r="R230" s="22">
        <f>IF($A230="","",_xll.BDP($A230&amp;" Corp","YAS_OAS_SPRD","SETTLE_DT",$B$2))</f>
        <v/>
      </c>
      <c r="S230" s="23">
        <f>IF($A230="","",IF(OR(NOT(ISNUMBER($Q230)),NOT(ISNUMBER($R230))),"",$Q230-$R230))</f>
        <v/>
      </c>
      <c r="T230" s="21">
        <f>IF($A230="","",_xll.BDP($A230&amp;" Corp","YAS_BOND_YLD","YAS_YLD_FLAG=15","SETTLE_DT",$B$2))</f>
        <v/>
      </c>
      <c r="U230" s="24">
        <f>IF($A230="","",IF(OR(NOT(ISNUMBER($O230)),NOT(ISNUMBER($T230))),"",$O230-$T230))</f>
        <v/>
      </c>
      <c r="V230" s="22">
        <f>IF(NOT(ISNUMBER($S230)),"",COUNTIFS($G$7:$G$850,$G230,$S$7:$S$850,"&gt;"&amp;$S230)+COUNTIFS($G$7:$G230,$G230,$S$7:$S230,$S230))</f>
        <v/>
      </c>
      <c r="W230" s="22">
        <f>IF(NOT(ISNUMBER($S230)),"",COUNTIFS($G$7:$G$850,$G230,$S$7:$S$850,"&lt;"&amp;$S230)+COUNTIFS($G$7:$G230,$G230,$S$7:$S230,$S230))</f>
        <v/>
      </c>
      <c r="X230" s="17">
        <f>IF($V230="","",$G230&amp;"|"&amp;$V230)</f>
        <v/>
      </c>
      <c r="Y230" s="17">
        <f>IF($W230="","",$G230&amp;"|"&amp;$W230)</f>
        <v/>
      </c>
    </row>
    <row r="231">
      <c r="A231" s="7" t="inlineStr">
        <is>
          <t>XS2892321501</t>
        </is>
      </c>
      <c r="B231" s="8">
        <f>IF($A231="","",PROPER(_xll.BDP($A231&amp;" Corp","NAME")))</f>
        <v/>
      </c>
      <c r="C231" s="8">
        <f>IF($A231="","",IFERROR(INDEX(Company_desc!$B$2:$B$1144,MATCH($A231,Company_desc!$A$2:$A$1144,0)),IFERROR(INDEX(SYZ_static!$Q$2:$Q$806,MATCH($A231,SYZ_static!$A$2:$A$806,0)),"")))</f>
        <v/>
      </c>
      <c r="D231" s="8">
        <f>IF($A231="","",IFERROR(INDEX(SYZ_static!$B$2:$B$806,MATCH($A231,SYZ_static!$A$2:$A$806,0)),""))</f>
        <v/>
      </c>
      <c r="E231" s="8">
        <f>IF($A231="","",_xll.BDP($A231&amp;" Corp","INDUSTRY_SECTOR"))</f>
        <v/>
      </c>
      <c r="F231" s="8">
        <f>IF($A231="","",PROPER(_xll.BDP($A231&amp;" Corp","COUNTRY_FULL_NAME")))</f>
        <v/>
      </c>
      <c r="G231" s="8">
        <f>IF($A231="","",_xll.BDP($A231&amp;" Corp","CRNCY"))</f>
        <v/>
      </c>
      <c r="H231" s="8">
        <f>IF($A231="","",IFERROR(INDEX(SYZ_static!$T$2:$T$806,MATCH($A231,SYZ_static!$A$2:$A$806,0)),_xll.BDP($A231&amp;" Corp","RTG_SP")))</f>
        <v/>
      </c>
      <c r="I231" s="8">
        <f>IF($A231="","",IFERROR(INDEX(SYZ_static!$S$2:$S$806,MATCH($A231,SYZ_static!$A$2:$A$806,0)),""))</f>
        <v/>
      </c>
      <c r="J231" s="8">
        <f>IF($A231="","",_xll.BDP($A231&amp;" Corp","PAYMENT_RANK"))</f>
        <v/>
      </c>
      <c r="K231" s="9">
        <f>IF($A231="","",_xll.BDP($A231&amp;" Corp","CPN"))</f>
        <v/>
      </c>
      <c r="L231" s="10">
        <f>IF($A231="","",_xll.BDP($A231&amp;" Corp","MATURITY"))</f>
        <v/>
      </c>
      <c r="M231" s="11">
        <f>IF($A231="","",IFERROR(_xll.BDP($A231&amp;" Corp","MIN_PIECE")/1000,""))</f>
        <v/>
      </c>
      <c r="N231" s="12">
        <f>IF($A231="","",_xll.BDP($A231&amp;" Corp","PX_LAST"))</f>
        <v/>
      </c>
      <c r="O231" s="12">
        <f>IF($A231="","",_xll.BDP($A231&amp;" Corp","YAS_BOND_YLD","YAS_YLD_FLAG=15"))</f>
        <v/>
      </c>
      <c r="P231" s="12">
        <f>IF($A231="","",_xll.BDP($A231&amp;" Corp","YAS_MOD_DUR"))</f>
        <v/>
      </c>
      <c r="Q231" s="13">
        <f>IF($A231="","",_xll.BDP($A231&amp;" Corp","YAS_OAS_SPRD"))</f>
        <v/>
      </c>
      <c r="R231" s="13">
        <f>IF($A231="","",_xll.BDP($A231&amp;" Corp","YAS_OAS_SPRD","SETTLE_DT",$B$2))</f>
        <v/>
      </c>
      <c r="S231" s="14">
        <f>IF($A231="","",IF(OR(NOT(ISNUMBER($Q231)),NOT(ISNUMBER($R231))),"",$Q231-$R231))</f>
        <v/>
      </c>
      <c r="T231" s="12">
        <f>IF($A231="","",_xll.BDP($A231&amp;" Corp","YAS_BOND_YLD","YAS_YLD_FLAG=15","SETTLE_DT",$B$2))</f>
        <v/>
      </c>
      <c r="U231" s="15">
        <f>IF($A231="","",IF(OR(NOT(ISNUMBER($O231)),NOT(ISNUMBER($T231))),"",$O231-$T231))</f>
        <v/>
      </c>
      <c r="V231" s="13">
        <f>IF(NOT(ISNUMBER($S231)),"",COUNTIFS($G$7:$G$850,$G231,$S$7:$S$850,"&gt;"&amp;$S231)+COUNTIFS($G$7:$G231,$G231,$S$7:$S231,$S231))</f>
        <v/>
      </c>
      <c r="W231" s="13">
        <f>IF(NOT(ISNUMBER($S231)),"",COUNTIFS($G$7:$G$850,$G231,$S$7:$S$850,"&lt;"&amp;$S231)+COUNTIFS($G$7:$G231,$G231,$S$7:$S231,$S231))</f>
        <v/>
      </c>
      <c r="X231" s="8">
        <f>IF($V231="","",$G231&amp;"|"&amp;$V231)</f>
        <v/>
      </c>
      <c r="Y231" s="8">
        <f>IF($W231="","",$G231&amp;"|"&amp;$W231)</f>
        <v/>
      </c>
    </row>
    <row r="232">
      <c r="A232" s="16" t="inlineStr">
        <is>
          <t>USU9094LAC29</t>
        </is>
      </c>
      <c r="B232" s="17">
        <f>IF($A232="","",PROPER(_xll.BDP($A232&amp;" Corp","NAME")))</f>
        <v/>
      </c>
      <c r="C232" s="17">
        <f>IF($A232="","",IFERROR(INDEX(Company_desc!$B$2:$B$1144,MATCH($A232,Company_desc!$A$2:$A$1144,0)),IFERROR(INDEX(SYZ_static!$Q$2:$Q$806,MATCH($A232,SYZ_static!$A$2:$A$806,0)),"")))</f>
        <v/>
      </c>
      <c r="D232" s="17">
        <f>IF($A232="","",IFERROR(INDEX(SYZ_static!$B$2:$B$806,MATCH($A232,SYZ_static!$A$2:$A$806,0)),""))</f>
        <v/>
      </c>
      <c r="E232" s="17">
        <f>IF($A232="","",_xll.BDP($A232&amp;" Corp","INDUSTRY_SECTOR"))</f>
        <v/>
      </c>
      <c r="F232" s="17">
        <f>IF($A232="","",PROPER(_xll.BDP($A232&amp;" Corp","COUNTRY_FULL_NAME")))</f>
        <v/>
      </c>
      <c r="G232" s="17">
        <f>IF($A232="","",_xll.BDP($A232&amp;" Corp","CRNCY"))</f>
        <v/>
      </c>
      <c r="H232" s="17">
        <f>IF($A232="","",IFERROR(INDEX(SYZ_static!$T$2:$T$806,MATCH($A232,SYZ_static!$A$2:$A$806,0)),_xll.BDP($A232&amp;" Corp","RTG_SP")))</f>
        <v/>
      </c>
      <c r="I232" s="17">
        <f>IF($A232="","",IFERROR(INDEX(SYZ_static!$S$2:$S$806,MATCH($A232,SYZ_static!$A$2:$A$806,0)),""))</f>
        <v/>
      </c>
      <c r="J232" s="17">
        <f>IF($A232="","",_xll.BDP($A232&amp;" Corp","PAYMENT_RANK"))</f>
        <v/>
      </c>
      <c r="K232" s="18">
        <f>IF($A232="","",_xll.BDP($A232&amp;" Corp","CPN"))</f>
        <v/>
      </c>
      <c r="L232" s="19">
        <f>IF($A232="","",_xll.BDP($A232&amp;" Corp","MATURITY"))</f>
        <v/>
      </c>
      <c r="M232" s="20">
        <f>IF($A232="","",IFERROR(_xll.BDP($A232&amp;" Corp","MIN_PIECE")/1000,""))</f>
        <v/>
      </c>
      <c r="N232" s="21">
        <f>IF($A232="","",_xll.BDP($A232&amp;" Corp","PX_LAST"))</f>
        <v/>
      </c>
      <c r="O232" s="21">
        <f>IF($A232="","",_xll.BDP($A232&amp;" Corp","YAS_BOND_YLD","YAS_YLD_FLAG=15"))</f>
        <v/>
      </c>
      <c r="P232" s="21">
        <f>IF($A232="","",_xll.BDP($A232&amp;" Corp","YAS_MOD_DUR"))</f>
        <v/>
      </c>
      <c r="Q232" s="22">
        <f>IF($A232="","",_xll.BDP($A232&amp;" Corp","YAS_OAS_SPRD"))</f>
        <v/>
      </c>
      <c r="R232" s="22">
        <f>IF($A232="","",_xll.BDP($A232&amp;" Corp","YAS_OAS_SPRD","SETTLE_DT",$B$2))</f>
        <v/>
      </c>
      <c r="S232" s="23">
        <f>IF($A232="","",IF(OR(NOT(ISNUMBER($Q232)),NOT(ISNUMBER($R232))),"",$Q232-$R232))</f>
        <v/>
      </c>
      <c r="T232" s="21">
        <f>IF($A232="","",_xll.BDP($A232&amp;" Corp","YAS_BOND_YLD","YAS_YLD_FLAG=15","SETTLE_DT",$B$2))</f>
        <v/>
      </c>
      <c r="U232" s="24">
        <f>IF($A232="","",IF(OR(NOT(ISNUMBER($O232)),NOT(ISNUMBER($T232))),"",$O232-$T232))</f>
        <v/>
      </c>
      <c r="V232" s="22">
        <f>IF(NOT(ISNUMBER($S232)),"",COUNTIFS($G$7:$G$850,$G232,$S$7:$S$850,"&gt;"&amp;$S232)+COUNTIFS($G$7:$G232,$G232,$S$7:$S232,$S232))</f>
        <v/>
      </c>
      <c r="W232" s="22">
        <f>IF(NOT(ISNUMBER($S232)),"",COUNTIFS($G$7:$G$850,$G232,$S$7:$S$850,"&lt;"&amp;$S232)+COUNTIFS($G$7:$G232,$G232,$S$7:$S232,$S232))</f>
        <v/>
      </c>
      <c r="X232" s="17">
        <f>IF($V232="","",$G232&amp;"|"&amp;$V232)</f>
        <v/>
      </c>
      <c r="Y232" s="17">
        <f>IF($W232="","",$G232&amp;"|"&amp;$W232)</f>
        <v/>
      </c>
    </row>
    <row r="233">
      <c r="A233" s="7" t="inlineStr">
        <is>
          <t>XS2662538425</t>
        </is>
      </c>
      <c r="B233" s="8">
        <f>IF($A233="","",PROPER(_xll.BDP($A233&amp;" Corp","NAME")))</f>
        <v/>
      </c>
      <c r="C233" s="8">
        <f>IF($A233="","",IFERROR(INDEX(Company_desc!$B$2:$B$1144,MATCH($A233,Company_desc!$A$2:$A$1144,0)),IFERROR(INDEX(SYZ_static!$Q$2:$Q$806,MATCH($A233,SYZ_static!$A$2:$A$806,0)),"")))</f>
        <v/>
      </c>
      <c r="D233" s="8">
        <f>IF($A233="","",IFERROR(INDEX(SYZ_static!$B$2:$B$806,MATCH($A233,SYZ_static!$A$2:$A$806,0)),""))</f>
        <v/>
      </c>
      <c r="E233" s="8">
        <f>IF($A233="","",_xll.BDP($A233&amp;" Corp","INDUSTRY_SECTOR"))</f>
        <v/>
      </c>
      <c r="F233" s="8">
        <f>IF($A233="","",PROPER(_xll.BDP($A233&amp;" Corp","COUNTRY_FULL_NAME")))</f>
        <v/>
      </c>
      <c r="G233" s="8">
        <f>IF($A233="","",_xll.BDP($A233&amp;" Corp","CRNCY"))</f>
        <v/>
      </c>
      <c r="H233" s="8">
        <f>IF($A233="","",IFERROR(INDEX(SYZ_static!$T$2:$T$806,MATCH($A233,SYZ_static!$A$2:$A$806,0)),_xll.BDP($A233&amp;" Corp","RTG_SP")))</f>
        <v/>
      </c>
      <c r="I233" s="8">
        <f>IF($A233="","",IFERROR(INDEX(SYZ_static!$S$2:$S$806,MATCH($A233,SYZ_static!$A$2:$A$806,0)),""))</f>
        <v/>
      </c>
      <c r="J233" s="8">
        <f>IF($A233="","",_xll.BDP($A233&amp;" Corp","PAYMENT_RANK"))</f>
        <v/>
      </c>
      <c r="K233" s="9">
        <f>IF($A233="","",_xll.BDP($A233&amp;" Corp","CPN"))</f>
        <v/>
      </c>
      <c r="L233" s="10">
        <f>IF($A233="","",_xll.BDP($A233&amp;" Corp","MATURITY"))</f>
        <v/>
      </c>
      <c r="M233" s="11">
        <f>IF($A233="","",IFERROR(_xll.BDP($A233&amp;" Corp","MIN_PIECE")/1000,""))</f>
        <v/>
      </c>
      <c r="N233" s="12">
        <f>IF($A233="","",_xll.BDP($A233&amp;" Corp","PX_LAST"))</f>
        <v/>
      </c>
      <c r="O233" s="12">
        <f>IF($A233="","",_xll.BDP($A233&amp;" Corp","YAS_BOND_YLD","YAS_YLD_FLAG=15"))</f>
        <v/>
      </c>
      <c r="P233" s="12">
        <f>IF($A233="","",_xll.BDP($A233&amp;" Corp","YAS_MOD_DUR"))</f>
        <v/>
      </c>
      <c r="Q233" s="13">
        <f>IF($A233="","",_xll.BDP($A233&amp;" Corp","YAS_OAS_SPRD"))</f>
        <v/>
      </c>
      <c r="R233" s="13">
        <f>IF($A233="","",_xll.BDP($A233&amp;" Corp","YAS_OAS_SPRD","SETTLE_DT",$B$2))</f>
        <v/>
      </c>
      <c r="S233" s="14">
        <f>IF($A233="","",IF(OR(NOT(ISNUMBER($Q233)),NOT(ISNUMBER($R233))),"",$Q233-$R233))</f>
        <v/>
      </c>
      <c r="T233" s="12">
        <f>IF($A233="","",_xll.BDP($A233&amp;" Corp","YAS_BOND_YLD","YAS_YLD_FLAG=15","SETTLE_DT",$B$2))</f>
        <v/>
      </c>
      <c r="U233" s="15">
        <f>IF($A233="","",IF(OR(NOT(ISNUMBER($O233)),NOT(ISNUMBER($T233))),"",$O233-$T233))</f>
        <v/>
      </c>
      <c r="V233" s="13">
        <f>IF(NOT(ISNUMBER($S233)),"",COUNTIFS($G$7:$G$850,$G233,$S$7:$S$850,"&gt;"&amp;$S233)+COUNTIFS($G$7:$G233,$G233,$S$7:$S233,$S233))</f>
        <v/>
      </c>
      <c r="W233" s="13">
        <f>IF(NOT(ISNUMBER($S233)),"",COUNTIFS($G$7:$G$850,$G233,$S$7:$S$850,"&lt;"&amp;$S233)+COUNTIFS($G$7:$G233,$G233,$S$7:$S233,$S233))</f>
        <v/>
      </c>
      <c r="X233" s="8">
        <f>IF($V233="","",$G233&amp;"|"&amp;$V233)</f>
        <v/>
      </c>
      <c r="Y233" s="8">
        <f>IF($W233="","",$G233&amp;"|"&amp;$W233)</f>
        <v/>
      </c>
    </row>
    <row r="234">
      <c r="A234" s="16" t="inlineStr">
        <is>
          <t>XS2592302330</t>
        </is>
      </c>
      <c r="B234" s="17">
        <f>IF($A234="","",PROPER(_xll.BDP($A234&amp;" Corp","NAME")))</f>
        <v/>
      </c>
      <c r="C234" s="17">
        <f>IF($A234="","",IFERROR(INDEX(Company_desc!$B$2:$B$1144,MATCH($A234,Company_desc!$A$2:$A$1144,0)),IFERROR(INDEX(SYZ_static!$Q$2:$Q$806,MATCH($A234,SYZ_static!$A$2:$A$806,0)),"")))</f>
        <v/>
      </c>
      <c r="D234" s="17">
        <f>IF($A234="","",IFERROR(INDEX(SYZ_static!$B$2:$B$806,MATCH($A234,SYZ_static!$A$2:$A$806,0)),""))</f>
        <v/>
      </c>
      <c r="E234" s="17">
        <f>IF($A234="","",_xll.BDP($A234&amp;" Corp","INDUSTRY_SECTOR"))</f>
        <v/>
      </c>
      <c r="F234" s="17">
        <f>IF($A234="","",PROPER(_xll.BDP($A234&amp;" Corp","COUNTRY_FULL_NAME")))</f>
        <v/>
      </c>
      <c r="G234" s="17">
        <f>IF($A234="","",_xll.BDP($A234&amp;" Corp","CRNCY"))</f>
        <v/>
      </c>
      <c r="H234" s="17">
        <f>IF($A234="","",IFERROR(INDEX(SYZ_static!$T$2:$T$806,MATCH($A234,SYZ_static!$A$2:$A$806,0)),_xll.BDP($A234&amp;" Corp","RTG_SP")))</f>
        <v/>
      </c>
      <c r="I234" s="17">
        <f>IF($A234="","",IFERROR(INDEX(SYZ_static!$S$2:$S$806,MATCH($A234,SYZ_static!$A$2:$A$806,0)),""))</f>
        <v/>
      </c>
      <c r="J234" s="17">
        <f>IF($A234="","",_xll.BDP($A234&amp;" Corp","PAYMENT_RANK"))</f>
        <v/>
      </c>
      <c r="K234" s="18">
        <f>IF($A234="","",_xll.BDP($A234&amp;" Corp","CPN"))</f>
        <v/>
      </c>
      <c r="L234" s="19">
        <f>IF($A234="","",_xll.BDP($A234&amp;" Corp","MATURITY"))</f>
        <v/>
      </c>
      <c r="M234" s="20">
        <f>IF($A234="","",IFERROR(_xll.BDP($A234&amp;" Corp","MIN_PIECE")/1000,""))</f>
        <v/>
      </c>
      <c r="N234" s="21">
        <f>IF($A234="","",_xll.BDP($A234&amp;" Corp","PX_LAST"))</f>
        <v/>
      </c>
      <c r="O234" s="21">
        <f>IF($A234="","",_xll.BDP($A234&amp;" Corp","YAS_BOND_YLD","YAS_YLD_FLAG=15"))</f>
        <v/>
      </c>
      <c r="P234" s="21">
        <f>IF($A234="","",_xll.BDP($A234&amp;" Corp","YAS_MOD_DUR"))</f>
        <v/>
      </c>
      <c r="Q234" s="22">
        <f>IF($A234="","",_xll.BDP($A234&amp;" Corp","YAS_OAS_SPRD"))</f>
        <v/>
      </c>
      <c r="R234" s="22">
        <f>IF($A234="","",_xll.BDP($A234&amp;" Corp","YAS_OAS_SPRD","SETTLE_DT",$B$2))</f>
        <v/>
      </c>
      <c r="S234" s="23">
        <f>IF($A234="","",IF(OR(NOT(ISNUMBER($Q234)),NOT(ISNUMBER($R234))),"",$Q234-$R234))</f>
        <v/>
      </c>
      <c r="T234" s="21">
        <f>IF($A234="","",_xll.BDP($A234&amp;" Corp","YAS_BOND_YLD","YAS_YLD_FLAG=15","SETTLE_DT",$B$2))</f>
        <v/>
      </c>
      <c r="U234" s="24">
        <f>IF($A234="","",IF(OR(NOT(ISNUMBER($O234)),NOT(ISNUMBER($T234))),"",$O234-$T234))</f>
        <v/>
      </c>
      <c r="V234" s="22">
        <f>IF(NOT(ISNUMBER($S234)),"",COUNTIFS($G$7:$G$850,$G234,$S$7:$S$850,"&gt;"&amp;$S234)+COUNTIFS($G$7:$G234,$G234,$S$7:$S234,$S234))</f>
        <v/>
      </c>
      <c r="W234" s="22">
        <f>IF(NOT(ISNUMBER($S234)),"",COUNTIFS($G$7:$G$850,$G234,$S$7:$S$850,"&lt;"&amp;$S234)+COUNTIFS($G$7:$G234,$G234,$S$7:$S234,$S234))</f>
        <v/>
      </c>
      <c r="X234" s="17">
        <f>IF($V234="","",$G234&amp;"|"&amp;$V234)</f>
        <v/>
      </c>
      <c r="Y234" s="17">
        <f>IF($W234="","",$G234&amp;"|"&amp;$W234)</f>
        <v/>
      </c>
    </row>
    <row r="235">
      <c r="A235" s="7" t="inlineStr">
        <is>
          <t>US03938LBG86</t>
        </is>
      </c>
      <c r="B235" s="8">
        <f>IF($A235="","",PROPER(_xll.BDP($A235&amp;" Corp","NAME")))</f>
        <v/>
      </c>
      <c r="C235" s="8">
        <f>IF($A235="","",IFERROR(INDEX(Company_desc!$B$2:$B$1144,MATCH($A235,Company_desc!$A$2:$A$1144,0)),IFERROR(INDEX(SYZ_static!$Q$2:$Q$806,MATCH($A235,SYZ_static!$A$2:$A$806,0)),"")))</f>
        <v/>
      </c>
      <c r="D235" s="8">
        <f>IF($A235="","",IFERROR(INDEX(SYZ_static!$B$2:$B$806,MATCH($A235,SYZ_static!$A$2:$A$806,0)),""))</f>
        <v/>
      </c>
      <c r="E235" s="8">
        <f>IF($A235="","",_xll.BDP($A235&amp;" Corp","INDUSTRY_SECTOR"))</f>
        <v/>
      </c>
      <c r="F235" s="8">
        <f>IF($A235="","",PROPER(_xll.BDP($A235&amp;" Corp","COUNTRY_FULL_NAME")))</f>
        <v/>
      </c>
      <c r="G235" s="8">
        <f>IF($A235="","",_xll.BDP($A235&amp;" Corp","CRNCY"))</f>
        <v/>
      </c>
      <c r="H235" s="8">
        <f>IF($A235="","",IFERROR(INDEX(SYZ_static!$T$2:$T$806,MATCH($A235,SYZ_static!$A$2:$A$806,0)),_xll.BDP($A235&amp;" Corp","RTG_SP")))</f>
        <v/>
      </c>
      <c r="I235" s="8">
        <f>IF($A235="","",IFERROR(INDEX(SYZ_static!$S$2:$S$806,MATCH($A235,SYZ_static!$A$2:$A$806,0)),""))</f>
        <v/>
      </c>
      <c r="J235" s="8">
        <f>IF($A235="","",_xll.BDP($A235&amp;" Corp","PAYMENT_RANK"))</f>
        <v/>
      </c>
      <c r="K235" s="9">
        <f>IF($A235="","",_xll.BDP($A235&amp;" Corp","CPN"))</f>
        <v/>
      </c>
      <c r="L235" s="10">
        <f>IF($A235="","",_xll.BDP($A235&amp;" Corp","MATURITY"))</f>
        <v/>
      </c>
      <c r="M235" s="11">
        <f>IF($A235="","",IFERROR(_xll.BDP($A235&amp;" Corp","MIN_PIECE")/1000,""))</f>
        <v/>
      </c>
      <c r="N235" s="12">
        <f>IF($A235="","",_xll.BDP($A235&amp;" Corp","PX_LAST"))</f>
        <v/>
      </c>
      <c r="O235" s="12">
        <f>IF($A235="","",_xll.BDP($A235&amp;" Corp","YAS_BOND_YLD","YAS_YLD_FLAG=15"))</f>
        <v/>
      </c>
      <c r="P235" s="12">
        <f>IF($A235="","",_xll.BDP($A235&amp;" Corp","YAS_MOD_DUR"))</f>
        <v/>
      </c>
      <c r="Q235" s="13">
        <f>IF($A235="","",_xll.BDP($A235&amp;" Corp","YAS_OAS_SPRD"))</f>
        <v/>
      </c>
      <c r="R235" s="13">
        <f>IF($A235="","",_xll.BDP($A235&amp;" Corp","YAS_OAS_SPRD","SETTLE_DT",$B$2))</f>
        <v/>
      </c>
      <c r="S235" s="14">
        <f>IF($A235="","",IF(OR(NOT(ISNUMBER($Q235)),NOT(ISNUMBER($R235))),"",$Q235-$R235))</f>
        <v/>
      </c>
      <c r="T235" s="12">
        <f>IF($A235="","",_xll.BDP($A235&amp;" Corp","YAS_BOND_YLD","YAS_YLD_FLAG=15","SETTLE_DT",$B$2))</f>
        <v/>
      </c>
      <c r="U235" s="15">
        <f>IF($A235="","",IF(OR(NOT(ISNUMBER($O235)),NOT(ISNUMBER($T235))),"",$O235-$T235))</f>
        <v/>
      </c>
      <c r="V235" s="13">
        <f>IF(NOT(ISNUMBER($S235)),"",COUNTIFS($G$7:$G$850,$G235,$S$7:$S$850,"&gt;"&amp;$S235)+COUNTIFS($G$7:$G235,$G235,$S$7:$S235,$S235))</f>
        <v/>
      </c>
      <c r="W235" s="13">
        <f>IF(NOT(ISNUMBER($S235)),"",COUNTIFS($G$7:$G$850,$G235,$S$7:$S$850,"&lt;"&amp;$S235)+COUNTIFS($G$7:$G235,$G235,$S$7:$S235,$S235))</f>
        <v/>
      </c>
      <c r="X235" s="8">
        <f>IF($V235="","",$G235&amp;"|"&amp;$V235)</f>
        <v/>
      </c>
      <c r="Y235" s="8">
        <f>IF($W235="","",$G235&amp;"|"&amp;$W235)</f>
        <v/>
      </c>
    </row>
    <row r="236">
      <c r="A236" s="16" t="inlineStr">
        <is>
          <t>XS2286303495</t>
        </is>
      </c>
      <c r="B236" s="17">
        <f>IF($A236="","",PROPER(_xll.BDP($A236&amp;" Corp","NAME")))</f>
        <v/>
      </c>
      <c r="C236" s="17">
        <f>IF($A236="","",IFERROR(INDEX(Company_desc!$B$2:$B$1144,MATCH($A236,Company_desc!$A$2:$A$1144,0)),IFERROR(INDEX(SYZ_static!$Q$2:$Q$806,MATCH($A236,SYZ_static!$A$2:$A$806,0)),"")))</f>
        <v/>
      </c>
      <c r="D236" s="17">
        <f>IF($A236="","",IFERROR(INDEX(SYZ_static!$B$2:$B$806,MATCH($A236,SYZ_static!$A$2:$A$806,0)),""))</f>
        <v/>
      </c>
      <c r="E236" s="17">
        <f>IF($A236="","",_xll.BDP($A236&amp;" Corp","INDUSTRY_SECTOR"))</f>
        <v/>
      </c>
      <c r="F236" s="17">
        <f>IF($A236="","",PROPER(_xll.BDP($A236&amp;" Corp","COUNTRY_FULL_NAME")))</f>
        <v/>
      </c>
      <c r="G236" s="17">
        <f>IF($A236="","",_xll.BDP($A236&amp;" Corp","CRNCY"))</f>
        <v/>
      </c>
      <c r="H236" s="17">
        <f>IF($A236="","",IFERROR(INDEX(SYZ_static!$T$2:$T$806,MATCH($A236,SYZ_static!$A$2:$A$806,0)),_xll.BDP($A236&amp;" Corp","RTG_SP")))</f>
        <v/>
      </c>
      <c r="I236" s="17">
        <f>IF($A236="","",IFERROR(INDEX(SYZ_static!$S$2:$S$806,MATCH($A236,SYZ_static!$A$2:$A$806,0)),""))</f>
        <v/>
      </c>
      <c r="J236" s="17">
        <f>IF($A236="","",_xll.BDP($A236&amp;" Corp","PAYMENT_RANK"))</f>
        <v/>
      </c>
      <c r="K236" s="18">
        <f>IF($A236="","",_xll.BDP($A236&amp;" Corp","CPN"))</f>
        <v/>
      </c>
      <c r="L236" s="19">
        <f>IF($A236="","",_xll.BDP($A236&amp;" Corp","MATURITY"))</f>
        <v/>
      </c>
      <c r="M236" s="20">
        <f>IF($A236="","",IFERROR(_xll.BDP($A236&amp;" Corp","MIN_PIECE")/1000,""))</f>
        <v/>
      </c>
      <c r="N236" s="21">
        <f>IF($A236="","",_xll.BDP($A236&amp;" Corp","PX_LAST"))</f>
        <v/>
      </c>
      <c r="O236" s="21">
        <f>IF($A236="","",_xll.BDP($A236&amp;" Corp","YAS_BOND_YLD","YAS_YLD_FLAG=15"))</f>
        <v/>
      </c>
      <c r="P236" s="21">
        <f>IF($A236="","",_xll.BDP($A236&amp;" Corp","YAS_MOD_DUR"))</f>
        <v/>
      </c>
      <c r="Q236" s="22">
        <f>IF($A236="","",_xll.BDP($A236&amp;" Corp","YAS_OAS_SPRD"))</f>
        <v/>
      </c>
      <c r="R236" s="22">
        <f>IF($A236="","",_xll.BDP($A236&amp;" Corp","YAS_OAS_SPRD","SETTLE_DT",$B$2))</f>
        <v/>
      </c>
      <c r="S236" s="23">
        <f>IF($A236="","",IF(OR(NOT(ISNUMBER($Q236)),NOT(ISNUMBER($R236))),"",$Q236-$R236))</f>
        <v/>
      </c>
      <c r="T236" s="21">
        <f>IF($A236="","",_xll.BDP($A236&amp;" Corp","YAS_BOND_YLD","YAS_YLD_FLAG=15","SETTLE_DT",$B$2))</f>
        <v/>
      </c>
      <c r="U236" s="24">
        <f>IF($A236="","",IF(OR(NOT(ISNUMBER($O236)),NOT(ISNUMBER($T236))),"",$O236-$T236))</f>
        <v/>
      </c>
      <c r="V236" s="22">
        <f>IF(NOT(ISNUMBER($S236)),"",COUNTIFS($G$7:$G$850,$G236,$S$7:$S$850,"&gt;"&amp;$S236)+COUNTIFS($G$7:$G236,$G236,$S$7:$S236,$S236))</f>
        <v/>
      </c>
      <c r="W236" s="22">
        <f>IF(NOT(ISNUMBER($S236)),"",COUNTIFS($G$7:$G$850,$G236,$S$7:$S$850,"&lt;"&amp;$S236)+COUNTIFS($G$7:$G236,$G236,$S$7:$S236,$S236))</f>
        <v/>
      </c>
      <c r="X236" s="17">
        <f>IF($V236="","",$G236&amp;"|"&amp;$V236)</f>
        <v/>
      </c>
      <c r="Y236" s="17">
        <f>IF($W236="","",$G236&amp;"|"&amp;$W236)</f>
        <v/>
      </c>
    </row>
    <row r="237">
      <c r="A237" s="7" t="inlineStr">
        <is>
          <t>USU37818BD92</t>
        </is>
      </c>
      <c r="B237" s="8">
        <f>IF($A237="","",PROPER(_xll.BDP($A237&amp;" Corp","NAME")))</f>
        <v/>
      </c>
      <c r="C237" s="8">
        <f>IF($A237="","",IFERROR(INDEX(Company_desc!$B$2:$B$1144,MATCH($A237,Company_desc!$A$2:$A$1144,0)),IFERROR(INDEX(SYZ_static!$Q$2:$Q$806,MATCH($A237,SYZ_static!$A$2:$A$806,0)),"")))</f>
        <v/>
      </c>
      <c r="D237" s="8">
        <f>IF($A237="","",IFERROR(INDEX(SYZ_static!$B$2:$B$806,MATCH($A237,SYZ_static!$A$2:$A$806,0)),""))</f>
        <v/>
      </c>
      <c r="E237" s="8">
        <f>IF($A237="","",_xll.BDP($A237&amp;" Corp","INDUSTRY_SECTOR"))</f>
        <v/>
      </c>
      <c r="F237" s="8">
        <f>IF($A237="","",PROPER(_xll.BDP($A237&amp;" Corp","COUNTRY_FULL_NAME")))</f>
        <v/>
      </c>
      <c r="G237" s="8">
        <f>IF($A237="","",_xll.BDP($A237&amp;" Corp","CRNCY"))</f>
        <v/>
      </c>
      <c r="H237" s="8">
        <f>IF($A237="","",IFERROR(INDEX(SYZ_static!$T$2:$T$806,MATCH($A237,SYZ_static!$A$2:$A$806,0)),_xll.BDP($A237&amp;" Corp","RTG_SP")))</f>
        <v/>
      </c>
      <c r="I237" s="8">
        <f>IF($A237="","",IFERROR(INDEX(SYZ_static!$S$2:$S$806,MATCH($A237,SYZ_static!$A$2:$A$806,0)),""))</f>
        <v/>
      </c>
      <c r="J237" s="8">
        <f>IF($A237="","",_xll.BDP($A237&amp;" Corp","PAYMENT_RANK"))</f>
        <v/>
      </c>
      <c r="K237" s="9">
        <f>IF($A237="","",_xll.BDP($A237&amp;" Corp","CPN"))</f>
        <v/>
      </c>
      <c r="L237" s="10">
        <f>IF($A237="","",_xll.BDP($A237&amp;" Corp","MATURITY"))</f>
        <v/>
      </c>
      <c r="M237" s="11">
        <f>IF($A237="","",IFERROR(_xll.BDP($A237&amp;" Corp","MIN_PIECE")/1000,""))</f>
        <v/>
      </c>
      <c r="N237" s="12">
        <f>IF($A237="","",_xll.BDP($A237&amp;" Corp","PX_LAST"))</f>
        <v/>
      </c>
      <c r="O237" s="12">
        <f>IF($A237="","",_xll.BDP($A237&amp;" Corp","YAS_BOND_YLD","YAS_YLD_FLAG=15"))</f>
        <v/>
      </c>
      <c r="P237" s="12">
        <f>IF($A237="","",_xll.BDP($A237&amp;" Corp","YAS_MOD_DUR"))</f>
        <v/>
      </c>
      <c r="Q237" s="13">
        <f>IF($A237="","",_xll.BDP($A237&amp;" Corp","YAS_OAS_SPRD"))</f>
        <v/>
      </c>
      <c r="R237" s="13">
        <f>IF($A237="","",_xll.BDP($A237&amp;" Corp","YAS_OAS_SPRD","SETTLE_DT",$B$2))</f>
        <v/>
      </c>
      <c r="S237" s="14">
        <f>IF($A237="","",IF(OR(NOT(ISNUMBER($Q237)),NOT(ISNUMBER($R237))),"",$Q237-$R237))</f>
        <v/>
      </c>
      <c r="T237" s="12">
        <f>IF($A237="","",_xll.BDP($A237&amp;" Corp","YAS_BOND_YLD","YAS_YLD_FLAG=15","SETTLE_DT",$B$2))</f>
        <v/>
      </c>
      <c r="U237" s="15">
        <f>IF($A237="","",IF(OR(NOT(ISNUMBER($O237)),NOT(ISNUMBER($T237))),"",$O237-$T237))</f>
        <v/>
      </c>
      <c r="V237" s="13">
        <f>IF(NOT(ISNUMBER($S237)),"",COUNTIFS($G$7:$G$850,$G237,$S$7:$S$850,"&gt;"&amp;$S237)+COUNTIFS($G$7:$G237,$G237,$S$7:$S237,$S237))</f>
        <v/>
      </c>
      <c r="W237" s="13">
        <f>IF(NOT(ISNUMBER($S237)),"",COUNTIFS($G$7:$G$850,$G237,$S$7:$S$850,"&lt;"&amp;$S237)+COUNTIFS($G$7:$G237,$G237,$S$7:$S237,$S237))</f>
        <v/>
      </c>
      <c r="X237" s="8">
        <f>IF($V237="","",$G237&amp;"|"&amp;$V237)</f>
        <v/>
      </c>
      <c r="Y237" s="8">
        <f>IF($W237="","",$G237&amp;"|"&amp;$W237)</f>
        <v/>
      </c>
    </row>
    <row r="238">
      <c r="A238" s="16" t="inlineStr">
        <is>
          <t>USU5521TAG77</t>
        </is>
      </c>
      <c r="B238" s="17">
        <f>IF($A238="","",PROPER(_xll.BDP($A238&amp;" Corp","NAME")))</f>
        <v/>
      </c>
      <c r="C238" s="17">
        <f>IF($A238="","",IFERROR(INDEX(Company_desc!$B$2:$B$1144,MATCH($A238,Company_desc!$A$2:$A$1144,0)),IFERROR(INDEX(SYZ_static!$Q$2:$Q$806,MATCH($A238,SYZ_static!$A$2:$A$806,0)),"")))</f>
        <v/>
      </c>
      <c r="D238" s="17">
        <f>IF($A238="","",IFERROR(INDEX(SYZ_static!$B$2:$B$806,MATCH($A238,SYZ_static!$A$2:$A$806,0)),""))</f>
        <v/>
      </c>
      <c r="E238" s="17">
        <f>IF($A238="","",_xll.BDP($A238&amp;" Corp","INDUSTRY_SECTOR"))</f>
        <v/>
      </c>
      <c r="F238" s="17">
        <f>IF($A238="","",PROPER(_xll.BDP($A238&amp;" Corp","COUNTRY_FULL_NAME")))</f>
        <v/>
      </c>
      <c r="G238" s="17">
        <f>IF($A238="","",_xll.BDP($A238&amp;" Corp","CRNCY"))</f>
        <v/>
      </c>
      <c r="H238" s="17">
        <f>IF($A238="","",IFERROR(INDEX(SYZ_static!$T$2:$T$806,MATCH($A238,SYZ_static!$A$2:$A$806,0)),_xll.BDP($A238&amp;" Corp","RTG_SP")))</f>
        <v/>
      </c>
      <c r="I238" s="17">
        <f>IF($A238="","",IFERROR(INDEX(SYZ_static!$S$2:$S$806,MATCH($A238,SYZ_static!$A$2:$A$806,0)),""))</f>
        <v/>
      </c>
      <c r="J238" s="17">
        <f>IF($A238="","",_xll.BDP($A238&amp;" Corp","PAYMENT_RANK"))</f>
        <v/>
      </c>
      <c r="K238" s="18">
        <f>IF($A238="","",_xll.BDP($A238&amp;" Corp","CPN"))</f>
        <v/>
      </c>
      <c r="L238" s="19">
        <f>IF($A238="","",_xll.BDP($A238&amp;" Corp","MATURITY"))</f>
        <v/>
      </c>
      <c r="M238" s="20">
        <f>IF($A238="","",IFERROR(_xll.BDP($A238&amp;" Corp","MIN_PIECE")/1000,""))</f>
        <v/>
      </c>
      <c r="N238" s="21">
        <f>IF($A238="","",_xll.BDP($A238&amp;" Corp","PX_LAST"))</f>
        <v/>
      </c>
      <c r="O238" s="21">
        <f>IF($A238="","",_xll.BDP($A238&amp;" Corp","YAS_BOND_YLD","YAS_YLD_FLAG=15"))</f>
        <v/>
      </c>
      <c r="P238" s="21">
        <f>IF($A238="","",_xll.BDP($A238&amp;" Corp","YAS_MOD_DUR"))</f>
        <v/>
      </c>
      <c r="Q238" s="22">
        <f>IF($A238="","",_xll.BDP($A238&amp;" Corp","YAS_OAS_SPRD"))</f>
        <v/>
      </c>
      <c r="R238" s="22">
        <f>IF($A238="","",_xll.BDP($A238&amp;" Corp","YAS_OAS_SPRD","SETTLE_DT",$B$2))</f>
        <v/>
      </c>
      <c r="S238" s="23">
        <f>IF($A238="","",IF(OR(NOT(ISNUMBER($Q238)),NOT(ISNUMBER($R238))),"",$Q238-$R238))</f>
        <v/>
      </c>
      <c r="T238" s="21">
        <f>IF($A238="","",_xll.BDP($A238&amp;" Corp","YAS_BOND_YLD","YAS_YLD_FLAG=15","SETTLE_DT",$B$2))</f>
        <v/>
      </c>
      <c r="U238" s="24">
        <f>IF($A238="","",IF(OR(NOT(ISNUMBER($O238)),NOT(ISNUMBER($T238))),"",$O238-$T238))</f>
        <v/>
      </c>
      <c r="V238" s="22">
        <f>IF(NOT(ISNUMBER($S238)),"",COUNTIFS($G$7:$G$850,$G238,$S$7:$S$850,"&gt;"&amp;$S238)+COUNTIFS($G$7:$G238,$G238,$S$7:$S238,$S238))</f>
        <v/>
      </c>
      <c r="W238" s="22">
        <f>IF(NOT(ISNUMBER($S238)),"",COUNTIFS($G$7:$G$850,$G238,$S$7:$S$850,"&lt;"&amp;$S238)+COUNTIFS($G$7:$G238,$G238,$S$7:$S238,$S238))</f>
        <v/>
      </c>
      <c r="X238" s="17">
        <f>IF($V238="","",$G238&amp;"|"&amp;$V238)</f>
        <v/>
      </c>
      <c r="Y238" s="17">
        <f>IF($W238="","",$G238&amp;"|"&amp;$W238)</f>
        <v/>
      </c>
    </row>
    <row r="239">
      <c r="A239" s="7" t="inlineStr">
        <is>
          <t>XS2384288747</t>
        </is>
      </c>
      <c r="B239" s="8">
        <f>IF($A239="","",PROPER(_xll.BDP($A239&amp;" Corp","NAME")))</f>
        <v/>
      </c>
      <c r="C239" s="8">
        <f>IF($A239="","",IFERROR(INDEX(Company_desc!$B$2:$B$1144,MATCH($A239,Company_desc!$A$2:$A$1144,0)),IFERROR(INDEX(SYZ_static!$Q$2:$Q$806,MATCH($A239,SYZ_static!$A$2:$A$806,0)),"")))</f>
        <v/>
      </c>
      <c r="D239" s="8">
        <f>IF($A239="","",IFERROR(INDEX(SYZ_static!$B$2:$B$806,MATCH($A239,SYZ_static!$A$2:$A$806,0)),""))</f>
        <v/>
      </c>
      <c r="E239" s="8">
        <f>IF($A239="","",_xll.BDP($A239&amp;" Corp","INDUSTRY_SECTOR"))</f>
        <v/>
      </c>
      <c r="F239" s="8">
        <f>IF($A239="","",PROPER(_xll.BDP($A239&amp;" Corp","COUNTRY_FULL_NAME")))</f>
        <v/>
      </c>
      <c r="G239" s="8">
        <f>IF($A239="","",_xll.BDP($A239&amp;" Corp","CRNCY"))</f>
        <v/>
      </c>
      <c r="H239" s="8">
        <f>IF($A239="","",IFERROR(INDEX(SYZ_static!$T$2:$T$806,MATCH($A239,SYZ_static!$A$2:$A$806,0)),_xll.BDP($A239&amp;" Corp","RTG_SP")))</f>
        <v/>
      </c>
      <c r="I239" s="8">
        <f>IF($A239="","",IFERROR(INDEX(SYZ_static!$S$2:$S$806,MATCH($A239,SYZ_static!$A$2:$A$806,0)),""))</f>
        <v/>
      </c>
      <c r="J239" s="8">
        <f>IF($A239="","",_xll.BDP($A239&amp;" Corp","PAYMENT_RANK"))</f>
        <v/>
      </c>
      <c r="K239" s="9">
        <f>IF($A239="","",_xll.BDP($A239&amp;" Corp","CPN"))</f>
        <v/>
      </c>
      <c r="L239" s="10">
        <f>IF($A239="","",_xll.BDP($A239&amp;" Corp","MATURITY"))</f>
        <v/>
      </c>
      <c r="M239" s="11">
        <f>IF($A239="","",IFERROR(_xll.BDP($A239&amp;" Corp","MIN_PIECE")/1000,""))</f>
        <v/>
      </c>
      <c r="N239" s="12">
        <f>IF($A239="","",_xll.BDP($A239&amp;" Corp","PX_LAST"))</f>
        <v/>
      </c>
      <c r="O239" s="12">
        <f>IF($A239="","",_xll.BDP($A239&amp;" Corp","YAS_BOND_YLD","YAS_YLD_FLAG=15"))</f>
        <v/>
      </c>
      <c r="P239" s="12">
        <f>IF($A239="","",_xll.BDP($A239&amp;" Corp","YAS_MOD_DUR"))</f>
        <v/>
      </c>
      <c r="Q239" s="13">
        <f>IF($A239="","",_xll.BDP($A239&amp;" Corp","YAS_OAS_SPRD"))</f>
        <v/>
      </c>
      <c r="R239" s="13">
        <f>IF($A239="","",_xll.BDP($A239&amp;" Corp","YAS_OAS_SPRD","SETTLE_DT",$B$2))</f>
        <v/>
      </c>
      <c r="S239" s="14">
        <f>IF($A239="","",IF(OR(NOT(ISNUMBER($Q239)),NOT(ISNUMBER($R239))),"",$Q239-$R239))</f>
        <v/>
      </c>
      <c r="T239" s="12">
        <f>IF($A239="","",_xll.BDP($A239&amp;" Corp","YAS_BOND_YLD","YAS_YLD_FLAG=15","SETTLE_DT",$B$2))</f>
        <v/>
      </c>
      <c r="U239" s="15">
        <f>IF($A239="","",IF(OR(NOT(ISNUMBER($O239)),NOT(ISNUMBER($T239))),"",$O239-$T239))</f>
        <v/>
      </c>
      <c r="V239" s="13">
        <f>IF(NOT(ISNUMBER($S239)),"",COUNTIFS($G$7:$G$850,$G239,$S$7:$S$850,"&gt;"&amp;$S239)+COUNTIFS($G$7:$G239,$G239,$S$7:$S239,$S239))</f>
        <v/>
      </c>
      <c r="W239" s="13">
        <f>IF(NOT(ISNUMBER($S239)),"",COUNTIFS($G$7:$G$850,$G239,$S$7:$S$850,"&lt;"&amp;$S239)+COUNTIFS($G$7:$G239,$G239,$S$7:$S239,$S239))</f>
        <v/>
      </c>
      <c r="X239" s="8">
        <f>IF($V239="","",$G239&amp;"|"&amp;$V239)</f>
        <v/>
      </c>
      <c r="Y239" s="8">
        <f>IF($W239="","",$G239&amp;"|"&amp;$W239)</f>
        <v/>
      </c>
    </row>
    <row r="240">
      <c r="A240" s="16" t="inlineStr">
        <is>
          <t>XS2894908768</t>
        </is>
      </c>
      <c r="B240" s="17">
        <f>IF($A240="","",PROPER(_xll.BDP($A240&amp;" Corp","NAME")))</f>
        <v/>
      </c>
      <c r="C240" s="17">
        <f>IF($A240="","",IFERROR(INDEX(Company_desc!$B$2:$B$1144,MATCH($A240,Company_desc!$A$2:$A$1144,0)),IFERROR(INDEX(SYZ_static!$Q$2:$Q$806,MATCH($A240,SYZ_static!$A$2:$A$806,0)),"")))</f>
        <v/>
      </c>
      <c r="D240" s="17">
        <f>IF($A240="","",IFERROR(INDEX(SYZ_static!$B$2:$B$806,MATCH($A240,SYZ_static!$A$2:$A$806,0)),""))</f>
        <v/>
      </c>
      <c r="E240" s="17">
        <f>IF($A240="","",_xll.BDP($A240&amp;" Corp","INDUSTRY_SECTOR"))</f>
        <v/>
      </c>
      <c r="F240" s="17">
        <f>IF($A240="","",PROPER(_xll.BDP($A240&amp;" Corp","COUNTRY_FULL_NAME")))</f>
        <v/>
      </c>
      <c r="G240" s="17">
        <f>IF($A240="","",_xll.BDP($A240&amp;" Corp","CRNCY"))</f>
        <v/>
      </c>
      <c r="H240" s="17">
        <f>IF($A240="","",IFERROR(INDEX(SYZ_static!$T$2:$T$806,MATCH($A240,SYZ_static!$A$2:$A$806,0)),_xll.BDP($A240&amp;" Corp","RTG_SP")))</f>
        <v/>
      </c>
      <c r="I240" s="17">
        <f>IF($A240="","",IFERROR(INDEX(SYZ_static!$S$2:$S$806,MATCH($A240,SYZ_static!$A$2:$A$806,0)),""))</f>
        <v/>
      </c>
      <c r="J240" s="17">
        <f>IF($A240="","",_xll.BDP($A240&amp;" Corp","PAYMENT_RANK"))</f>
        <v/>
      </c>
      <c r="K240" s="18">
        <f>IF($A240="","",_xll.BDP($A240&amp;" Corp","CPN"))</f>
        <v/>
      </c>
      <c r="L240" s="19">
        <f>IF($A240="","",_xll.BDP($A240&amp;" Corp","MATURITY"))</f>
        <v/>
      </c>
      <c r="M240" s="20">
        <f>IF($A240="","",IFERROR(_xll.BDP($A240&amp;" Corp","MIN_PIECE")/1000,""))</f>
        <v/>
      </c>
      <c r="N240" s="21">
        <f>IF($A240="","",_xll.BDP($A240&amp;" Corp","PX_LAST"))</f>
        <v/>
      </c>
      <c r="O240" s="21">
        <f>IF($A240="","",_xll.BDP($A240&amp;" Corp","YAS_BOND_YLD","YAS_YLD_FLAG=15"))</f>
        <v/>
      </c>
      <c r="P240" s="21">
        <f>IF($A240="","",_xll.BDP($A240&amp;" Corp","YAS_MOD_DUR"))</f>
        <v/>
      </c>
      <c r="Q240" s="22">
        <f>IF($A240="","",_xll.BDP($A240&amp;" Corp","YAS_OAS_SPRD"))</f>
        <v/>
      </c>
      <c r="R240" s="22">
        <f>IF($A240="","",_xll.BDP($A240&amp;" Corp","YAS_OAS_SPRD","SETTLE_DT",$B$2))</f>
        <v/>
      </c>
      <c r="S240" s="23">
        <f>IF($A240="","",IF(OR(NOT(ISNUMBER($Q240)),NOT(ISNUMBER($R240))),"",$Q240-$R240))</f>
        <v/>
      </c>
      <c r="T240" s="21">
        <f>IF($A240="","",_xll.BDP($A240&amp;" Corp","YAS_BOND_YLD","YAS_YLD_FLAG=15","SETTLE_DT",$B$2))</f>
        <v/>
      </c>
      <c r="U240" s="24">
        <f>IF($A240="","",IF(OR(NOT(ISNUMBER($O240)),NOT(ISNUMBER($T240))),"",$O240-$T240))</f>
        <v/>
      </c>
      <c r="V240" s="22">
        <f>IF(NOT(ISNUMBER($S240)),"",COUNTIFS($G$7:$G$850,$G240,$S$7:$S$850,"&gt;"&amp;$S240)+COUNTIFS($G$7:$G240,$G240,$S$7:$S240,$S240))</f>
        <v/>
      </c>
      <c r="W240" s="22">
        <f>IF(NOT(ISNUMBER($S240)),"",COUNTIFS($G$7:$G$850,$G240,$S$7:$S$850,"&lt;"&amp;$S240)+COUNTIFS($G$7:$G240,$G240,$S$7:$S240,$S240))</f>
        <v/>
      </c>
      <c r="X240" s="17">
        <f>IF($V240="","",$G240&amp;"|"&amp;$V240)</f>
        <v/>
      </c>
      <c r="Y240" s="17">
        <f>IF($W240="","",$G240&amp;"|"&amp;$W240)</f>
        <v/>
      </c>
    </row>
    <row r="241">
      <c r="A241" s="7" t="inlineStr">
        <is>
          <t>XS2983840518</t>
        </is>
      </c>
      <c r="B241" s="8">
        <f>IF($A241="","",PROPER(_xll.BDP($A241&amp;" Corp","NAME")))</f>
        <v/>
      </c>
      <c r="C241" s="8">
        <f>IF($A241="","",IFERROR(INDEX(Company_desc!$B$2:$B$1144,MATCH($A241,Company_desc!$A$2:$A$1144,0)),IFERROR(INDEX(SYZ_static!$Q$2:$Q$806,MATCH($A241,SYZ_static!$A$2:$A$806,0)),"")))</f>
        <v/>
      </c>
      <c r="D241" s="8">
        <f>IF($A241="","",IFERROR(INDEX(SYZ_static!$B$2:$B$806,MATCH($A241,SYZ_static!$A$2:$A$806,0)),""))</f>
        <v/>
      </c>
      <c r="E241" s="8">
        <f>IF($A241="","",_xll.BDP($A241&amp;" Corp","INDUSTRY_SECTOR"))</f>
        <v/>
      </c>
      <c r="F241" s="8">
        <f>IF($A241="","",PROPER(_xll.BDP($A241&amp;" Corp","COUNTRY_FULL_NAME")))</f>
        <v/>
      </c>
      <c r="G241" s="8">
        <f>IF($A241="","",_xll.BDP($A241&amp;" Corp","CRNCY"))</f>
        <v/>
      </c>
      <c r="H241" s="8">
        <f>IF($A241="","",IFERROR(INDEX(SYZ_static!$T$2:$T$806,MATCH($A241,SYZ_static!$A$2:$A$806,0)),_xll.BDP($A241&amp;" Corp","RTG_SP")))</f>
        <v/>
      </c>
      <c r="I241" s="8">
        <f>IF($A241="","",IFERROR(INDEX(SYZ_static!$S$2:$S$806,MATCH($A241,SYZ_static!$A$2:$A$806,0)),""))</f>
        <v/>
      </c>
      <c r="J241" s="8">
        <f>IF($A241="","",_xll.BDP($A241&amp;" Corp","PAYMENT_RANK"))</f>
        <v/>
      </c>
      <c r="K241" s="9">
        <f>IF($A241="","",_xll.BDP($A241&amp;" Corp","CPN"))</f>
        <v/>
      </c>
      <c r="L241" s="10">
        <f>IF($A241="","",_xll.BDP($A241&amp;" Corp","MATURITY"))</f>
        <v/>
      </c>
      <c r="M241" s="11">
        <f>IF($A241="","",IFERROR(_xll.BDP($A241&amp;" Corp","MIN_PIECE")/1000,""))</f>
        <v/>
      </c>
      <c r="N241" s="12">
        <f>IF($A241="","",_xll.BDP($A241&amp;" Corp","PX_LAST"))</f>
        <v/>
      </c>
      <c r="O241" s="12">
        <f>IF($A241="","",_xll.BDP($A241&amp;" Corp","YAS_BOND_YLD","YAS_YLD_FLAG=15"))</f>
        <v/>
      </c>
      <c r="P241" s="12">
        <f>IF($A241="","",_xll.BDP($A241&amp;" Corp","YAS_MOD_DUR"))</f>
        <v/>
      </c>
      <c r="Q241" s="13">
        <f>IF($A241="","",_xll.BDP($A241&amp;" Corp","YAS_OAS_SPRD"))</f>
        <v/>
      </c>
      <c r="R241" s="13">
        <f>IF($A241="","",_xll.BDP($A241&amp;" Corp","YAS_OAS_SPRD","SETTLE_DT",$B$2))</f>
        <v/>
      </c>
      <c r="S241" s="14">
        <f>IF($A241="","",IF(OR(NOT(ISNUMBER($Q241)),NOT(ISNUMBER($R241))),"",$Q241-$R241))</f>
        <v/>
      </c>
      <c r="T241" s="12">
        <f>IF($A241="","",_xll.BDP($A241&amp;" Corp","YAS_BOND_YLD","YAS_YLD_FLAG=15","SETTLE_DT",$B$2))</f>
        <v/>
      </c>
      <c r="U241" s="15">
        <f>IF($A241="","",IF(OR(NOT(ISNUMBER($O241)),NOT(ISNUMBER($T241))),"",$O241-$T241))</f>
        <v/>
      </c>
      <c r="V241" s="13">
        <f>IF(NOT(ISNUMBER($S241)),"",COUNTIFS($G$7:$G$850,$G241,$S$7:$S$850,"&gt;"&amp;$S241)+COUNTIFS($G$7:$G241,$G241,$S$7:$S241,$S241))</f>
        <v/>
      </c>
      <c r="W241" s="13">
        <f>IF(NOT(ISNUMBER($S241)),"",COUNTIFS($G$7:$G$850,$G241,$S$7:$S$850,"&lt;"&amp;$S241)+COUNTIFS($G$7:$G241,$G241,$S$7:$S241,$S241))</f>
        <v/>
      </c>
      <c r="X241" s="8">
        <f>IF($V241="","",$G241&amp;"|"&amp;$V241)</f>
        <v/>
      </c>
      <c r="Y241" s="8">
        <f>IF($W241="","",$G241&amp;"|"&amp;$W241)</f>
        <v/>
      </c>
    </row>
    <row r="242">
      <c r="A242" s="16" t="inlineStr">
        <is>
          <t>US47233JGT97</t>
        </is>
      </c>
      <c r="B242" s="17">
        <f>IF($A242="","",PROPER(_xll.BDP($A242&amp;" Corp","NAME")))</f>
        <v/>
      </c>
      <c r="C242" s="17">
        <f>IF($A242="","",IFERROR(INDEX(Company_desc!$B$2:$B$1144,MATCH($A242,Company_desc!$A$2:$A$1144,0)),IFERROR(INDEX(SYZ_static!$Q$2:$Q$806,MATCH($A242,SYZ_static!$A$2:$A$806,0)),"")))</f>
        <v/>
      </c>
      <c r="D242" s="17">
        <f>IF($A242="","",IFERROR(INDEX(SYZ_static!$B$2:$B$806,MATCH($A242,SYZ_static!$A$2:$A$806,0)),""))</f>
        <v/>
      </c>
      <c r="E242" s="17">
        <f>IF($A242="","",_xll.BDP($A242&amp;" Corp","INDUSTRY_SECTOR"))</f>
        <v/>
      </c>
      <c r="F242" s="17">
        <f>IF($A242="","",PROPER(_xll.BDP($A242&amp;" Corp","COUNTRY_FULL_NAME")))</f>
        <v/>
      </c>
      <c r="G242" s="17">
        <f>IF($A242="","",_xll.BDP($A242&amp;" Corp","CRNCY"))</f>
        <v/>
      </c>
      <c r="H242" s="17">
        <f>IF($A242="","",IFERROR(INDEX(SYZ_static!$T$2:$T$806,MATCH($A242,SYZ_static!$A$2:$A$806,0)),_xll.BDP($A242&amp;" Corp","RTG_SP")))</f>
        <v/>
      </c>
      <c r="I242" s="17">
        <f>IF($A242="","",IFERROR(INDEX(SYZ_static!$S$2:$S$806,MATCH($A242,SYZ_static!$A$2:$A$806,0)),""))</f>
        <v/>
      </c>
      <c r="J242" s="17">
        <f>IF($A242="","",_xll.BDP($A242&amp;" Corp","PAYMENT_RANK"))</f>
        <v/>
      </c>
      <c r="K242" s="18">
        <f>IF($A242="","",_xll.BDP($A242&amp;" Corp","CPN"))</f>
        <v/>
      </c>
      <c r="L242" s="19">
        <f>IF($A242="","",_xll.BDP($A242&amp;" Corp","MATURITY"))</f>
        <v/>
      </c>
      <c r="M242" s="20">
        <f>IF($A242="","",IFERROR(_xll.BDP($A242&amp;" Corp","MIN_PIECE")/1000,""))</f>
        <v/>
      </c>
      <c r="N242" s="21">
        <f>IF($A242="","",_xll.BDP($A242&amp;" Corp","PX_LAST"))</f>
        <v/>
      </c>
      <c r="O242" s="21">
        <f>IF($A242="","",_xll.BDP($A242&amp;" Corp","YAS_BOND_YLD","YAS_YLD_FLAG=15"))</f>
        <v/>
      </c>
      <c r="P242" s="21">
        <f>IF($A242="","",_xll.BDP($A242&amp;" Corp","YAS_MOD_DUR"))</f>
        <v/>
      </c>
      <c r="Q242" s="22">
        <f>IF($A242="","",_xll.BDP($A242&amp;" Corp","YAS_OAS_SPRD"))</f>
        <v/>
      </c>
      <c r="R242" s="22">
        <f>IF($A242="","",_xll.BDP($A242&amp;" Corp","YAS_OAS_SPRD","SETTLE_DT",$B$2))</f>
        <v/>
      </c>
      <c r="S242" s="23">
        <f>IF($A242="","",IF(OR(NOT(ISNUMBER($Q242)),NOT(ISNUMBER($R242))),"",$Q242-$R242))</f>
        <v/>
      </c>
      <c r="T242" s="21">
        <f>IF($A242="","",_xll.BDP($A242&amp;" Corp","YAS_BOND_YLD","YAS_YLD_FLAG=15","SETTLE_DT",$B$2))</f>
        <v/>
      </c>
      <c r="U242" s="24">
        <f>IF($A242="","",IF(OR(NOT(ISNUMBER($O242)),NOT(ISNUMBER($T242))),"",$O242-$T242))</f>
        <v/>
      </c>
      <c r="V242" s="22">
        <f>IF(NOT(ISNUMBER($S242)),"",COUNTIFS($G$7:$G$850,$G242,$S$7:$S$850,"&gt;"&amp;$S242)+COUNTIFS($G$7:$G242,$G242,$S$7:$S242,$S242))</f>
        <v/>
      </c>
      <c r="W242" s="22">
        <f>IF(NOT(ISNUMBER($S242)),"",COUNTIFS($G$7:$G$850,$G242,$S$7:$S$850,"&lt;"&amp;$S242)+COUNTIFS($G$7:$G242,$G242,$S$7:$S242,$S242))</f>
        <v/>
      </c>
      <c r="X242" s="17">
        <f>IF($V242="","",$G242&amp;"|"&amp;$V242)</f>
        <v/>
      </c>
      <c r="Y242" s="17">
        <f>IF($W242="","",$G242&amp;"|"&amp;$W242)</f>
        <v/>
      </c>
    </row>
    <row r="243">
      <c r="A243" s="7" t="inlineStr">
        <is>
          <t>XS2595028452</t>
        </is>
      </c>
      <c r="B243" s="8">
        <f>IF($A243="","",PROPER(_xll.BDP($A243&amp;" Corp","NAME")))</f>
        <v/>
      </c>
      <c r="C243" s="8">
        <f>IF($A243="","",IFERROR(INDEX(Company_desc!$B$2:$B$1144,MATCH($A243,Company_desc!$A$2:$A$1144,0)),IFERROR(INDEX(SYZ_static!$Q$2:$Q$806,MATCH($A243,SYZ_static!$A$2:$A$806,0)),"")))</f>
        <v/>
      </c>
      <c r="D243" s="8">
        <f>IF($A243="","",IFERROR(INDEX(SYZ_static!$B$2:$B$806,MATCH($A243,SYZ_static!$A$2:$A$806,0)),""))</f>
        <v/>
      </c>
      <c r="E243" s="8">
        <f>IF($A243="","",_xll.BDP($A243&amp;" Corp","INDUSTRY_SECTOR"))</f>
        <v/>
      </c>
      <c r="F243" s="8">
        <f>IF($A243="","",PROPER(_xll.BDP($A243&amp;" Corp","COUNTRY_FULL_NAME")))</f>
        <v/>
      </c>
      <c r="G243" s="8">
        <f>IF($A243="","",_xll.BDP($A243&amp;" Corp","CRNCY"))</f>
        <v/>
      </c>
      <c r="H243" s="8">
        <f>IF($A243="","",IFERROR(INDEX(SYZ_static!$T$2:$T$806,MATCH($A243,SYZ_static!$A$2:$A$806,0)),_xll.BDP($A243&amp;" Corp","RTG_SP")))</f>
        <v/>
      </c>
      <c r="I243" s="8">
        <f>IF($A243="","",IFERROR(INDEX(SYZ_static!$S$2:$S$806,MATCH($A243,SYZ_static!$A$2:$A$806,0)),""))</f>
        <v/>
      </c>
      <c r="J243" s="8">
        <f>IF($A243="","",_xll.BDP($A243&amp;" Corp","PAYMENT_RANK"))</f>
        <v/>
      </c>
      <c r="K243" s="9">
        <f>IF($A243="","",_xll.BDP($A243&amp;" Corp","CPN"))</f>
        <v/>
      </c>
      <c r="L243" s="10">
        <f>IF($A243="","",_xll.BDP($A243&amp;" Corp","MATURITY"))</f>
        <v/>
      </c>
      <c r="M243" s="11">
        <f>IF($A243="","",IFERROR(_xll.BDP($A243&amp;" Corp","MIN_PIECE")/1000,""))</f>
        <v/>
      </c>
      <c r="N243" s="12">
        <f>IF($A243="","",_xll.BDP($A243&amp;" Corp","PX_LAST"))</f>
        <v/>
      </c>
      <c r="O243" s="12">
        <f>IF($A243="","",_xll.BDP($A243&amp;" Corp","YAS_BOND_YLD","YAS_YLD_FLAG=15"))</f>
        <v/>
      </c>
      <c r="P243" s="12">
        <f>IF($A243="","",_xll.BDP($A243&amp;" Corp","YAS_MOD_DUR"))</f>
        <v/>
      </c>
      <c r="Q243" s="13">
        <f>IF($A243="","",_xll.BDP($A243&amp;" Corp","YAS_OAS_SPRD"))</f>
        <v/>
      </c>
      <c r="R243" s="13">
        <f>IF($A243="","",_xll.BDP($A243&amp;" Corp","YAS_OAS_SPRD","SETTLE_DT",$B$2))</f>
        <v/>
      </c>
      <c r="S243" s="14">
        <f>IF($A243="","",IF(OR(NOT(ISNUMBER($Q243)),NOT(ISNUMBER($R243))),"",$Q243-$R243))</f>
        <v/>
      </c>
      <c r="T243" s="12">
        <f>IF($A243="","",_xll.BDP($A243&amp;" Corp","YAS_BOND_YLD","YAS_YLD_FLAG=15","SETTLE_DT",$B$2))</f>
        <v/>
      </c>
      <c r="U243" s="15">
        <f>IF($A243="","",IF(OR(NOT(ISNUMBER($O243)),NOT(ISNUMBER($T243))),"",$O243-$T243))</f>
        <v/>
      </c>
      <c r="V243" s="13">
        <f>IF(NOT(ISNUMBER($S243)),"",COUNTIFS($G$7:$G$850,$G243,$S$7:$S$850,"&gt;"&amp;$S243)+COUNTIFS($G$7:$G243,$G243,$S$7:$S243,$S243))</f>
        <v/>
      </c>
      <c r="W243" s="13">
        <f>IF(NOT(ISNUMBER($S243)),"",COUNTIFS($G$7:$G$850,$G243,$S$7:$S$850,"&lt;"&amp;$S243)+COUNTIFS($G$7:$G243,$G243,$S$7:$S243,$S243))</f>
        <v/>
      </c>
      <c r="X243" s="8">
        <f>IF($V243="","",$G243&amp;"|"&amp;$V243)</f>
        <v/>
      </c>
      <c r="Y243" s="8">
        <f>IF($W243="","",$G243&amp;"|"&amp;$W243)</f>
        <v/>
      </c>
    </row>
    <row r="244">
      <c r="A244" s="16" t="inlineStr">
        <is>
          <t>XS2811096267</t>
        </is>
      </c>
      <c r="B244" s="17">
        <f>IF($A244="","",PROPER(_xll.BDP($A244&amp;" Corp","NAME")))</f>
        <v/>
      </c>
      <c r="C244" s="17">
        <f>IF($A244="","",IFERROR(INDEX(Company_desc!$B$2:$B$1144,MATCH($A244,Company_desc!$A$2:$A$1144,0)),IFERROR(INDEX(SYZ_static!$Q$2:$Q$806,MATCH($A244,SYZ_static!$A$2:$A$806,0)),"")))</f>
        <v/>
      </c>
      <c r="D244" s="17">
        <f>IF($A244="","",IFERROR(INDEX(SYZ_static!$B$2:$B$806,MATCH($A244,SYZ_static!$A$2:$A$806,0)),""))</f>
        <v/>
      </c>
      <c r="E244" s="17">
        <f>IF($A244="","",_xll.BDP($A244&amp;" Corp","INDUSTRY_SECTOR"))</f>
        <v/>
      </c>
      <c r="F244" s="17">
        <f>IF($A244="","",PROPER(_xll.BDP($A244&amp;" Corp","COUNTRY_FULL_NAME")))</f>
        <v/>
      </c>
      <c r="G244" s="17">
        <f>IF($A244="","",_xll.BDP($A244&amp;" Corp","CRNCY"))</f>
        <v/>
      </c>
      <c r="H244" s="17">
        <f>IF($A244="","",IFERROR(INDEX(SYZ_static!$T$2:$T$806,MATCH($A244,SYZ_static!$A$2:$A$806,0)),_xll.BDP($A244&amp;" Corp","RTG_SP")))</f>
        <v/>
      </c>
      <c r="I244" s="17">
        <f>IF($A244="","",IFERROR(INDEX(SYZ_static!$S$2:$S$806,MATCH($A244,SYZ_static!$A$2:$A$806,0)),""))</f>
        <v/>
      </c>
      <c r="J244" s="17">
        <f>IF($A244="","",_xll.BDP($A244&amp;" Corp","PAYMENT_RANK"))</f>
        <v/>
      </c>
      <c r="K244" s="18">
        <f>IF($A244="","",_xll.BDP($A244&amp;" Corp","CPN"))</f>
        <v/>
      </c>
      <c r="L244" s="19">
        <f>IF($A244="","",_xll.BDP($A244&amp;" Corp","MATURITY"))</f>
        <v/>
      </c>
      <c r="M244" s="20">
        <f>IF($A244="","",IFERROR(_xll.BDP($A244&amp;" Corp","MIN_PIECE")/1000,""))</f>
        <v/>
      </c>
      <c r="N244" s="21">
        <f>IF($A244="","",_xll.BDP($A244&amp;" Corp","PX_LAST"))</f>
        <v/>
      </c>
      <c r="O244" s="21">
        <f>IF($A244="","",_xll.BDP($A244&amp;" Corp","YAS_BOND_YLD","YAS_YLD_FLAG=15"))</f>
        <v/>
      </c>
      <c r="P244" s="21">
        <f>IF($A244="","",_xll.BDP($A244&amp;" Corp","YAS_MOD_DUR"))</f>
        <v/>
      </c>
      <c r="Q244" s="22">
        <f>IF($A244="","",_xll.BDP($A244&amp;" Corp","YAS_OAS_SPRD"))</f>
        <v/>
      </c>
      <c r="R244" s="22">
        <f>IF($A244="","",_xll.BDP($A244&amp;" Corp","YAS_OAS_SPRD","SETTLE_DT",$B$2))</f>
        <v/>
      </c>
      <c r="S244" s="23">
        <f>IF($A244="","",IF(OR(NOT(ISNUMBER($Q244)),NOT(ISNUMBER($R244))),"",$Q244-$R244))</f>
        <v/>
      </c>
      <c r="T244" s="21">
        <f>IF($A244="","",_xll.BDP($A244&amp;" Corp","YAS_BOND_YLD","YAS_YLD_FLAG=15","SETTLE_DT",$B$2))</f>
        <v/>
      </c>
      <c r="U244" s="24">
        <f>IF($A244="","",IF(OR(NOT(ISNUMBER($O244)),NOT(ISNUMBER($T244))),"",$O244-$T244))</f>
        <v/>
      </c>
      <c r="V244" s="22">
        <f>IF(NOT(ISNUMBER($S244)),"",COUNTIFS($G$7:$G$850,$G244,$S$7:$S$850,"&gt;"&amp;$S244)+COUNTIFS($G$7:$G244,$G244,$S$7:$S244,$S244))</f>
        <v/>
      </c>
      <c r="W244" s="22">
        <f>IF(NOT(ISNUMBER($S244)),"",COUNTIFS($G$7:$G$850,$G244,$S$7:$S$850,"&lt;"&amp;$S244)+COUNTIFS($G$7:$G244,$G244,$S$7:$S244,$S244))</f>
        <v/>
      </c>
      <c r="X244" s="17">
        <f>IF($V244="","",$G244&amp;"|"&amp;$V244)</f>
        <v/>
      </c>
      <c r="Y244" s="17">
        <f>IF($W244="","",$G244&amp;"|"&amp;$W244)</f>
        <v/>
      </c>
    </row>
    <row r="245">
      <c r="A245" s="7" t="inlineStr">
        <is>
          <t>XS2049548527</t>
        </is>
      </c>
      <c r="B245" s="8">
        <f>IF($A245="","",PROPER(_xll.BDP($A245&amp;" Corp","NAME")))</f>
        <v/>
      </c>
      <c r="C245" s="8">
        <f>IF($A245="","",IFERROR(INDEX(Company_desc!$B$2:$B$1144,MATCH($A245,Company_desc!$A$2:$A$1144,0)),IFERROR(INDEX(SYZ_static!$Q$2:$Q$806,MATCH($A245,SYZ_static!$A$2:$A$806,0)),"")))</f>
        <v/>
      </c>
      <c r="D245" s="8">
        <f>IF($A245="","",IFERROR(INDEX(SYZ_static!$B$2:$B$806,MATCH($A245,SYZ_static!$A$2:$A$806,0)),""))</f>
        <v/>
      </c>
      <c r="E245" s="8">
        <f>IF($A245="","",_xll.BDP($A245&amp;" Corp","INDUSTRY_SECTOR"))</f>
        <v/>
      </c>
      <c r="F245" s="8">
        <f>IF($A245="","",PROPER(_xll.BDP($A245&amp;" Corp","COUNTRY_FULL_NAME")))</f>
        <v/>
      </c>
      <c r="G245" s="8">
        <f>IF($A245="","",_xll.BDP($A245&amp;" Corp","CRNCY"))</f>
        <v/>
      </c>
      <c r="H245" s="8">
        <f>IF($A245="","",IFERROR(INDEX(SYZ_static!$T$2:$T$806,MATCH($A245,SYZ_static!$A$2:$A$806,0)),_xll.BDP($A245&amp;" Corp","RTG_SP")))</f>
        <v/>
      </c>
      <c r="I245" s="8">
        <f>IF($A245="","",IFERROR(INDEX(SYZ_static!$S$2:$S$806,MATCH($A245,SYZ_static!$A$2:$A$806,0)),""))</f>
        <v/>
      </c>
      <c r="J245" s="8">
        <f>IF($A245="","",_xll.BDP($A245&amp;" Corp","PAYMENT_RANK"))</f>
        <v/>
      </c>
      <c r="K245" s="9">
        <f>IF($A245="","",_xll.BDP($A245&amp;" Corp","CPN"))</f>
        <v/>
      </c>
      <c r="L245" s="10">
        <f>IF($A245="","",_xll.BDP($A245&amp;" Corp","MATURITY"))</f>
        <v/>
      </c>
      <c r="M245" s="11">
        <f>IF($A245="","",IFERROR(_xll.BDP($A245&amp;" Corp","MIN_PIECE")/1000,""))</f>
        <v/>
      </c>
      <c r="N245" s="12">
        <f>IF($A245="","",_xll.BDP($A245&amp;" Corp","PX_LAST"))</f>
        <v/>
      </c>
      <c r="O245" s="12">
        <f>IF($A245="","",_xll.BDP($A245&amp;" Corp","YAS_BOND_YLD","YAS_YLD_FLAG=15"))</f>
        <v/>
      </c>
      <c r="P245" s="12">
        <f>IF($A245="","",_xll.BDP($A245&amp;" Corp","YAS_MOD_DUR"))</f>
        <v/>
      </c>
      <c r="Q245" s="13">
        <f>IF($A245="","",_xll.BDP($A245&amp;" Corp","YAS_OAS_SPRD"))</f>
        <v/>
      </c>
      <c r="R245" s="13">
        <f>IF($A245="","",_xll.BDP($A245&amp;" Corp","YAS_OAS_SPRD","SETTLE_DT",$B$2))</f>
        <v/>
      </c>
      <c r="S245" s="14">
        <f>IF($A245="","",IF(OR(NOT(ISNUMBER($Q245)),NOT(ISNUMBER($R245))),"",$Q245-$R245))</f>
        <v/>
      </c>
      <c r="T245" s="12">
        <f>IF($A245="","",_xll.BDP($A245&amp;" Corp","YAS_BOND_YLD","YAS_YLD_FLAG=15","SETTLE_DT",$B$2))</f>
        <v/>
      </c>
      <c r="U245" s="15">
        <f>IF($A245="","",IF(OR(NOT(ISNUMBER($O245)),NOT(ISNUMBER($T245))),"",$O245-$T245))</f>
        <v/>
      </c>
      <c r="V245" s="13">
        <f>IF(NOT(ISNUMBER($S245)),"",COUNTIFS($G$7:$G$850,$G245,$S$7:$S$850,"&gt;"&amp;$S245)+COUNTIFS($G$7:$G245,$G245,$S$7:$S245,$S245))</f>
        <v/>
      </c>
      <c r="W245" s="13">
        <f>IF(NOT(ISNUMBER($S245)),"",COUNTIFS($G$7:$G$850,$G245,$S$7:$S$850,"&lt;"&amp;$S245)+COUNTIFS($G$7:$G245,$G245,$S$7:$S245,$S245))</f>
        <v/>
      </c>
      <c r="X245" s="8">
        <f>IF($V245="","",$G245&amp;"|"&amp;$V245)</f>
        <v/>
      </c>
      <c r="Y245" s="8">
        <f>IF($W245="","",$G245&amp;"|"&amp;$W245)</f>
        <v/>
      </c>
    </row>
    <row r="246">
      <c r="A246" s="16" t="inlineStr">
        <is>
          <t>XS2191362859</t>
        </is>
      </c>
      <c r="B246" s="17">
        <f>IF($A246="","",PROPER(_xll.BDP($A246&amp;" Corp","NAME")))</f>
        <v/>
      </c>
      <c r="C246" s="17">
        <f>IF($A246="","",IFERROR(INDEX(Company_desc!$B$2:$B$1144,MATCH($A246,Company_desc!$A$2:$A$1144,0)),IFERROR(INDEX(SYZ_static!$Q$2:$Q$806,MATCH($A246,SYZ_static!$A$2:$A$806,0)),"")))</f>
        <v/>
      </c>
      <c r="D246" s="17">
        <f>IF($A246="","",IFERROR(INDEX(SYZ_static!$B$2:$B$806,MATCH($A246,SYZ_static!$A$2:$A$806,0)),""))</f>
        <v/>
      </c>
      <c r="E246" s="17">
        <f>IF($A246="","",_xll.BDP($A246&amp;" Corp","INDUSTRY_SECTOR"))</f>
        <v/>
      </c>
      <c r="F246" s="17">
        <f>IF($A246="","",PROPER(_xll.BDP($A246&amp;" Corp","COUNTRY_FULL_NAME")))</f>
        <v/>
      </c>
      <c r="G246" s="17">
        <f>IF($A246="","",_xll.BDP($A246&amp;" Corp","CRNCY"))</f>
        <v/>
      </c>
      <c r="H246" s="17">
        <f>IF($A246="","",IFERROR(INDEX(SYZ_static!$T$2:$T$806,MATCH($A246,SYZ_static!$A$2:$A$806,0)),_xll.BDP($A246&amp;" Corp","RTG_SP")))</f>
        <v/>
      </c>
      <c r="I246" s="17">
        <f>IF($A246="","",IFERROR(INDEX(SYZ_static!$S$2:$S$806,MATCH($A246,SYZ_static!$A$2:$A$806,0)),""))</f>
        <v/>
      </c>
      <c r="J246" s="17">
        <f>IF($A246="","",_xll.BDP($A246&amp;" Corp","PAYMENT_RANK"))</f>
        <v/>
      </c>
      <c r="K246" s="18">
        <f>IF($A246="","",_xll.BDP($A246&amp;" Corp","CPN"))</f>
        <v/>
      </c>
      <c r="L246" s="19">
        <f>IF($A246="","",_xll.BDP($A246&amp;" Corp","MATURITY"))</f>
        <v/>
      </c>
      <c r="M246" s="20">
        <f>IF($A246="","",IFERROR(_xll.BDP($A246&amp;" Corp","MIN_PIECE")/1000,""))</f>
        <v/>
      </c>
      <c r="N246" s="21">
        <f>IF($A246="","",_xll.BDP($A246&amp;" Corp","PX_LAST"))</f>
        <v/>
      </c>
      <c r="O246" s="21">
        <f>IF($A246="","",_xll.BDP($A246&amp;" Corp","YAS_BOND_YLD","YAS_YLD_FLAG=15"))</f>
        <v/>
      </c>
      <c r="P246" s="21">
        <f>IF($A246="","",_xll.BDP($A246&amp;" Corp","YAS_MOD_DUR"))</f>
        <v/>
      </c>
      <c r="Q246" s="22">
        <f>IF($A246="","",_xll.BDP($A246&amp;" Corp","YAS_OAS_SPRD"))</f>
        <v/>
      </c>
      <c r="R246" s="22">
        <f>IF($A246="","",_xll.BDP($A246&amp;" Corp","YAS_OAS_SPRD","SETTLE_DT",$B$2))</f>
        <v/>
      </c>
      <c r="S246" s="23">
        <f>IF($A246="","",IF(OR(NOT(ISNUMBER($Q246)),NOT(ISNUMBER($R246))),"",$Q246-$R246))</f>
        <v/>
      </c>
      <c r="T246" s="21">
        <f>IF($A246="","",_xll.BDP($A246&amp;" Corp","YAS_BOND_YLD","YAS_YLD_FLAG=15","SETTLE_DT",$B$2))</f>
        <v/>
      </c>
      <c r="U246" s="24">
        <f>IF($A246="","",IF(OR(NOT(ISNUMBER($O246)),NOT(ISNUMBER($T246))),"",$O246-$T246))</f>
        <v/>
      </c>
      <c r="V246" s="22">
        <f>IF(NOT(ISNUMBER($S246)),"",COUNTIFS($G$7:$G$850,$G246,$S$7:$S$850,"&gt;"&amp;$S246)+COUNTIFS($G$7:$G246,$G246,$S$7:$S246,$S246))</f>
        <v/>
      </c>
      <c r="W246" s="22">
        <f>IF(NOT(ISNUMBER($S246)),"",COUNTIFS($G$7:$G$850,$G246,$S$7:$S$850,"&lt;"&amp;$S246)+COUNTIFS($G$7:$G246,$G246,$S$7:$S246,$S246))</f>
        <v/>
      </c>
      <c r="X246" s="17">
        <f>IF($V246="","",$G246&amp;"|"&amp;$V246)</f>
        <v/>
      </c>
      <c r="Y246" s="17">
        <f>IF($W246="","",$G246&amp;"|"&amp;$W246)</f>
        <v/>
      </c>
    </row>
    <row r="247">
      <c r="A247" s="7" t="inlineStr">
        <is>
          <t>FR0013523602</t>
        </is>
      </c>
      <c r="B247" s="8">
        <f>IF($A247="","",PROPER(_xll.BDP($A247&amp;" Corp","NAME")))</f>
        <v/>
      </c>
      <c r="C247" s="8">
        <f>IF($A247="","",IFERROR(INDEX(Company_desc!$B$2:$B$1144,MATCH($A247,Company_desc!$A$2:$A$1144,0)),IFERROR(INDEX(SYZ_static!$Q$2:$Q$806,MATCH($A247,SYZ_static!$A$2:$A$806,0)),"")))</f>
        <v/>
      </c>
      <c r="D247" s="8">
        <f>IF($A247="","",IFERROR(INDEX(SYZ_static!$B$2:$B$806,MATCH($A247,SYZ_static!$A$2:$A$806,0)),""))</f>
        <v/>
      </c>
      <c r="E247" s="8">
        <f>IF($A247="","",_xll.BDP($A247&amp;" Corp","INDUSTRY_SECTOR"))</f>
        <v/>
      </c>
      <c r="F247" s="8">
        <f>IF($A247="","",PROPER(_xll.BDP($A247&amp;" Corp","COUNTRY_FULL_NAME")))</f>
        <v/>
      </c>
      <c r="G247" s="8">
        <f>IF($A247="","",_xll.BDP($A247&amp;" Corp","CRNCY"))</f>
        <v/>
      </c>
      <c r="H247" s="8">
        <f>IF($A247="","",IFERROR(INDEX(SYZ_static!$T$2:$T$806,MATCH($A247,SYZ_static!$A$2:$A$806,0)),_xll.BDP($A247&amp;" Corp","RTG_SP")))</f>
        <v/>
      </c>
      <c r="I247" s="8">
        <f>IF($A247="","",IFERROR(INDEX(SYZ_static!$S$2:$S$806,MATCH($A247,SYZ_static!$A$2:$A$806,0)),""))</f>
        <v/>
      </c>
      <c r="J247" s="8">
        <f>IF($A247="","",_xll.BDP($A247&amp;" Corp","PAYMENT_RANK"))</f>
        <v/>
      </c>
      <c r="K247" s="9">
        <f>IF($A247="","",_xll.BDP($A247&amp;" Corp","CPN"))</f>
        <v/>
      </c>
      <c r="L247" s="10">
        <f>IF($A247="","",_xll.BDP($A247&amp;" Corp","MATURITY"))</f>
        <v/>
      </c>
      <c r="M247" s="11">
        <f>IF($A247="","",IFERROR(_xll.BDP($A247&amp;" Corp","MIN_PIECE")/1000,""))</f>
        <v/>
      </c>
      <c r="N247" s="12">
        <f>IF($A247="","",_xll.BDP($A247&amp;" Corp","PX_LAST"))</f>
        <v/>
      </c>
      <c r="O247" s="12">
        <f>IF($A247="","",_xll.BDP($A247&amp;" Corp","YAS_BOND_YLD","YAS_YLD_FLAG=15"))</f>
        <v/>
      </c>
      <c r="P247" s="12">
        <f>IF($A247="","",_xll.BDP($A247&amp;" Corp","YAS_MOD_DUR"))</f>
        <v/>
      </c>
      <c r="Q247" s="13">
        <f>IF($A247="","",_xll.BDP($A247&amp;" Corp","YAS_OAS_SPRD"))</f>
        <v/>
      </c>
      <c r="R247" s="13">
        <f>IF($A247="","",_xll.BDP($A247&amp;" Corp","YAS_OAS_SPRD","SETTLE_DT",$B$2))</f>
        <v/>
      </c>
      <c r="S247" s="14">
        <f>IF($A247="","",IF(OR(NOT(ISNUMBER($Q247)),NOT(ISNUMBER($R247))),"",$Q247-$R247))</f>
        <v/>
      </c>
      <c r="T247" s="12">
        <f>IF($A247="","",_xll.BDP($A247&amp;" Corp","YAS_BOND_YLD","YAS_YLD_FLAG=15","SETTLE_DT",$B$2))</f>
        <v/>
      </c>
      <c r="U247" s="15">
        <f>IF($A247="","",IF(OR(NOT(ISNUMBER($O247)),NOT(ISNUMBER($T247))),"",$O247-$T247))</f>
        <v/>
      </c>
      <c r="V247" s="13">
        <f>IF(NOT(ISNUMBER($S247)),"",COUNTIFS($G$7:$G$850,$G247,$S$7:$S$850,"&gt;"&amp;$S247)+COUNTIFS($G$7:$G247,$G247,$S$7:$S247,$S247))</f>
        <v/>
      </c>
      <c r="W247" s="13">
        <f>IF(NOT(ISNUMBER($S247)),"",COUNTIFS($G$7:$G$850,$G247,$S$7:$S$850,"&lt;"&amp;$S247)+COUNTIFS($G$7:$G247,$G247,$S$7:$S247,$S247))</f>
        <v/>
      </c>
      <c r="X247" s="8">
        <f>IF($V247="","",$G247&amp;"|"&amp;$V247)</f>
        <v/>
      </c>
      <c r="Y247" s="8">
        <f>IF($W247="","",$G247&amp;"|"&amp;$W247)</f>
        <v/>
      </c>
    </row>
    <row r="248">
      <c r="A248" s="16" t="inlineStr">
        <is>
          <t>CH1244319450</t>
        </is>
      </c>
      <c r="B248" s="17">
        <f>IF($A248="","",PROPER(_xll.BDP($A248&amp;" Corp","NAME")))</f>
        <v/>
      </c>
      <c r="C248" s="17">
        <f>IF($A248="","",IFERROR(INDEX(Company_desc!$B$2:$B$1144,MATCH($A248,Company_desc!$A$2:$A$1144,0)),IFERROR(INDEX(SYZ_static!$Q$2:$Q$806,MATCH($A248,SYZ_static!$A$2:$A$806,0)),"")))</f>
        <v/>
      </c>
      <c r="D248" s="17">
        <f>IF($A248="","",IFERROR(INDEX(SYZ_static!$B$2:$B$806,MATCH($A248,SYZ_static!$A$2:$A$806,0)),""))</f>
        <v/>
      </c>
      <c r="E248" s="17">
        <f>IF($A248="","",_xll.BDP($A248&amp;" Corp","INDUSTRY_SECTOR"))</f>
        <v/>
      </c>
      <c r="F248" s="17">
        <f>IF($A248="","",PROPER(_xll.BDP($A248&amp;" Corp","COUNTRY_FULL_NAME")))</f>
        <v/>
      </c>
      <c r="G248" s="17">
        <f>IF($A248="","",_xll.BDP($A248&amp;" Corp","CRNCY"))</f>
        <v/>
      </c>
      <c r="H248" s="17">
        <f>IF($A248="","",IFERROR(INDEX(SYZ_static!$T$2:$T$806,MATCH($A248,SYZ_static!$A$2:$A$806,0)),_xll.BDP($A248&amp;" Corp","RTG_SP")))</f>
        <v/>
      </c>
      <c r="I248" s="17">
        <f>IF($A248="","",IFERROR(INDEX(SYZ_static!$S$2:$S$806,MATCH($A248,SYZ_static!$A$2:$A$806,0)),""))</f>
        <v/>
      </c>
      <c r="J248" s="17">
        <f>IF($A248="","",_xll.BDP($A248&amp;" Corp","PAYMENT_RANK"))</f>
        <v/>
      </c>
      <c r="K248" s="18">
        <f>IF($A248="","",_xll.BDP($A248&amp;" Corp","CPN"))</f>
        <v/>
      </c>
      <c r="L248" s="19">
        <f>IF($A248="","",_xll.BDP($A248&amp;" Corp","MATURITY"))</f>
        <v/>
      </c>
      <c r="M248" s="20">
        <f>IF($A248="","",IFERROR(_xll.BDP($A248&amp;" Corp","MIN_PIECE")/1000,""))</f>
        <v/>
      </c>
      <c r="N248" s="21">
        <f>IF($A248="","",_xll.BDP($A248&amp;" Corp","PX_LAST"))</f>
        <v/>
      </c>
      <c r="O248" s="21">
        <f>IF($A248="","",_xll.BDP($A248&amp;" Corp","YAS_BOND_YLD","YAS_YLD_FLAG=15"))</f>
        <v/>
      </c>
      <c r="P248" s="21">
        <f>IF($A248="","",_xll.BDP($A248&amp;" Corp","YAS_MOD_DUR"))</f>
        <v/>
      </c>
      <c r="Q248" s="22">
        <f>IF($A248="","",_xll.BDP($A248&amp;" Corp","YAS_OAS_SPRD"))</f>
        <v/>
      </c>
      <c r="R248" s="22">
        <f>IF($A248="","",_xll.BDP($A248&amp;" Corp","YAS_OAS_SPRD","SETTLE_DT",$B$2))</f>
        <v/>
      </c>
      <c r="S248" s="23">
        <f>IF($A248="","",IF(OR(NOT(ISNUMBER($Q248)),NOT(ISNUMBER($R248))),"",$Q248-$R248))</f>
        <v/>
      </c>
      <c r="T248" s="21">
        <f>IF($A248="","",_xll.BDP($A248&amp;" Corp","YAS_BOND_YLD","YAS_YLD_FLAG=15","SETTLE_DT",$B$2))</f>
        <v/>
      </c>
      <c r="U248" s="24">
        <f>IF($A248="","",IF(OR(NOT(ISNUMBER($O248)),NOT(ISNUMBER($T248))),"",$O248-$T248))</f>
        <v/>
      </c>
      <c r="V248" s="22">
        <f>IF(NOT(ISNUMBER($S248)),"",COUNTIFS($G$7:$G$850,$G248,$S$7:$S$850,"&gt;"&amp;$S248)+COUNTIFS($G$7:$G248,$G248,$S$7:$S248,$S248))</f>
        <v/>
      </c>
      <c r="W248" s="22">
        <f>IF(NOT(ISNUMBER($S248)),"",COUNTIFS($G$7:$G$850,$G248,$S$7:$S$850,"&lt;"&amp;$S248)+COUNTIFS($G$7:$G248,$G248,$S$7:$S248,$S248))</f>
        <v/>
      </c>
      <c r="X248" s="17">
        <f>IF($V248="","",$G248&amp;"|"&amp;$V248)</f>
        <v/>
      </c>
      <c r="Y248" s="17">
        <f>IF($W248="","",$G248&amp;"|"&amp;$W248)</f>
        <v/>
      </c>
    </row>
    <row r="249">
      <c r="A249" s="7" t="inlineStr">
        <is>
          <t>US65535HBK41</t>
        </is>
      </c>
      <c r="B249" s="8">
        <f>IF($A249="","",PROPER(_xll.BDP($A249&amp;" Corp","NAME")))</f>
        <v/>
      </c>
      <c r="C249" s="8">
        <f>IF($A249="","",IFERROR(INDEX(Company_desc!$B$2:$B$1144,MATCH($A249,Company_desc!$A$2:$A$1144,0)),IFERROR(INDEX(SYZ_static!$Q$2:$Q$806,MATCH($A249,SYZ_static!$A$2:$A$806,0)),"")))</f>
        <v/>
      </c>
      <c r="D249" s="8">
        <f>IF($A249="","",IFERROR(INDEX(SYZ_static!$B$2:$B$806,MATCH($A249,SYZ_static!$A$2:$A$806,0)),""))</f>
        <v/>
      </c>
      <c r="E249" s="8">
        <f>IF($A249="","",_xll.BDP($A249&amp;" Corp","INDUSTRY_SECTOR"))</f>
        <v/>
      </c>
      <c r="F249" s="8">
        <f>IF($A249="","",PROPER(_xll.BDP($A249&amp;" Corp","COUNTRY_FULL_NAME")))</f>
        <v/>
      </c>
      <c r="G249" s="8">
        <f>IF($A249="","",_xll.BDP($A249&amp;" Corp","CRNCY"))</f>
        <v/>
      </c>
      <c r="H249" s="8">
        <f>IF($A249="","",IFERROR(INDEX(SYZ_static!$T$2:$T$806,MATCH($A249,SYZ_static!$A$2:$A$806,0)),_xll.BDP($A249&amp;" Corp","RTG_SP")))</f>
        <v/>
      </c>
      <c r="I249" s="8">
        <f>IF($A249="","",IFERROR(INDEX(SYZ_static!$S$2:$S$806,MATCH($A249,SYZ_static!$A$2:$A$806,0)),""))</f>
        <v/>
      </c>
      <c r="J249" s="8">
        <f>IF($A249="","",_xll.BDP($A249&amp;" Corp","PAYMENT_RANK"))</f>
        <v/>
      </c>
      <c r="K249" s="9">
        <f>IF($A249="","",_xll.BDP($A249&amp;" Corp","CPN"))</f>
        <v/>
      </c>
      <c r="L249" s="10">
        <f>IF($A249="","",_xll.BDP($A249&amp;" Corp","MATURITY"))</f>
        <v/>
      </c>
      <c r="M249" s="11">
        <f>IF($A249="","",IFERROR(_xll.BDP($A249&amp;" Corp","MIN_PIECE")/1000,""))</f>
        <v/>
      </c>
      <c r="N249" s="12">
        <f>IF($A249="","",_xll.BDP($A249&amp;" Corp","PX_LAST"))</f>
        <v/>
      </c>
      <c r="O249" s="12">
        <f>IF($A249="","",_xll.BDP($A249&amp;" Corp","YAS_BOND_YLD","YAS_YLD_FLAG=15"))</f>
        <v/>
      </c>
      <c r="P249" s="12">
        <f>IF($A249="","",_xll.BDP($A249&amp;" Corp","YAS_MOD_DUR"))</f>
        <v/>
      </c>
      <c r="Q249" s="13">
        <f>IF($A249="","",_xll.BDP($A249&amp;" Corp","YAS_OAS_SPRD"))</f>
        <v/>
      </c>
      <c r="R249" s="13">
        <f>IF($A249="","",_xll.BDP($A249&amp;" Corp","YAS_OAS_SPRD","SETTLE_DT",$B$2))</f>
        <v/>
      </c>
      <c r="S249" s="14">
        <f>IF($A249="","",IF(OR(NOT(ISNUMBER($Q249)),NOT(ISNUMBER($R249))),"",$Q249-$R249))</f>
        <v/>
      </c>
      <c r="T249" s="12">
        <f>IF($A249="","",_xll.BDP($A249&amp;" Corp","YAS_BOND_YLD","YAS_YLD_FLAG=15","SETTLE_DT",$B$2))</f>
        <v/>
      </c>
      <c r="U249" s="15">
        <f>IF($A249="","",IF(OR(NOT(ISNUMBER($O249)),NOT(ISNUMBER($T249))),"",$O249-$T249))</f>
        <v/>
      </c>
      <c r="V249" s="13">
        <f>IF(NOT(ISNUMBER($S249)),"",COUNTIFS($G$7:$G$850,$G249,$S$7:$S$850,"&gt;"&amp;$S249)+COUNTIFS($G$7:$G249,$G249,$S$7:$S249,$S249))</f>
        <v/>
      </c>
      <c r="W249" s="13">
        <f>IF(NOT(ISNUMBER($S249)),"",COUNTIFS($G$7:$G$850,$G249,$S$7:$S$850,"&lt;"&amp;$S249)+COUNTIFS($G$7:$G249,$G249,$S$7:$S249,$S249))</f>
        <v/>
      </c>
      <c r="X249" s="8">
        <f>IF($V249="","",$G249&amp;"|"&amp;$V249)</f>
        <v/>
      </c>
      <c r="Y249" s="8">
        <f>IF($W249="","",$G249&amp;"|"&amp;$W249)</f>
        <v/>
      </c>
    </row>
    <row r="250">
      <c r="A250" s="16" t="inlineStr">
        <is>
          <t>USY5257YAJ65</t>
        </is>
      </c>
      <c r="B250" s="17">
        <f>IF($A250="","",PROPER(_xll.BDP($A250&amp;" Corp","NAME")))</f>
        <v/>
      </c>
      <c r="C250" s="17">
        <f>IF($A250="","",IFERROR(INDEX(Company_desc!$B$2:$B$1144,MATCH($A250,Company_desc!$A$2:$A$1144,0)),IFERROR(INDEX(SYZ_static!$Q$2:$Q$806,MATCH($A250,SYZ_static!$A$2:$A$806,0)),"")))</f>
        <v/>
      </c>
      <c r="D250" s="17">
        <f>IF($A250="","",IFERROR(INDEX(SYZ_static!$B$2:$B$806,MATCH($A250,SYZ_static!$A$2:$A$806,0)),""))</f>
        <v/>
      </c>
      <c r="E250" s="17">
        <f>IF($A250="","",_xll.BDP($A250&amp;" Corp","INDUSTRY_SECTOR"))</f>
        <v/>
      </c>
      <c r="F250" s="17">
        <f>IF($A250="","",PROPER(_xll.BDP($A250&amp;" Corp","COUNTRY_FULL_NAME")))</f>
        <v/>
      </c>
      <c r="G250" s="17">
        <f>IF($A250="","",_xll.BDP($A250&amp;" Corp","CRNCY"))</f>
        <v/>
      </c>
      <c r="H250" s="17">
        <f>IF($A250="","",IFERROR(INDEX(SYZ_static!$T$2:$T$806,MATCH($A250,SYZ_static!$A$2:$A$806,0)),_xll.BDP($A250&amp;" Corp","RTG_SP")))</f>
        <v/>
      </c>
      <c r="I250" s="17">
        <f>IF($A250="","",IFERROR(INDEX(SYZ_static!$S$2:$S$806,MATCH($A250,SYZ_static!$A$2:$A$806,0)),""))</f>
        <v/>
      </c>
      <c r="J250" s="17">
        <f>IF($A250="","",_xll.BDP($A250&amp;" Corp","PAYMENT_RANK"))</f>
        <v/>
      </c>
      <c r="K250" s="18">
        <f>IF($A250="","",_xll.BDP($A250&amp;" Corp","CPN"))</f>
        <v/>
      </c>
      <c r="L250" s="19">
        <f>IF($A250="","",_xll.BDP($A250&amp;" Corp","MATURITY"))</f>
        <v/>
      </c>
      <c r="M250" s="20">
        <f>IF($A250="","",IFERROR(_xll.BDP($A250&amp;" Corp","MIN_PIECE")/1000,""))</f>
        <v/>
      </c>
      <c r="N250" s="21">
        <f>IF($A250="","",_xll.BDP($A250&amp;" Corp","PX_LAST"))</f>
        <v/>
      </c>
      <c r="O250" s="21">
        <f>IF($A250="","",_xll.BDP($A250&amp;" Corp","YAS_BOND_YLD","YAS_YLD_FLAG=15"))</f>
        <v/>
      </c>
      <c r="P250" s="21">
        <f>IF($A250="","",_xll.BDP($A250&amp;" Corp","YAS_MOD_DUR"))</f>
        <v/>
      </c>
      <c r="Q250" s="22">
        <f>IF($A250="","",_xll.BDP($A250&amp;" Corp","YAS_OAS_SPRD"))</f>
        <v/>
      </c>
      <c r="R250" s="22">
        <f>IF($A250="","",_xll.BDP($A250&amp;" Corp","YAS_OAS_SPRD","SETTLE_DT",$B$2))</f>
        <v/>
      </c>
      <c r="S250" s="23">
        <f>IF($A250="","",IF(OR(NOT(ISNUMBER($Q250)),NOT(ISNUMBER($R250))),"",$Q250-$R250))</f>
        <v/>
      </c>
      <c r="T250" s="21">
        <f>IF($A250="","",_xll.BDP($A250&amp;" Corp","YAS_BOND_YLD","YAS_YLD_FLAG=15","SETTLE_DT",$B$2))</f>
        <v/>
      </c>
      <c r="U250" s="24">
        <f>IF($A250="","",IF(OR(NOT(ISNUMBER($O250)),NOT(ISNUMBER($T250))),"",$O250-$T250))</f>
        <v/>
      </c>
      <c r="V250" s="22">
        <f>IF(NOT(ISNUMBER($S250)),"",COUNTIFS($G$7:$G$850,$G250,$S$7:$S$850,"&gt;"&amp;$S250)+COUNTIFS($G$7:$G250,$G250,$S$7:$S250,$S250))</f>
        <v/>
      </c>
      <c r="W250" s="22">
        <f>IF(NOT(ISNUMBER($S250)),"",COUNTIFS($G$7:$G$850,$G250,$S$7:$S$850,"&lt;"&amp;$S250)+COUNTIFS($G$7:$G250,$G250,$S$7:$S250,$S250))</f>
        <v/>
      </c>
      <c r="X250" s="17">
        <f>IF($V250="","",$G250&amp;"|"&amp;$V250)</f>
        <v/>
      </c>
      <c r="Y250" s="17">
        <f>IF($W250="","",$G250&amp;"|"&amp;$W250)</f>
        <v/>
      </c>
    </row>
    <row r="251">
      <c r="A251" s="7" t="inlineStr">
        <is>
          <t>US74736KAH41</t>
        </is>
      </c>
      <c r="B251" s="8">
        <f>IF($A251="","",PROPER(_xll.BDP($A251&amp;" Corp","NAME")))</f>
        <v/>
      </c>
      <c r="C251" s="8">
        <f>IF($A251="","",IFERROR(INDEX(Company_desc!$B$2:$B$1144,MATCH($A251,Company_desc!$A$2:$A$1144,0)),IFERROR(INDEX(SYZ_static!$Q$2:$Q$806,MATCH($A251,SYZ_static!$A$2:$A$806,0)),"")))</f>
        <v/>
      </c>
      <c r="D251" s="8">
        <f>IF($A251="","",IFERROR(INDEX(SYZ_static!$B$2:$B$806,MATCH($A251,SYZ_static!$A$2:$A$806,0)),""))</f>
        <v/>
      </c>
      <c r="E251" s="8">
        <f>IF($A251="","",_xll.BDP($A251&amp;" Corp","INDUSTRY_SECTOR"))</f>
        <v/>
      </c>
      <c r="F251" s="8">
        <f>IF($A251="","",PROPER(_xll.BDP($A251&amp;" Corp","COUNTRY_FULL_NAME")))</f>
        <v/>
      </c>
      <c r="G251" s="8">
        <f>IF($A251="","",_xll.BDP($A251&amp;" Corp","CRNCY"))</f>
        <v/>
      </c>
      <c r="H251" s="8">
        <f>IF($A251="","",IFERROR(INDEX(SYZ_static!$T$2:$T$806,MATCH($A251,SYZ_static!$A$2:$A$806,0)),_xll.BDP($A251&amp;" Corp","RTG_SP")))</f>
        <v/>
      </c>
      <c r="I251" s="8">
        <f>IF($A251="","",IFERROR(INDEX(SYZ_static!$S$2:$S$806,MATCH($A251,SYZ_static!$A$2:$A$806,0)),""))</f>
        <v/>
      </c>
      <c r="J251" s="8">
        <f>IF($A251="","",_xll.BDP($A251&amp;" Corp","PAYMENT_RANK"))</f>
        <v/>
      </c>
      <c r="K251" s="9">
        <f>IF($A251="","",_xll.BDP($A251&amp;" Corp","CPN"))</f>
        <v/>
      </c>
      <c r="L251" s="10">
        <f>IF($A251="","",_xll.BDP($A251&amp;" Corp","MATURITY"))</f>
        <v/>
      </c>
      <c r="M251" s="11">
        <f>IF($A251="","",IFERROR(_xll.BDP($A251&amp;" Corp","MIN_PIECE")/1000,""))</f>
        <v/>
      </c>
      <c r="N251" s="12">
        <f>IF($A251="","",_xll.BDP($A251&amp;" Corp","PX_LAST"))</f>
        <v/>
      </c>
      <c r="O251" s="12">
        <f>IF($A251="","",_xll.BDP($A251&amp;" Corp","YAS_BOND_YLD","YAS_YLD_FLAG=15"))</f>
        <v/>
      </c>
      <c r="P251" s="12">
        <f>IF($A251="","",_xll.BDP($A251&amp;" Corp","YAS_MOD_DUR"))</f>
        <v/>
      </c>
      <c r="Q251" s="13">
        <f>IF($A251="","",_xll.BDP($A251&amp;" Corp","YAS_OAS_SPRD"))</f>
        <v/>
      </c>
      <c r="R251" s="13">
        <f>IF($A251="","",_xll.BDP($A251&amp;" Corp","YAS_OAS_SPRD","SETTLE_DT",$B$2))</f>
        <v/>
      </c>
      <c r="S251" s="14">
        <f>IF($A251="","",IF(OR(NOT(ISNUMBER($Q251)),NOT(ISNUMBER($R251))),"",$Q251-$R251))</f>
        <v/>
      </c>
      <c r="T251" s="12">
        <f>IF($A251="","",_xll.BDP($A251&amp;" Corp","YAS_BOND_YLD","YAS_YLD_FLAG=15","SETTLE_DT",$B$2))</f>
        <v/>
      </c>
      <c r="U251" s="15">
        <f>IF($A251="","",IF(OR(NOT(ISNUMBER($O251)),NOT(ISNUMBER($T251))),"",$O251-$T251))</f>
        <v/>
      </c>
      <c r="V251" s="13">
        <f>IF(NOT(ISNUMBER($S251)),"",COUNTIFS($G$7:$G$850,$G251,$S$7:$S$850,"&gt;"&amp;$S251)+COUNTIFS($G$7:$G251,$G251,$S$7:$S251,$S251))</f>
        <v/>
      </c>
      <c r="W251" s="13">
        <f>IF(NOT(ISNUMBER($S251)),"",COUNTIFS($G$7:$G$850,$G251,$S$7:$S$850,"&lt;"&amp;$S251)+COUNTIFS($G$7:$G251,$G251,$S$7:$S251,$S251))</f>
        <v/>
      </c>
      <c r="X251" s="8">
        <f>IF($V251="","",$G251&amp;"|"&amp;$V251)</f>
        <v/>
      </c>
      <c r="Y251" s="8">
        <f>IF($W251="","",$G251&amp;"|"&amp;$W251)</f>
        <v/>
      </c>
    </row>
    <row r="252">
      <c r="A252" s="16" t="inlineStr">
        <is>
          <t>FR0013447125</t>
        </is>
      </c>
      <c r="B252" s="17">
        <f>IF($A252="","",PROPER(_xll.BDP($A252&amp;" Corp","NAME")))</f>
        <v/>
      </c>
      <c r="C252" s="17">
        <f>IF($A252="","",IFERROR(INDEX(Company_desc!$B$2:$B$1144,MATCH($A252,Company_desc!$A$2:$A$1144,0)),IFERROR(INDEX(SYZ_static!$Q$2:$Q$806,MATCH($A252,SYZ_static!$A$2:$A$806,0)),"")))</f>
        <v/>
      </c>
      <c r="D252" s="17">
        <f>IF($A252="","",IFERROR(INDEX(SYZ_static!$B$2:$B$806,MATCH($A252,SYZ_static!$A$2:$A$806,0)),""))</f>
        <v/>
      </c>
      <c r="E252" s="17">
        <f>IF($A252="","",_xll.BDP($A252&amp;" Corp","INDUSTRY_SECTOR"))</f>
        <v/>
      </c>
      <c r="F252" s="17">
        <f>IF($A252="","",PROPER(_xll.BDP($A252&amp;" Corp","COUNTRY_FULL_NAME")))</f>
        <v/>
      </c>
      <c r="G252" s="17">
        <f>IF($A252="","",_xll.BDP($A252&amp;" Corp","CRNCY"))</f>
        <v/>
      </c>
      <c r="H252" s="17">
        <f>IF($A252="","",IFERROR(INDEX(SYZ_static!$T$2:$T$806,MATCH($A252,SYZ_static!$A$2:$A$806,0)),_xll.BDP($A252&amp;" Corp","RTG_SP")))</f>
        <v/>
      </c>
      <c r="I252" s="17">
        <f>IF($A252="","",IFERROR(INDEX(SYZ_static!$S$2:$S$806,MATCH($A252,SYZ_static!$A$2:$A$806,0)),""))</f>
        <v/>
      </c>
      <c r="J252" s="17">
        <f>IF($A252="","",_xll.BDP($A252&amp;" Corp","PAYMENT_RANK"))</f>
        <v/>
      </c>
      <c r="K252" s="18">
        <f>IF($A252="","",_xll.BDP($A252&amp;" Corp","CPN"))</f>
        <v/>
      </c>
      <c r="L252" s="19">
        <f>IF($A252="","",_xll.BDP($A252&amp;" Corp","MATURITY"))</f>
        <v/>
      </c>
      <c r="M252" s="20">
        <f>IF($A252="","",IFERROR(_xll.BDP($A252&amp;" Corp","MIN_PIECE")/1000,""))</f>
        <v/>
      </c>
      <c r="N252" s="21">
        <f>IF($A252="","",_xll.BDP($A252&amp;" Corp","PX_LAST"))</f>
        <v/>
      </c>
      <c r="O252" s="21">
        <f>IF($A252="","",_xll.BDP($A252&amp;" Corp","YAS_BOND_YLD","YAS_YLD_FLAG=15"))</f>
        <v/>
      </c>
      <c r="P252" s="21">
        <f>IF($A252="","",_xll.BDP($A252&amp;" Corp","YAS_MOD_DUR"))</f>
        <v/>
      </c>
      <c r="Q252" s="22">
        <f>IF($A252="","",_xll.BDP($A252&amp;" Corp","YAS_OAS_SPRD"))</f>
        <v/>
      </c>
      <c r="R252" s="22">
        <f>IF($A252="","",_xll.BDP($A252&amp;" Corp","YAS_OAS_SPRD","SETTLE_DT",$B$2))</f>
        <v/>
      </c>
      <c r="S252" s="23">
        <f>IF($A252="","",IF(OR(NOT(ISNUMBER($Q252)),NOT(ISNUMBER($R252))),"",$Q252-$R252))</f>
        <v/>
      </c>
      <c r="T252" s="21">
        <f>IF($A252="","",_xll.BDP($A252&amp;" Corp","YAS_BOND_YLD","YAS_YLD_FLAG=15","SETTLE_DT",$B$2))</f>
        <v/>
      </c>
      <c r="U252" s="24">
        <f>IF($A252="","",IF(OR(NOT(ISNUMBER($O252)),NOT(ISNUMBER($T252))),"",$O252-$T252))</f>
        <v/>
      </c>
      <c r="V252" s="22">
        <f>IF(NOT(ISNUMBER($S252)),"",COUNTIFS($G$7:$G$850,$G252,$S$7:$S$850,"&gt;"&amp;$S252)+COUNTIFS($G$7:$G252,$G252,$S$7:$S252,$S252))</f>
        <v/>
      </c>
      <c r="W252" s="22">
        <f>IF(NOT(ISNUMBER($S252)),"",COUNTIFS($G$7:$G$850,$G252,$S$7:$S$850,"&lt;"&amp;$S252)+COUNTIFS($G$7:$G252,$G252,$S$7:$S252,$S252))</f>
        <v/>
      </c>
      <c r="X252" s="17">
        <f>IF($V252="","",$G252&amp;"|"&amp;$V252)</f>
        <v/>
      </c>
      <c r="Y252" s="17">
        <f>IF($W252="","",$G252&amp;"|"&amp;$W252)</f>
        <v/>
      </c>
    </row>
    <row r="253">
      <c r="A253" s="7" t="inlineStr">
        <is>
          <t>XS2403428472</t>
        </is>
      </c>
      <c r="B253" s="8">
        <f>IF($A253="","",PROPER(_xll.BDP($A253&amp;" Corp","NAME")))</f>
        <v/>
      </c>
      <c r="C253" s="8">
        <f>IF($A253="","",IFERROR(INDEX(Company_desc!$B$2:$B$1144,MATCH($A253,Company_desc!$A$2:$A$1144,0)),IFERROR(INDEX(SYZ_static!$Q$2:$Q$806,MATCH($A253,SYZ_static!$A$2:$A$806,0)),"")))</f>
        <v/>
      </c>
      <c r="D253" s="8">
        <f>IF($A253="","",IFERROR(INDEX(SYZ_static!$B$2:$B$806,MATCH($A253,SYZ_static!$A$2:$A$806,0)),""))</f>
        <v/>
      </c>
      <c r="E253" s="8">
        <f>IF($A253="","",_xll.BDP($A253&amp;" Corp","INDUSTRY_SECTOR"))</f>
        <v/>
      </c>
      <c r="F253" s="8">
        <f>IF($A253="","",PROPER(_xll.BDP($A253&amp;" Corp","COUNTRY_FULL_NAME")))</f>
        <v/>
      </c>
      <c r="G253" s="8">
        <f>IF($A253="","",_xll.BDP($A253&amp;" Corp","CRNCY"))</f>
        <v/>
      </c>
      <c r="H253" s="8">
        <f>IF($A253="","",IFERROR(INDEX(SYZ_static!$T$2:$T$806,MATCH($A253,SYZ_static!$A$2:$A$806,0)),_xll.BDP($A253&amp;" Corp","RTG_SP")))</f>
        <v/>
      </c>
      <c r="I253" s="8">
        <f>IF($A253="","",IFERROR(INDEX(SYZ_static!$S$2:$S$806,MATCH($A253,SYZ_static!$A$2:$A$806,0)),""))</f>
        <v/>
      </c>
      <c r="J253" s="8">
        <f>IF($A253="","",_xll.BDP($A253&amp;" Corp","PAYMENT_RANK"))</f>
        <v/>
      </c>
      <c r="K253" s="9">
        <f>IF($A253="","",_xll.BDP($A253&amp;" Corp","CPN"))</f>
        <v/>
      </c>
      <c r="L253" s="10">
        <f>IF($A253="","",_xll.BDP($A253&amp;" Corp","MATURITY"))</f>
        <v/>
      </c>
      <c r="M253" s="11">
        <f>IF($A253="","",IFERROR(_xll.BDP($A253&amp;" Corp","MIN_PIECE")/1000,""))</f>
        <v/>
      </c>
      <c r="N253" s="12">
        <f>IF($A253="","",_xll.BDP($A253&amp;" Corp","PX_LAST"))</f>
        <v/>
      </c>
      <c r="O253" s="12">
        <f>IF($A253="","",_xll.BDP($A253&amp;" Corp","YAS_BOND_YLD","YAS_YLD_FLAG=15"))</f>
        <v/>
      </c>
      <c r="P253" s="12">
        <f>IF($A253="","",_xll.BDP($A253&amp;" Corp","YAS_MOD_DUR"))</f>
        <v/>
      </c>
      <c r="Q253" s="13">
        <f>IF($A253="","",_xll.BDP($A253&amp;" Corp","YAS_OAS_SPRD"))</f>
        <v/>
      </c>
      <c r="R253" s="13">
        <f>IF($A253="","",_xll.BDP($A253&amp;" Corp","YAS_OAS_SPRD","SETTLE_DT",$B$2))</f>
        <v/>
      </c>
      <c r="S253" s="14">
        <f>IF($A253="","",IF(OR(NOT(ISNUMBER($Q253)),NOT(ISNUMBER($R253))),"",$Q253-$R253))</f>
        <v/>
      </c>
      <c r="T253" s="12">
        <f>IF($A253="","",_xll.BDP($A253&amp;" Corp","YAS_BOND_YLD","YAS_YLD_FLAG=15","SETTLE_DT",$B$2))</f>
        <v/>
      </c>
      <c r="U253" s="15">
        <f>IF($A253="","",IF(OR(NOT(ISNUMBER($O253)),NOT(ISNUMBER($T253))),"",$O253-$T253))</f>
        <v/>
      </c>
      <c r="V253" s="13">
        <f>IF(NOT(ISNUMBER($S253)),"",COUNTIFS($G$7:$G$850,$G253,$S$7:$S$850,"&gt;"&amp;$S253)+COUNTIFS($G$7:$G253,$G253,$S$7:$S253,$S253))</f>
        <v/>
      </c>
      <c r="W253" s="13">
        <f>IF(NOT(ISNUMBER($S253)),"",COUNTIFS($G$7:$G$850,$G253,$S$7:$S$850,"&lt;"&amp;$S253)+COUNTIFS($G$7:$G253,$G253,$S$7:$S253,$S253))</f>
        <v/>
      </c>
      <c r="X253" s="8">
        <f>IF($V253="","",$G253&amp;"|"&amp;$V253)</f>
        <v/>
      </c>
      <c r="Y253" s="8">
        <f>IF($W253="","",$G253&amp;"|"&amp;$W253)</f>
        <v/>
      </c>
    </row>
    <row r="254">
      <c r="A254" s="16" t="inlineStr">
        <is>
          <t>XS2304340693</t>
        </is>
      </c>
      <c r="B254" s="17">
        <f>IF($A254="","",PROPER(_xll.BDP($A254&amp;" Corp","NAME")))</f>
        <v/>
      </c>
      <c r="C254" s="17">
        <f>IF($A254="","",IFERROR(INDEX(Company_desc!$B$2:$B$1144,MATCH($A254,Company_desc!$A$2:$A$1144,0)),IFERROR(INDEX(SYZ_static!$Q$2:$Q$806,MATCH($A254,SYZ_static!$A$2:$A$806,0)),"")))</f>
        <v/>
      </c>
      <c r="D254" s="17">
        <f>IF($A254="","",IFERROR(INDEX(SYZ_static!$B$2:$B$806,MATCH($A254,SYZ_static!$A$2:$A$806,0)),""))</f>
        <v/>
      </c>
      <c r="E254" s="17">
        <f>IF($A254="","",_xll.BDP($A254&amp;" Corp","INDUSTRY_SECTOR"))</f>
        <v/>
      </c>
      <c r="F254" s="17">
        <f>IF($A254="","",PROPER(_xll.BDP($A254&amp;" Corp","COUNTRY_FULL_NAME")))</f>
        <v/>
      </c>
      <c r="G254" s="17">
        <f>IF($A254="","",_xll.BDP($A254&amp;" Corp","CRNCY"))</f>
        <v/>
      </c>
      <c r="H254" s="17">
        <f>IF($A254="","",IFERROR(INDEX(SYZ_static!$T$2:$T$806,MATCH($A254,SYZ_static!$A$2:$A$806,0)),_xll.BDP($A254&amp;" Corp","RTG_SP")))</f>
        <v/>
      </c>
      <c r="I254" s="17">
        <f>IF($A254="","",IFERROR(INDEX(SYZ_static!$S$2:$S$806,MATCH($A254,SYZ_static!$A$2:$A$806,0)),""))</f>
        <v/>
      </c>
      <c r="J254" s="17">
        <f>IF($A254="","",_xll.BDP($A254&amp;" Corp","PAYMENT_RANK"))</f>
        <v/>
      </c>
      <c r="K254" s="18">
        <f>IF($A254="","",_xll.BDP($A254&amp;" Corp","CPN"))</f>
        <v/>
      </c>
      <c r="L254" s="19">
        <f>IF($A254="","",_xll.BDP($A254&amp;" Corp","MATURITY"))</f>
        <v/>
      </c>
      <c r="M254" s="20">
        <f>IF($A254="","",IFERROR(_xll.BDP($A254&amp;" Corp","MIN_PIECE")/1000,""))</f>
        <v/>
      </c>
      <c r="N254" s="21">
        <f>IF($A254="","",_xll.BDP($A254&amp;" Corp","PX_LAST"))</f>
        <v/>
      </c>
      <c r="O254" s="21">
        <f>IF($A254="","",_xll.BDP($A254&amp;" Corp","YAS_BOND_YLD","YAS_YLD_FLAG=15"))</f>
        <v/>
      </c>
      <c r="P254" s="21">
        <f>IF($A254="","",_xll.BDP($A254&amp;" Corp","YAS_MOD_DUR"))</f>
        <v/>
      </c>
      <c r="Q254" s="22">
        <f>IF($A254="","",_xll.BDP($A254&amp;" Corp","YAS_OAS_SPRD"))</f>
        <v/>
      </c>
      <c r="R254" s="22">
        <f>IF($A254="","",_xll.BDP($A254&amp;" Corp","YAS_OAS_SPRD","SETTLE_DT",$B$2))</f>
        <v/>
      </c>
      <c r="S254" s="23">
        <f>IF($A254="","",IF(OR(NOT(ISNUMBER($Q254)),NOT(ISNUMBER($R254))),"",$Q254-$R254))</f>
        <v/>
      </c>
      <c r="T254" s="21">
        <f>IF($A254="","",_xll.BDP($A254&amp;" Corp","YAS_BOND_YLD","YAS_YLD_FLAG=15","SETTLE_DT",$B$2))</f>
        <v/>
      </c>
      <c r="U254" s="24">
        <f>IF($A254="","",IF(OR(NOT(ISNUMBER($O254)),NOT(ISNUMBER($T254))),"",$O254-$T254))</f>
        <v/>
      </c>
      <c r="V254" s="22">
        <f>IF(NOT(ISNUMBER($S254)),"",COUNTIFS($G$7:$G$850,$G254,$S$7:$S$850,"&gt;"&amp;$S254)+COUNTIFS($G$7:$G254,$G254,$S$7:$S254,$S254))</f>
        <v/>
      </c>
      <c r="W254" s="22">
        <f>IF(NOT(ISNUMBER($S254)),"",COUNTIFS($G$7:$G$850,$G254,$S$7:$S$850,"&lt;"&amp;$S254)+COUNTIFS($G$7:$G254,$G254,$S$7:$S254,$S254))</f>
        <v/>
      </c>
      <c r="X254" s="17">
        <f>IF($V254="","",$G254&amp;"|"&amp;$V254)</f>
        <v/>
      </c>
      <c r="Y254" s="17">
        <f>IF($W254="","",$G254&amp;"|"&amp;$W254)</f>
        <v/>
      </c>
    </row>
    <row r="255">
      <c r="A255" s="7" t="inlineStr">
        <is>
          <t>US74947MAE21</t>
        </is>
      </c>
      <c r="B255" s="8">
        <f>IF($A255="","",PROPER(_xll.BDP($A255&amp;" Corp","NAME")))</f>
        <v/>
      </c>
      <c r="C255" s="8">
        <f>IF($A255="","",IFERROR(INDEX(Company_desc!$B$2:$B$1144,MATCH($A255,Company_desc!$A$2:$A$1144,0)),IFERROR(INDEX(SYZ_static!$Q$2:$Q$806,MATCH($A255,SYZ_static!$A$2:$A$806,0)),"")))</f>
        <v/>
      </c>
      <c r="D255" s="8">
        <f>IF($A255="","",IFERROR(INDEX(SYZ_static!$B$2:$B$806,MATCH($A255,SYZ_static!$A$2:$A$806,0)),""))</f>
        <v/>
      </c>
      <c r="E255" s="8">
        <f>IF($A255="","",_xll.BDP($A255&amp;" Corp","INDUSTRY_SECTOR"))</f>
        <v/>
      </c>
      <c r="F255" s="8">
        <f>IF($A255="","",PROPER(_xll.BDP($A255&amp;" Corp","COUNTRY_FULL_NAME")))</f>
        <v/>
      </c>
      <c r="G255" s="8">
        <f>IF($A255="","",_xll.BDP($A255&amp;" Corp","CRNCY"))</f>
        <v/>
      </c>
      <c r="H255" s="8">
        <f>IF($A255="","",IFERROR(INDEX(SYZ_static!$T$2:$T$806,MATCH($A255,SYZ_static!$A$2:$A$806,0)),_xll.BDP($A255&amp;" Corp","RTG_SP")))</f>
        <v/>
      </c>
      <c r="I255" s="8">
        <f>IF($A255="","",IFERROR(INDEX(SYZ_static!$S$2:$S$806,MATCH($A255,SYZ_static!$A$2:$A$806,0)),""))</f>
        <v/>
      </c>
      <c r="J255" s="8">
        <f>IF($A255="","",_xll.BDP($A255&amp;" Corp","PAYMENT_RANK"))</f>
        <v/>
      </c>
      <c r="K255" s="9">
        <f>IF($A255="","",_xll.BDP($A255&amp;" Corp","CPN"))</f>
        <v/>
      </c>
      <c r="L255" s="10">
        <f>IF($A255="","",_xll.BDP($A255&amp;" Corp","MATURITY"))</f>
        <v/>
      </c>
      <c r="M255" s="11">
        <f>IF($A255="","",IFERROR(_xll.BDP($A255&amp;" Corp","MIN_PIECE")/1000,""))</f>
        <v/>
      </c>
      <c r="N255" s="12">
        <f>IF($A255="","",_xll.BDP($A255&amp;" Corp","PX_LAST"))</f>
        <v/>
      </c>
      <c r="O255" s="12">
        <f>IF($A255="","",_xll.BDP($A255&amp;" Corp","YAS_BOND_YLD","YAS_YLD_FLAG=15"))</f>
        <v/>
      </c>
      <c r="P255" s="12">
        <f>IF($A255="","",_xll.BDP($A255&amp;" Corp","YAS_MOD_DUR"))</f>
        <v/>
      </c>
      <c r="Q255" s="13">
        <f>IF($A255="","",_xll.BDP($A255&amp;" Corp","YAS_OAS_SPRD"))</f>
        <v/>
      </c>
      <c r="R255" s="13">
        <f>IF($A255="","",_xll.BDP($A255&amp;" Corp","YAS_OAS_SPRD","SETTLE_DT",$B$2))</f>
        <v/>
      </c>
      <c r="S255" s="14">
        <f>IF($A255="","",IF(OR(NOT(ISNUMBER($Q255)),NOT(ISNUMBER($R255))),"",$Q255-$R255))</f>
        <v/>
      </c>
      <c r="T255" s="12">
        <f>IF($A255="","",_xll.BDP($A255&amp;" Corp","YAS_BOND_YLD","YAS_YLD_FLAG=15","SETTLE_DT",$B$2))</f>
        <v/>
      </c>
      <c r="U255" s="15">
        <f>IF($A255="","",IF(OR(NOT(ISNUMBER($O255)),NOT(ISNUMBER($T255))),"",$O255-$T255))</f>
        <v/>
      </c>
      <c r="V255" s="13">
        <f>IF(NOT(ISNUMBER($S255)),"",COUNTIFS($G$7:$G$850,$G255,$S$7:$S$850,"&gt;"&amp;$S255)+COUNTIFS($G$7:$G255,$G255,$S$7:$S255,$S255))</f>
        <v/>
      </c>
      <c r="W255" s="13">
        <f>IF(NOT(ISNUMBER($S255)),"",COUNTIFS($G$7:$G$850,$G255,$S$7:$S$850,"&lt;"&amp;$S255)+COUNTIFS($G$7:$G255,$G255,$S$7:$S255,$S255))</f>
        <v/>
      </c>
      <c r="X255" s="8">
        <f>IF($V255="","",$G255&amp;"|"&amp;$V255)</f>
        <v/>
      </c>
      <c r="Y255" s="8">
        <f>IF($W255="","",$G255&amp;"|"&amp;$W255)</f>
        <v/>
      </c>
    </row>
    <row r="256">
      <c r="A256" s="16" t="inlineStr">
        <is>
          <t>CH1159841340</t>
        </is>
      </c>
      <c r="B256" s="17">
        <f>IF($A256="","",PROPER(_xll.BDP($A256&amp;" Corp","NAME")))</f>
        <v/>
      </c>
      <c r="C256" s="17">
        <f>IF($A256="","",IFERROR(INDEX(Company_desc!$B$2:$B$1144,MATCH($A256,Company_desc!$A$2:$A$1144,0)),IFERROR(INDEX(SYZ_static!$Q$2:$Q$806,MATCH($A256,SYZ_static!$A$2:$A$806,0)),"")))</f>
        <v/>
      </c>
      <c r="D256" s="17">
        <f>IF($A256="","",IFERROR(INDEX(SYZ_static!$B$2:$B$806,MATCH($A256,SYZ_static!$A$2:$A$806,0)),""))</f>
        <v/>
      </c>
      <c r="E256" s="17">
        <f>IF($A256="","",_xll.BDP($A256&amp;" Corp","INDUSTRY_SECTOR"))</f>
        <v/>
      </c>
      <c r="F256" s="17">
        <f>IF($A256="","",PROPER(_xll.BDP($A256&amp;" Corp","COUNTRY_FULL_NAME")))</f>
        <v/>
      </c>
      <c r="G256" s="17">
        <f>IF($A256="","",_xll.BDP($A256&amp;" Corp","CRNCY"))</f>
        <v/>
      </c>
      <c r="H256" s="17">
        <f>IF($A256="","",IFERROR(INDEX(SYZ_static!$T$2:$T$806,MATCH($A256,SYZ_static!$A$2:$A$806,0)),_xll.BDP($A256&amp;" Corp","RTG_SP")))</f>
        <v/>
      </c>
      <c r="I256" s="17">
        <f>IF($A256="","",IFERROR(INDEX(SYZ_static!$S$2:$S$806,MATCH($A256,SYZ_static!$A$2:$A$806,0)),""))</f>
        <v/>
      </c>
      <c r="J256" s="17">
        <f>IF($A256="","",_xll.BDP($A256&amp;" Corp","PAYMENT_RANK"))</f>
        <v/>
      </c>
      <c r="K256" s="18">
        <f>IF($A256="","",_xll.BDP($A256&amp;" Corp","CPN"))</f>
        <v/>
      </c>
      <c r="L256" s="19">
        <f>IF($A256="","",_xll.BDP($A256&amp;" Corp","MATURITY"))</f>
        <v/>
      </c>
      <c r="M256" s="20">
        <f>IF($A256="","",IFERROR(_xll.BDP($A256&amp;" Corp","MIN_PIECE")/1000,""))</f>
        <v/>
      </c>
      <c r="N256" s="21">
        <f>IF($A256="","",_xll.BDP($A256&amp;" Corp","PX_LAST"))</f>
        <v/>
      </c>
      <c r="O256" s="21">
        <f>IF($A256="","",_xll.BDP($A256&amp;" Corp","YAS_BOND_YLD","YAS_YLD_FLAG=15"))</f>
        <v/>
      </c>
      <c r="P256" s="21">
        <f>IF($A256="","",_xll.BDP($A256&amp;" Corp","YAS_MOD_DUR"))</f>
        <v/>
      </c>
      <c r="Q256" s="22">
        <f>IF($A256="","",_xll.BDP($A256&amp;" Corp","YAS_OAS_SPRD"))</f>
        <v/>
      </c>
      <c r="R256" s="22">
        <f>IF($A256="","",_xll.BDP($A256&amp;" Corp","YAS_OAS_SPRD","SETTLE_DT",$B$2))</f>
        <v/>
      </c>
      <c r="S256" s="23">
        <f>IF($A256="","",IF(OR(NOT(ISNUMBER($Q256)),NOT(ISNUMBER($R256))),"",$Q256-$R256))</f>
        <v/>
      </c>
      <c r="T256" s="21">
        <f>IF($A256="","",_xll.BDP($A256&amp;" Corp","YAS_BOND_YLD","YAS_YLD_FLAG=15","SETTLE_DT",$B$2))</f>
        <v/>
      </c>
      <c r="U256" s="24">
        <f>IF($A256="","",IF(OR(NOT(ISNUMBER($O256)),NOT(ISNUMBER($T256))),"",$O256-$T256))</f>
        <v/>
      </c>
      <c r="V256" s="22">
        <f>IF(NOT(ISNUMBER($S256)),"",COUNTIFS($G$7:$G$850,$G256,$S$7:$S$850,"&gt;"&amp;$S256)+COUNTIFS($G$7:$G256,$G256,$S$7:$S256,$S256))</f>
        <v/>
      </c>
      <c r="W256" s="22">
        <f>IF(NOT(ISNUMBER($S256)),"",COUNTIFS($G$7:$G$850,$G256,$S$7:$S$850,"&lt;"&amp;$S256)+COUNTIFS($G$7:$G256,$G256,$S$7:$S256,$S256))</f>
        <v/>
      </c>
      <c r="X256" s="17">
        <f>IF($V256="","",$G256&amp;"|"&amp;$V256)</f>
        <v/>
      </c>
      <c r="Y256" s="17">
        <f>IF($W256="","",$G256&amp;"|"&amp;$W256)</f>
        <v/>
      </c>
    </row>
    <row r="257">
      <c r="A257" s="7" t="inlineStr">
        <is>
          <t>USU57619AG08</t>
        </is>
      </c>
      <c r="B257" s="8">
        <f>IF($A257="","",PROPER(_xll.BDP($A257&amp;" Corp","NAME")))</f>
        <v/>
      </c>
      <c r="C257" s="8">
        <f>IF($A257="","",IFERROR(INDEX(Company_desc!$B$2:$B$1144,MATCH($A257,Company_desc!$A$2:$A$1144,0)),IFERROR(INDEX(SYZ_static!$Q$2:$Q$806,MATCH($A257,SYZ_static!$A$2:$A$806,0)),"")))</f>
        <v/>
      </c>
      <c r="D257" s="8">
        <f>IF($A257="","",IFERROR(INDEX(SYZ_static!$B$2:$B$806,MATCH($A257,SYZ_static!$A$2:$A$806,0)),""))</f>
        <v/>
      </c>
      <c r="E257" s="8">
        <f>IF($A257="","",_xll.BDP($A257&amp;" Corp","INDUSTRY_SECTOR"))</f>
        <v/>
      </c>
      <c r="F257" s="8">
        <f>IF($A257="","",PROPER(_xll.BDP($A257&amp;" Corp","COUNTRY_FULL_NAME")))</f>
        <v/>
      </c>
      <c r="G257" s="8">
        <f>IF($A257="","",_xll.BDP($A257&amp;" Corp","CRNCY"))</f>
        <v/>
      </c>
      <c r="H257" s="8">
        <f>IF($A257="","",IFERROR(INDEX(SYZ_static!$T$2:$T$806,MATCH($A257,SYZ_static!$A$2:$A$806,0)),_xll.BDP($A257&amp;" Corp","RTG_SP")))</f>
        <v/>
      </c>
      <c r="I257" s="8">
        <f>IF($A257="","",IFERROR(INDEX(SYZ_static!$S$2:$S$806,MATCH($A257,SYZ_static!$A$2:$A$806,0)),""))</f>
        <v/>
      </c>
      <c r="J257" s="8">
        <f>IF($A257="","",_xll.BDP($A257&amp;" Corp","PAYMENT_RANK"))</f>
        <v/>
      </c>
      <c r="K257" s="9">
        <f>IF($A257="","",_xll.BDP($A257&amp;" Corp","CPN"))</f>
        <v/>
      </c>
      <c r="L257" s="10">
        <f>IF($A257="","",_xll.BDP($A257&amp;" Corp","MATURITY"))</f>
        <v/>
      </c>
      <c r="M257" s="11">
        <f>IF($A257="","",IFERROR(_xll.BDP($A257&amp;" Corp","MIN_PIECE")/1000,""))</f>
        <v/>
      </c>
      <c r="N257" s="12">
        <f>IF($A257="","",_xll.BDP($A257&amp;" Corp","PX_LAST"))</f>
        <v/>
      </c>
      <c r="O257" s="12">
        <f>IF($A257="","",_xll.BDP($A257&amp;" Corp","YAS_BOND_YLD","YAS_YLD_FLAG=15"))</f>
        <v/>
      </c>
      <c r="P257" s="12">
        <f>IF($A257="","",_xll.BDP($A257&amp;" Corp","YAS_MOD_DUR"))</f>
        <v/>
      </c>
      <c r="Q257" s="13">
        <f>IF($A257="","",_xll.BDP($A257&amp;" Corp","YAS_OAS_SPRD"))</f>
        <v/>
      </c>
      <c r="R257" s="13">
        <f>IF($A257="","",_xll.BDP($A257&amp;" Corp","YAS_OAS_SPRD","SETTLE_DT",$B$2))</f>
        <v/>
      </c>
      <c r="S257" s="14">
        <f>IF($A257="","",IF(OR(NOT(ISNUMBER($Q257)),NOT(ISNUMBER($R257))),"",$Q257-$R257))</f>
        <v/>
      </c>
      <c r="T257" s="12">
        <f>IF($A257="","",_xll.BDP($A257&amp;" Corp","YAS_BOND_YLD","YAS_YLD_FLAG=15","SETTLE_DT",$B$2))</f>
        <v/>
      </c>
      <c r="U257" s="15">
        <f>IF($A257="","",IF(OR(NOT(ISNUMBER($O257)),NOT(ISNUMBER($T257))),"",$O257-$T257))</f>
        <v/>
      </c>
      <c r="V257" s="13">
        <f>IF(NOT(ISNUMBER($S257)),"",COUNTIFS($G$7:$G$850,$G257,$S$7:$S$850,"&gt;"&amp;$S257)+COUNTIFS($G$7:$G257,$G257,$S$7:$S257,$S257))</f>
        <v/>
      </c>
      <c r="W257" s="13">
        <f>IF(NOT(ISNUMBER($S257)),"",COUNTIFS($G$7:$G$850,$G257,$S$7:$S$850,"&lt;"&amp;$S257)+COUNTIFS($G$7:$G257,$G257,$S$7:$S257,$S257))</f>
        <v/>
      </c>
      <c r="X257" s="8">
        <f>IF($V257="","",$G257&amp;"|"&amp;$V257)</f>
        <v/>
      </c>
      <c r="Y257" s="8">
        <f>IF($W257="","",$G257&amp;"|"&amp;$W257)</f>
        <v/>
      </c>
    </row>
    <row r="258">
      <c r="A258" s="16" t="inlineStr">
        <is>
          <t>US46647PEV40</t>
        </is>
      </c>
      <c r="B258" s="17">
        <f>IF($A258="","",PROPER(_xll.BDP($A258&amp;" Corp","NAME")))</f>
        <v/>
      </c>
      <c r="C258" s="17">
        <f>IF($A258="","",IFERROR(INDEX(Company_desc!$B$2:$B$1144,MATCH($A258,Company_desc!$A$2:$A$1144,0)),IFERROR(INDEX(SYZ_static!$Q$2:$Q$806,MATCH($A258,SYZ_static!$A$2:$A$806,0)),"")))</f>
        <v/>
      </c>
      <c r="D258" s="17">
        <f>IF($A258="","",IFERROR(INDEX(SYZ_static!$B$2:$B$806,MATCH($A258,SYZ_static!$A$2:$A$806,0)),""))</f>
        <v/>
      </c>
      <c r="E258" s="17">
        <f>IF($A258="","",_xll.BDP($A258&amp;" Corp","INDUSTRY_SECTOR"))</f>
        <v/>
      </c>
      <c r="F258" s="17">
        <f>IF($A258="","",PROPER(_xll.BDP($A258&amp;" Corp","COUNTRY_FULL_NAME")))</f>
        <v/>
      </c>
      <c r="G258" s="17">
        <f>IF($A258="","",_xll.BDP($A258&amp;" Corp","CRNCY"))</f>
        <v/>
      </c>
      <c r="H258" s="17">
        <f>IF($A258="","",IFERROR(INDEX(SYZ_static!$T$2:$T$806,MATCH($A258,SYZ_static!$A$2:$A$806,0)),_xll.BDP($A258&amp;" Corp","RTG_SP")))</f>
        <v/>
      </c>
      <c r="I258" s="17">
        <f>IF($A258="","",IFERROR(INDEX(SYZ_static!$S$2:$S$806,MATCH($A258,SYZ_static!$A$2:$A$806,0)),""))</f>
        <v/>
      </c>
      <c r="J258" s="17">
        <f>IF($A258="","",_xll.BDP($A258&amp;" Corp","PAYMENT_RANK"))</f>
        <v/>
      </c>
      <c r="K258" s="18">
        <f>IF($A258="","",_xll.BDP($A258&amp;" Corp","CPN"))</f>
        <v/>
      </c>
      <c r="L258" s="19">
        <f>IF($A258="","",_xll.BDP($A258&amp;" Corp","MATURITY"))</f>
        <v/>
      </c>
      <c r="M258" s="20">
        <f>IF($A258="","",IFERROR(_xll.BDP($A258&amp;" Corp","MIN_PIECE")/1000,""))</f>
        <v/>
      </c>
      <c r="N258" s="21">
        <f>IF($A258="","",_xll.BDP($A258&amp;" Corp","PX_LAST"))</f>
        <v/>
      </c>
      <c r="O258" s="21">
        <f>IF($A258="","",_xll.BDP($A258&amp;" Corp","YAS_BOND_YLD","YAS_YLD_FLAG=15"))</f>
        <v/>
      </c>
      <c r="P258" s="21">
        <f>IF($A258="","",_xll.BDP($A258&amp;" Corp","YAS_MOD_DUR"))</f>
        <v/>
      </c>
      <c r="Q258" s="22">
        <f>IF($A258="","",_xll.BDP($A258&amp;" Corp","YAS_OAS_SPRD"))</f>
        <v/>
      </c>
      <c r="R258" s="22">
        <f>IF($A258="","",_xll.BDP($A258&amp;" Corp","YAS_OAS_SPRD","SETTLE_DT",$B$2))</f>
        <v/>
      </c>
      <c r="S258" s="23">
        <f>IF($A258="","",IF(OR(NOT(ISNUMBER($Q258)),NOT(ISNUMBER($R258))),"",$Q258-$R258))</f>
        <v/>
      </c>
      <c r="T258" s="21">
        <f>IF($A258="","",_xll.BDP($A258&amp;" Corp","YAS_BOND_YLD","YAS_YLD_FLAG=15","SETTLE_DT",$B$2))</f>
        <v/>
      </c>
      <c r="U258" s="24">
        <f>IF($A258="","",IF(OR(NOT(ISNUMBER($O258)),NOT(ISNUMBER($T258))),"",$O258-$T258))</f>
        <v/>
      </c>
      <c r="V258" s="22">
        <f>IF(NOT(ISNUMBER($S258)),"",COUNTIFS($G$7:$G$850,$G258,$S$7:$S$850,"&gt;"&amp;$S258)+COUNTIFS($G$7:$G258,$G258,$S$7:$S258,$S258))</f>
        <v/>
      </c>
      <c r="W258" s="22">
        <f>IF(NOT(ISNUMBER($S258)),"",COUNTIFS($G$7:$G$850,$G258,$S$7:$S$850,"&lt;"&amp;$S258)+COUNTIFS($G$7:$G258,$G258,$S$7:$S258,$S258))</f>
        <v/>
      </c>
      <c r="X258" s="17">
        <f>IF($V258="","",$G258&amp;"|"&amp;$V258)</f>
        <v/>
      </c>
      <c r="Y258" s="17">
        <f>IF($W258="","",$G258&amp;"|"&amp;$W258)</f>
        <v/>
      </c>
    </row>
    <row r="259">
      <c r="A259" s="7" t="inlineStr">
        <is>
          <t>XS2597110027</t>
        </is>
      </c>
      <c r="B259" s="8">
        <f>IF($A259="","",PROPER(_xll.BDP($A259&amp;" Corp","NAME")))</f>
        <v/>
      </c>
      <c r="C259" s="8">
        <f>IF($A259="","",IFERROR(INDEX(Company_desc!$B$2:$B$1144,MATCH($A259,Company_desc!$A$2:$A$1144,0)),IFERROR(INDEX(SYZ_static!$Q$2:$Q$806,MATCH($A259,SYZ_static!$A$2:$A$806,0)),"")))</f>
        <v/>
      </c>
      <c r="D259" s="8">
        <f>IF($A259="","",IFERROR(INDEX(SYZ_static!$B$2:$B$806,MATCH($A259,SYZ_static!$A$2:$A$806,0)),""))</f>
        <v/>
      </c>
      <c r="E259" s="8">
        <f>IF($A259="","",_xll.BDP($A259&amp;" Corp","INDUSTRY_SECTOR"))</f>
        <v/>
      </c>
      <c r="F259" s="8">
        <f>IF($A259="","",PROPER(_xll.BDP($A259&amp;" Corp","COUNTRY_FULL_NAME")))</f>
        <v/>
      </c>
      <c r="G259" s="8">
        <f>IF($A259="","",_xll.BDP($A259&amp;" Corp","CRNCY"))</f>
        <v/>
      </c>
      <c r="H259" s="8">
        <f>IF($A259="","",IFERROR(INDEX(SYZ_static!$T$2:$T$806,MATCH($A259,SYZ_static!$A$2:$A$806,0)),_xll.BDP($A259&amp;" Corp","RTG_SP")))</f>
        <v/>
      </c>
      <c r="I259" s="8">
        <f>IF($A259="","",IFERROR(INDEX(SYZ_static!$S$2:$S$806,MATCH($A259,SYZ_static!$A$2:$A$806,0)),""))</f>
        <v/>
      </c>
      <c r="J259" s="8">
        <f>IF($A259="","",_xll.BDP($A259&amp;" Corp","PAYMENT_RANK"))</f>
        <v/>
      </c>
      <c r="K259" s="9">
        <f>IF($A259="","",_xll.BDP($A259&amp;" Corp","CPN"))</f>
        <v/>
      </c>
      <c r="L259" s="10">
        <f>IF($A259="","",_xll.BDP($A259&amp;" Corp","MATURITY"))</f>
        <v/>
      </c>
      <c r="M259" s="11">
        <f>IF($A259="","",IFERROR(_xll.BDP($A259&amp;" Corp","MIN_PIECE")/1000,""))</f>
        <v/>
      </c>
      <c r="N259" s="12">
        <f>IF($A259="","",_xll.BDP($A259&amp;" Corp","PX_LAST"))</f>
        <v/>
      </c>
      <c r="O259" s="12">
        <f>IF($A259="","",_xll.BDP($A259&amp;" Corp","YAS_BOND_YLD","YAS_YLD_FLAG=15"))</f>
        <v/>
      </c>
      <c r="P259" s="12">
        <f>IF($A259="","",_xll.BDP($A259&amp;" Corp","YAS_MOD_DUR"))</f>
        <v/>
      </c>
      <c r="Q259" s="13">
        <f>IF($A259="","",_xll.BDP($A259&amp;" Corp","YAS_OAS_SPRD"))</f>
        <v/>
      </c>
      <c r="R259" s="13">
        <f>IF($A259="","",_xll.BDP($A259&amp;" Corp","YAS_OAS_SPRD","SETTLE_DT",$B$2))</f>
        <v/>
      </c>
      <c r="S259" s="14">
        <f>IF($A259="","",IF(OR(NOT(ISNUMBER($Q259)),NOT(ISNUMBER($R259))),"",$Q259-$R259))</f>
        <v/>
      </c>
      <c r="T259" s="12">
        <f>IF($A259="","",_xll.BDP($A259&amp;" Corp","YAS_BOND_YLD","YAS_YLD_FLAG=15","SETTLE_DT",$B$2))</f>
        <v/>
      </c>
      <c r="U259" s="15">
        <f>IF($A259="","",IF(OR(NOT(ISNUMBER($O259)),NOT(ISNUMBER($T259))),"",$O259-$T259))</f>
        <v/>
      </c>
      <c r="V259" s="13">
        <f>IF(NOT(ISNUMBER($S259)),"",COUNTIFS($G$7:$G$850,$G259,$S$7:$S$850,"&gt;"&amp;$S259)+COUNTIFS($G$7:$G259,$G259,$S$7:$S259,$S259))</f>
        <v/>
      </c>
      <c r="W259" s="13">
        <f>IF(NOT(ISNUMBER($S259)),"",COUNTIFS($G$7:$G$850,$G259,$S$7:$S$850,"&lt;"&amp;$S259)+COUNTIFS($G$7:$G259,$G259,$S$7:$S259,$S259))</f>
        <v/>
      </c>
      <c r="X259" s="8">
        <f>IF($V259="","",$G259&amp;"|"&amp;$V259)</f>
        <v/>
      </c>
      <c r="Y259" s="8">
        <f>IF($W259="","",$G259&amp;"|"&amp;$W259)</f>
        <v/>
      </c>
    </row>
    <row r="260">
      <c r="A260" s="16" t="inlineStr">
        <is>
          <t>XS1732146938</t>
        </is>
      </c>
      <c r="B260" s="17">
        <f>IF($A260="","",PROPER(_xll.BDP($A260&amp;" Corp","NAME")))</f>
        <v/>
      </c>
      <c r="C260" s="17">
        <f>IF($A260="","",IFERROR(INDEX(Company_desc!$B$2:$B$1144,MATCH($A260,Company_desc!$A$2:$A$1144,0)),IFERROR(INDEX(SYZ_static!$Q$2:$Q$806,MATCH($A260,SYZ_static!$A$2:$A$806,0)),"")))</f>
        <v/>
      </c>
      <c r="D260" s="17">
        <f>IF($A260="","",IFERROR(INDEX(SYZ_static!$B$2:$B$806,MATCH($A260,SYZ_static!$A$2:$A$806,0)),""))</f>
        <v/>
      </c>
      <c r="E260" s="17">
        <f>IF($A260="","",_xll.BDP($A260&amp;" Corp","INDUSTRY_SECTOR"))</f>
        <v/>
      </c>
      <c r="F260" s="17">
        <f>IF($A260="","",PROPER(_xll.BDP($A260&amp;" Corp","COUNTRY_FULL_NAME")))</f>
        <v/>
      </c>
      <c r="G260" s="17">
        <f>IF($A260="","",_xll.BDP($A260&amp;" Corp","CRNCY"))</f>
        <v/>
      </c>
      <c r="H260" s="17">
        <f>IF($A260="","",IFERROR(INDEX(SYZ_static!$T$2:$T$806,MATCH($A260,SYZ_static!$A$2:$A$806,0)),_xll.BDP($A260&amp;" Corp","RTG_SP")))</f>
        <v/>
      </c>
      <c r="I260" s="17">
        <f>IF($A260="","",IFERROR(INDEX(SYZ_static!$S$2:$S$806,MATCH($A260,SYZ_static!$A$2:$A$806,0)),""))</f>
        <v/>
      </c>
      <c r="J260" s="17">
        <f>IF($A260="","",_xll.BDP($A260&amp;" Corp","PAYMENT_RANK"))</f>
        <v/>
      </c>
      <c r="K260" s="18">
        <f>IF($A260="","",_xll.BDP($A260&amp;" Corp","CPN"))</f>
        <v/>
      </c>
      <c r="L260" s="19">
        <f>IF($A260="","",_xll.BDP($A260&amp;" Corp","MATURITY"))</f>
        <v/>
      </c>
      <c r="M260" s="20">
        <f>IF($A260="","",IFERROR(_xll.BDP($A260&amp;" Corp","MIN_PIECE")/1000,""))</f>
        <v/>
      </c>
      <c r="N260" s="21">
        <f>IF($A260="","",_xll.BDP($A260&amp;" Corp","PX_LAST"))</f>
        <v/>
      </c>
      <c r="O260" s="21">
        <f>IF($A260="","",_xll.BDP($A260&amp;" Corp","YAS_BOND_YLD","YAS_YLD_FLAG=15"))</f>
        <v/>
      </c>
      <c r="P260" s="21">
        <f>IF($A260="","",_xll.BDP($A260&amp;" Corp","YAS_MOD_DUR"))</f>
        <v/>
      </c>
      <c r="Q260" s="22">
        <f>IF($A260="","",_xll.BDP($A260&amp;" Corp","YAS_OAS_SPRD"))</f>
        <v/>
      </c>
      <c r="R260" s="22">
        <f>IF($A260="","",_xll.BDP($A260&amp;" Corp","YAS_OAS_SPRD","SETTLE_DT",$B$2))</f>
        <v/>
      </c>
      <c r="S260" s="23">
        <f>IF($A260="","",IF(OR(NOT(ISNUMBER($Q260)),NOT(ISNUMBER($R260))),"",$Q260-$R260))</f>
        <v/>
      </c>
      <c r="T260" s="21">
        <f>IF($A260="","",_xll.BDP($A260&amp;" Corp","YAS_BOND_YLD","YAS_YLD_FLAG=15","SETTLE_DT",$B$2))</f>
        <v/>
      </c>
      <c r="U260" s="24">
        <f>IF($A260="","",IF(OR(NOT(ISNUMBER($O260)),NOT(ISNUMBER($T260))),"",$O260-$T260))</f>
        <v/>
      </c>
      <c r="V260" s="22">
        <f>IF(NOT(ISNUMBER($S260)),"",COUNTIFS($G$7:$G$850,$G260,$S$7:$S$850,"&gt;"&amp;$S260)+COUNTIFS($G$7:$G260,$G260,$S$7:$S260,$S260))</f>
        <v/>
      </c>
      <c r="W260" s="22">
        <f>IF(NOT(ISNUMBER($S260)),"",COUNTIFS($G$7:$G$850,$G260,$S$7:$S$850,"&lt;"&amp;$S260)+COUNTIFS($G$7:$G260,$G260,$S$7:$S260,$S260))</f>
        <v/>
      </c>
      <c r="X260" s="17">
        <f>IF($V260="","",$G260&amp;"|"&amp;$V260)</f>
        <v/>
      </c>
      <c r="Y260" s="17">
        <f>IF($W260="","",$G260&amp;"|"&amp;$W260)</f>
        <v/>
      </c>
    </row>
    <row r="261">
      <c r="A261" s="7" t="inlineStr">
        <is>
          <t>XS1047788523</t>
        </is>
      </c>
      <c r="B261" s="8">
        <f>IF($A261="","",PROPER(_xll.BDP($A261&amp;" Corp","NAME")))</f>
        <v/>
      </c>
      <c r="C261" s="8">
        <f>IF($A261="","",IFERROR(INDEX(Company_desc!$B$2:$B$1144,MATCH($A261,Company_desc!$A$2:$A$1144,0)),IFERROR(INDEX(SYZ_static!$Q$2:$Q$806,MATCH($A261,SYZ_static!$A$2:$A$806,0)),"")))</f>
        <v/>
      </c>
      <c r="D261" s="8">
        <f>IF($A261="","",IFERROR(INDEX(SYZ_static!$B$2:$B$806,MATCH($A261,SYZ_static!$A$2:$A$806,0)),""))</f>
        <v/>
      </c>
      <c r="E261" s="8">
        <f>IF($A261="","",_xll.BDP($A261&amp;" Corp","INDUSTRY_SECTOR"))</f>
        <v/>
      </c>
      <c r="F261" s="8">
        <f>IF($A261="","",PROPER(_xll.BDP($A261&amp;" Corp","COUNTRY_FULL_NAME")))</f>
        <v/>
      </c>
      <c r="G261" s="8">
        <f>IF($A261="","",_xll.BDP($A261&amp;" Corp","CRNCY"))</f>
        <v/>
      </c>
      <c r="H261" s="8">
        <f>IF($A261="","",IFERROR(INDEX(SYZ_static!$T$2:$T$806,MATCH($A261,SYZ_static!$A$2:$A$806,0)),_xll.BDP($A261&amp;" Corp","RTG_SP")))</f>
        <v/>
      </c>
      <c r="I261" s="8">
        <f>IF($A261="","",IFERROR(INDEX(SYZ_static!$S$2:$S$806,MATCH($A261,SYZ_static!$A$2:$A$806,0)),""))</f>
        <v/>
      </c>
      <c r="J261" s="8">
        <f>IF($A261="","",_xll.BDP($A261&amp;" Corp","PAYMENT_RANK"))</f>
        <v/>
      </c>
      <c r="K261" s="9">
        <f>IF($A261="","",_xll.BDP($A261&amp;" Corp","CPN"))</f>
        <v/>
      </c>
      <c r="L261" s="10">
        <f>IF($A261="","",_xll.BDP($A261&amp;" Corp","MATURITY"))</f>
        <v/>
      </c>
      <c r="M261" s="11">
        <f>IF($A261="","",IFERROR(_xll.BDP($A261&amp;" Corp","MIN_PIECE")/1000,""))</f>
        <v/>
      </c>
      <c r="N261" s="12">
        <f>IF($A261="","",_xll.BDP($A261&amp;" Corp","PX_LAST"))</f>
        <v/>
      </c>
      <c r="O261" s="12">
        <f>IF($A261="","",_xll.BDP($A261&amp;" Corp","YAS_BOND_YLD","YAS_YLD_FLAG=15"))</f>
        <v/>
      </c>
      <c r="P261" s="12">
        <f>IF($A261="","",_xll.BDP($A261&amp;" Corp","YAS_MOD_DUR"))</f>
        <v/>
      </c>
      <c r="Q261" s="13">
        <f>IF($A261="","",_xll.BDP($A261&amp;" Corp","YAS_OAS_SPRD"))</f>
        <v/>
      </c>
      <c r="R261" s="13">
        <f>IF($A261="","",_xll.BDP($A261&amp;" Corp","YAS_OAS_SPRD","SETTLE_DT",$B$2))</f>
        <v/>
      </c>
      <c r="S261" s="14">
        <f>IF($A261="","",IF(OR(NOT(ISNUMBER($Q261)),NOT(ISNUMBER($R261))),"",$Q261-$R261))</f>
        <v/>
      </c>
      <c r="T261" s="12">
        <f>IF($A261="","",_xll.BDP($A261&amp;" Corp","YAS_BOND_YLD","YAS_YLD_FLAG=15","SETTLE_DT",$B$2))</f>
        <v/>
      </c>
      <c r="U261" s="15">
        <f>IF($A261="","",IF(OR(NOT(ISNUMBER($O261)),NOT(ISNUMBER($T261))),"",$O261-$T261))</f>
        <v/>
      </c>
      <c r="V261" s="13">
        <f>IF(NOT(ISNUMBER($S261)),"",COUNTIFS($G$7:$G$850,$G261,$S$7:$S$850,"&gt;"&amp;$S261)+COUNTIFS($G$7:$G261,$G261,$S$7:$S261,$S261))</f>
        <v/>
      </c>
      <c r="W261" s="13">
        <f>IF(NOT(ISNUMBER($S261)),"",COUNTIFS($G$7:$G$850,$G261,$S$7:$S$850,"&lt;"&amp;$S261)+COUNTIFS($G$7:$G261,$G261,$S$7:$S261,$S261))</f>
        <v/>
      </c>
      <c r="X261" s="8">
        <f>IF($V261="","",$G261&amp;"|"&amp;$V261)</f>
        <v/>
      </c>
      <c r="Y261" s="8">
        <f>IF($W261="","",$G261&amp;"|"&amp;$W261)</f>
        <v/>
      </c>
    </row>
    <row r="262">
      <c r="A262" s="16" t="inlineStr">
        <is>
          <t>US46514BRA79</t>
        </is>
      </c>
      <c r="B262" s="17">
        <f>IF($A262="","",PROPER(_xll.BDP($A262&amp;" Corp","NAME")))</f>
        <v/>
      </c>
      <c r="C262" s="17">
        <f>IF($A262="","",IFERROR(INDEX(Company_desc!$B$2:$B$1144,MATCH($A262,Company_desc!$A$2:$A$1144,0)),IFERROR(INDEX(SYZ_static!$Q$2:$Q$806,MATCH($A262,SYZ_static!$A$2:$A$806,0)),"")))</f>
        <v/>
      </c>
      <c r="D262" s="17">
        <f>IF($A262="","",IFERROR(INDEX(SYZ_static!$B$2:$B$806,MATCH($A262,SYZ_static!$A$2:$A$806,0)),""))</f>
        <v/>
      </c>
      <c r="E262" s="17">
        <f>IF($A262="","",_xll.BDP($A262&amp;" Corp","INDUSTRY_SECTOR"))</f>
        <v/>
      </c>
      <c r="F262" s="17">
        <f>IF($A262="","",PROPER(_xll.BDP($A262&amp;" Corp","COUNTRY_FULL_NAME")))</f>
        <v/>
      </c>
      <c r="G262" s="17">
        <f>IF($A262="","",_xll.BDP($A262&amp;" Corp","CRNCY"))</f>
        <v/>
      </c>
      <c r="H262" s="17">
        <f>IF($A262="","",IFERROR(INDEX(SYZ_static!$T$2:$T$806,MATCH($A262,SYZ_static!$A$2:$A$806,0)),_xll.BDP($A262&amp;" Corp","RTG_SP")))</f>
        <v/>
      </c>
      <c r="I262" s="17">
        <f>IF($A262="","",IFERROR(INDEX(SYZ_static!$S$2:$S$806,MATCH($A262,SYZ_static!$A$2:$A$806,0)),""))</f>
        <v/>
      </c>
      <c r="J262" s="17">
        <f>IF($A262="","",_xll.BDP($A262&amp;" Corp","PAYMENT_RANK"))</f>
        <v/>
      </c>
      <c r="K262" s="18">
        <f>IF($A262="","",_xll.BDP($A262&amp;" Corp","CPN"))</f>
        <v/>
      </c>
      <c r="L262" s="19">
        <f>IF($A262="","",_xll.BDP($A262&amp;" Corp","MATURITY"))</f>
        <v/>
      </c>
      <c r="M262" s="20">
        <f>IF($A262="","",IFERROR(_xll.BDP($A262&amp;" Corp","MIN_PIECE")/1000,""))</f>
        <v/>
      </c>
      <c r="N262" s="21">
        <f>IF($A262="","",_xll.BDP($A262&amp;" Corp","PX_LAST"))</f>
        <v/>
      </c>
      <c r="O262" s="21">
        <f>IF($A262="","",_xll.BDP($A262&amp;" Corp","YAS_BOND_YLD","YAS_YLD_FLAG=15"))</f>
        <v/>
      </c>
      <c r="P262" s="21">
        <f>IF($A262="","",_xll.BDP($A262&amp;" Corp","YAS_MOD_DUR"))</f>
        <v/>
      </c>
      <c r="Q262" s="22">
        <f>IF($A262="","",_xll.BDP($A262&amp;" Corp","YAS_OAS_SPRD"))</f>
        <v/>
      </c>
      <c r="R262" s="22">
        <f>IF($A262="","",_xll.BDP($A262&amp;" Corp","YAS_OAS_SPRD","SETTLE_DT",$B$2))</f>
        <v/>
      </c>
      <c r="S262" s="23">
        <f>IF($A262="","",IF(OR(NOT(ISNUMBER($Q262)),NOT(ISNUMBER($R262))),"",$Q262-$R262))</f>
        <v/>
      </c>
      <c r="T262" s="21">
        <f>IF($A262="","",_xll.BDP($A262&amp;" Corp","YAS_BOND_YLD","YAS_YLD_FLAG=15","SETTLE_DT",$B$2))</f>
        <v/>
      </c>
      <c r="U262" s="24">
        <f>IF($A262="","",IF(OR(NOT(ISNUMBER($O262)),NOT(ISNUMBER($T262))),"",$O262-$T262))</f>
        <v/>
      </c>
      <c r="V262" s="22">
        <f>IF(NOT(ISNUMBER($S262)),"",COUNTIFS($G$7:$G$850,$G262,$S$7:$S$850,"&gt;"&amp;$S262)+COUNTIFS($G$7:$G262,$G262,$S$7:$S262,$S262))</f>
        <v/>
      </c>
      <c r="W262" s="22">
        <f>IF(NOT(ISNUMBER($S262)),"",COUNTIFS($G$7:$G$850,$G262,$S$7:$S$850,"&lt;"&amp;$S262)+COUNTIFS($G$7:$G262,$G262,$S$7:$S262,$S262))</f>
        <v/>
      </c>
      <c r="X262" s="17">
        <f>IF($V262="","",$G262&amp;"|"&amp;$V262)</f>
        <v/>
      </c>
      <c r="Y262" s="17">
        <f>IF($W262="","",$G262&amp;"|"&amp;$W262)</f>
        <v/>
      </c>
    </row>
    <row r="263">
      <c r="A263" s="7" t="inlineStr">
        <is>
          <t>XS2793255162</t>
        </is>
      </c>
      <c r="B263" s="8">
        <f>IF($A263="","",PROPER(_xll.BDP($A263&amp;" Corp","NAME")))</f>
        <v/>
      </c>
      <c r="C263" s="8">
        <f>IF($A263="","",IFERROR(INDEX(Company_desc!$B$2:$B$1144,MATCH($A263,Company_desc!$A$2:$A$1144,0)),IFERROR(INDEX(SYZ_static!$Q$2:$Q$806,MATCH($A263,SYZ_static!$A$2:$A$806,0)),"")))</f>
        <v/>
      </c>
      <c r="D263" s="8">
        <f>IF($A263="","",IFERROR(INDEX(SYZ_static!$B$2:$B$806,MATCH($A263,SYZ_static!$A$2:$A$806,0)),""))</f>
        <v/>
      </c>
      <c r="E263" s="8">
        <f>IF($A263="","",_xll.BDP($A263&amp;" Corp","INDUSTRY_SECTOR"))</f>
        <v/>
      </c>
      <c r="F263" s="8">
        <f>IF($A263="","",PROPER(_xll.BDP($A263&amp;" Corp","COUNTRY_FULL_NAME")))</f>
        <v/>
      </c>
      <c r="G263" s="8">
        <f>IF($A263="","",_xll.BDP($A263&amp;" Corp","CRNCY"))</f>
        <v/>
      </c>
      <c r="H263" s="8">
        <f>IF($A263="","",IFERROR(INDEX(SYZ_static!$T$2:$T$806,MATCH($A263,SYZ_static!$A$2:$A$806,0)),_xll.BDP($A263&amp;" Corp","RTG_SP")))</f>
        <v/>
      </c>
      <c r="I263" s="8">
        <f>IF($A263="","",IFERROR(INDEX(SYZ_static!$S$2:$S$806,MATCH($A263,SYZ_static!$A$2:$A$806,0)),""))</f>
        <v/>
      </c>
      <c r="J263" s="8">
        <f>IF($A263="","",_xll.BDP($A263&amp;" Corp","PAYMENT_RANK"))</f>
        <v/>
      </c>
      <c r="K263" s="9">
        <f>IF($A263="","",_xll.BDP($A263&amp;" Corp","CPN"))</f>
        <v/>
      </c>
      <c r="L263" s="10">
        <f>IF($A263="","",_xll.BDP($A263&amp;" Corp","MATURITY"))</f>
        <v/>
      </c>
      <c r="M263" s="11">
        <f>IF($A263="","",IFERROR(_xll.BDP($A263&amp;" Corp","MIN_PIECE")/1000,""))</f>
        <v/>
      </c>
      <c r="N263" s="12">
        <f>IF($A263="","",_xll.BDP($A263&amp;" Corp","PX_LAST"))</f>
        <v/>
      </c>
      <c r="O263" s="12">
        <f>IF($A263="","",_xll.BDP($A263&amp;" Corp","YAS_BOND_YLD","YAS_YLD_FLAG=15"))</f>
        <v/>
      </c>
      <c r="P263" s="12">
        <f>IF($A263="","",_xll.BDP($A263&amp;" Corp","YAS_MOD_DUR"))</f>
        <v/>
      </c>
      <c r="Q263" s="13">
        <f>IF($A263="","",_xll.BDP($A263&amp;" Corp","YAS_OAS_SPRD"))</f>
        <v/>
      </c>
      <c r="R263" s="13">
        <f>IF($A263="","",_xll.BDP($A263&amp;" Corp","YAS_OAS_SPRD","SETTLE_DT",$B$2))</f>
        <v/>
      </c>
      <c r="S263" s="14">
        <f>IF($A263="","",IF(OR(NOT(ISNUMBER($Q263)),NOT(ISNUMBER($R263))),"",$Q263-$R263))</f>
        <v/>
      </c>
      <c r="T263" s="12">
        <f>IF($A263="","",_xll.BDP($A263&amp;" Corp","YAS_BOND_YLD","YAS_YLD_FLAG=15","SETTLE_DT",$B$2))</f>
        <v/>
      </c>
      <c r="U263" s="15">
        <f>IF($A263="","",IF(OR(NOT(ISNUMBER($O263)),NOT(ISNUMBER($T263))),"",$O263-$T263))</f>
        <v/>
      </c>
      <c r="V263" s="13">
        <f>IF(NOT(ISNUMBER($S263)),"",COUNTIFS($G$7:$G$850,$G263,$S$7:$S$850,"&gt;"&amp;$S263)+COUNTIFS($G$7:$G263,$G263,$S$7:$S263,$S263))</f>
        <v/>
      </c>
      <c r="W263" s="13">
        <f>IF(NOT(ISNUMBER($S263)),"",COUNTIFS($G$7:$G$850,$G263,$S$7:$S$850,"&lt;"&amp;$S263)+COUNTIFS($G$7:$G263,$G263,$S$7:$S263,$S263))</f>
        <v/>
      </c>
      <c r="X263" s="8">
        <f>IF($V263="","",$G263&amp;"|"&amp;$V263)</f>
        <v/>
      </c>
      <c r="Y263" s="8">
        <f>IF($W263="","",$G263&amp;"|"&amp;$W263)</f>
        <v/>
      </c>
    </row>
    <row r="264">
      <c r="A264" s="16" t="inlineStr">
        <is>
          <t>XS2024535036</t>
        </is>
      </c>
      <c r="B264" s="17">
        <f>IF($A264="","",PROPER(_xll.BDP($A264&amp;" Corp","NAME")))</f>
        <v/>
      </c>
      <c r="C264" s="17">
        <f>IF($A264="","",IFERROR(INDEX(Company_desc!$B$2:$B$1144,MATCH($A264,Company_desc!$A$2:$A$1144,0)),IFERROR(INDEX(SYZ_static!$Q$2:$Q$806,MATCH($A264,SYZ_static!$A$2:$A$806,0)),"")))</f>
        <v/>
      </c>
      <c r="D264" s="17">
        <f>IF($A264="","",IFERROR(INDEX(SYZ_static!$B$2:$B$806,MATCH($A264,SYZ_static!$A$2:$A$806,0)),""))</f>
        <v/>
      </c>
      <c r="E264" s="17">
        <f>IF($A264="","",_xll.BDP($A264&amp;" Corp","INDUSTRY_SECTOR"))</f>
        <v/>
      </c>
      <c r="F264" s="17">
        <f>IF($A264="","",PROPER(_xll.BDP($A264&amp;" Corp","COUNTRY_FULL_NAME")))</f>
        <v/>
      </c>
      <c r="G264" s="17">
        <f>IF($A264="","",_xll.BDP($A264&amp;" Corp","CRNCY"))</f>
        <v/>
      </c>
      <c r="H264" s="17">
        <f>IF($A264="","",IFERROR(INDEX(SYZ_static!$T$2:$T$806,MATCH($A264,SYZ_static!$A$2:$A$806,0)),_xll.BDP($A264&amp;" Corp","RTG_SP")))</f>
        <v/>
      </c>
      <c r="I264" s="17">
        <f>IF($A264="","",IFERROR(INDEX(SYZ_static!$S$2:$S$806,MATCH($A264,SYZ_static!$A$2:$A$806,0)),""))</f>
        <v/>
      </c>
      <c r="J264" s="17">
        <f>IF($A264="","",_xll.BDP($A264&amp;" Corp","PAYMENT_RANK"))</f>
        <v/>
      </c>
      <c r="K264" s="18">
        <f>IF($A264="","",_xll.BDP($A264&amp;" Corp","CPN"))</f>
        <v/>
      </c>
      <c r="L264" s="19">
        <f>IF($A264="","",_xll.BDP($A264&amp;" Corp","MATURITY"))</f>
        <v/>
      </c>
      <c r="M264" s="20">
        <f>IF($A264="","",IFERROR(_xll.BDP($A264&amp;" Corp","MIN_PIECE")/1000,""))</f>
        <v/>
      </c>
      <c r="N264" s="21">
        <f>IF($A264="","",_xll.BDP($A264&amp;" Corp","PX_LAST"))</f>
        <v/>
      </c>
      <c r="O264" s="21">
        <f>IF($A264="","",_xll.BDP($A264&amp;" Corp","YAS_BOND_YLD","YAS_YLD_FLAG=15"))</f>
        <v/>
      </c>
      <c r="P264" s="21">
        <f>IF($A264="","",_xll.BDP($A264&amp;" Corp","YAS_MOD_DUR"))</f>
        <v/>
      </c>
      <c r="Q264" s="22">
        <f>IF($A264="","",_xll.BDP($A264&amp;" Corp","YAS_OAS_SPRD"))</f>
        <v/>
      </c>
      <c r="R264" s="22">
        <f>IF($A264="","",_xll.BDP($A264&amp;" Corp","YAS_OAS_SPRD","SETTLE_DT",$B$2))</f>
        <v/>
      </c>
      <c r="S264" s="23">
        <f>IF($A264="","",IF(OR(NOT(ISNUMBER($Q264)),NOT(ISNUMBER($R264))),"",$Q264-$R264))</f>
        <v/>
      </c>
      <c r="T264" s="21">
        <f>IF($A264="","",_xll.BDP($A264&amp;" Corp","YAS_BOND_YLD","YAS_YLD_FLAG=15","SETTLE_DT",$B$2))</f>
        <v/>
      </c>
      <c r="U264" s="24">
        <f>IF($A264="","",IF(OR(NOT(ISNUMBER($O264)),NOT(ISNUMBER($T264))),"",$O264-$T264))</f>
        <v/>
      </c>
      <c r="V264" s="22">
        <f>IF(NOT(ISNUMBER($S264)),"",COUNTIFS($G$7:$G$850,$G264,$S$7:$S$850,"&gt;"&amp;$S264)+COUNTIFS($G$7:$G264,$G264,$S$7:$S264,$S264))</f>
        <v/>
      </c>
      <c r="W264" s="22">
        <f>IF(NOT(ISNUMBER($S264)),"",COUNTIFS($G$7:$G$850,$G264,$S$7:$S$850,"&lt;"&amp;$S264)+COUNTIFS($G$7:$G264,$G264,$S$7:$S264,$S264))</f>
        <v/>
      </c>
      <c r="X264" s="17">
        <f>IF($V264="","",$G264&amp;"|"&amp;$V264)</f>
        <v/>
      </c>
      <c r="Y264" s="17">
        <f>IF($W264="","",$G264&amp;"|"&amp;$W264)</f>
        <v/>
      </c>
    </row>
    <row r="265">
      <c r="A265" s="7" t="inlineStr">
        <is>
          <t>CH1291809916</t>
        </is>
      </c>
      <c r="B265" s="8">
        <f>IF($A265="","",PROPER(_xll.BDP($A265&amp;" Corp","NAME")))</f>
        <v/>
      </c>
      <c r="C265" s="8">
        <f>IF($A265="","",IFERROR(INDEX(Company_desc!$B$2:$B$1144,MATCH($A265,Company_desc!$A$2:$A$1144,0)),IFERROR(INDEX(SYZ_static!$Q$2:$Q$806,MATCH($A265,SYZ_static!$A$2:$A$806,0)),"")))</f>
        <v/>
      </c>
      <c r="D265" s="8">
        <f>IF($A265="","",IFERROR(INDEX(SYZ_static!$B$2:$B$806,MATCH($A265,SYZ_static!$A$2:$A$806,0)),""))</f>
        <v/>
      </c>
      <c r="E265" s="8">
        <f>IF($A265="","",_xll.BDP($A265&amp;" Corp","INDUSTRY_SECTOR"))</f>
        <v/>
      </c>
      <c r="F265" s="8">
        <f>IF($A265="","",PROPER(_xll.BDP($A265&amp;" Corp","COUNTRY_FULL_NAME")))</f>
        <v/>
      </c>
      <c r="G265" s="8">
        <f>IF($A265="","",_xll.BDP($A265&amp;" Corp","CRNCY"))</f>
        <v/>
      </c>
      <c r="H265" s="8">
        <f>IF($A265="","",IFERROR(INDEX(SYZ_static!$T$2:$T$806,MATCH($A265,SYZ_static!$A$2:$A$806,0)),_xll.BDP($A265&amp;" Corp","RTG_SP")))</f>
        <v/>
      </c>
      <c r="I265" s="8">
        <f>IF($A265="","",IFERROR(INDEX(SYZ_static!$S$2:$S$806,MATCH($A265,SYZ_static!$A$2:$A$806,0)),""))</f>
        <v/>
      </c>
      <c r="J265" s="8">
        <f>IF($A265="","",_xll.BDP($A265&amp;" Corp","PAYMENT_RANK"))</f>
        <v/>
      </c>
      <c r="K265" s="9">
        <f>IF($A265="","",_xll.BDP($A265&amp;" Corp","CPN"))</f>
        <v/>
      </c>
      <c r="L265" s="10">
        <f>IF($A265="","",_xll.BDP($A265&amp;" Corp","MATURITY"))</f>
        <v/>
      </c>
      <c r="M265" s="11">
        <f>IF($A265="","",IFERROR(_xll.BDP($A265&amp;" Corp","MIN_PIECE")/1000,""))</f>
        <v/>
      </c>
      <c r="N265" s="12">
        <f>IF($A265="","",_xll.BDP($A265&amp;" Corp","PX_LAST"))</f>
        <v/>
      </c>
      <c r="O265" s="12">
        <f>IF($A265="","",_xll.BDP($A265&amp;" Corp","YAS_BOND_YLD","YAS_YLD_FLAG=15"))</f>
        <v/>
      </c>
      <c r="P265" s="12">
        <f>IF($A265="","",_xll.BDP($A265&amp;" Corp","YAS_MOD_DUR"))</f>
        <v/>
      </c>
      <c r="Q265" s="13">
        <f>IF($A265="","",_xll.BDP($A265&amp;" Corp","YAS_OAS_SPRD"))</f>
        <v/>
      </c>
      <c r="R265" s="13">
        <f>IF($A265="","",_xll.BDP($A265&amp;" Corp","YAS_OAS_SPRD","SETTLE_DT",$B$2))</f>
        <v/>
      </c>
      <c r="S265" s="14">
        <f>IF($A265="","",IF(OR(NOT(ISNUMBER($Q265)),NOT(ISNUMBER($R265))),"",$Q265-$R265))</f>
        <v/>
      </c>
      <c r="T265" s="12">
        <f>IF($A265="","",_xll.BDP($A265&amp;" Corp","YAS_BOND_YLD","YAS_YLD_FLAG=15","SETTLE_DT",$B$2))</f>
        <v/>
      </c>
      <c r="U265" s="15">
        <f>IF($A265="","",IF(OR(NOT(ISNUMBER($O265)),NOT(ISNUMBER($T265))),"",$O265-$T265))</f>
        <v/>
      </c>
      <c r="V265" s="13">
        <f>IF(NOT(ISNUMBER($S265)),"",COUNTIFS($G$7:$G$850,$G265,$S$7:$S$850,"&gt;"&amp;$S265)+COUNTIFS($G$7:$G265,$G265,$S$7:$S265,$S265))</f>
        <v/>
      </c>
      <c r="W265" s="13">
        <f>IF(NOT(ISNUMBER($S265)),"",COUNTIFS($G$7:$G$850,$G265,$S$7:$S$850,"&lt;"&amp;$S265)+COUNTIFS($G$7:$G265,$G265,$S$7:$S265,$S265))</f>
        <v/>
      </c>
      <c r="X265" s="8">
        <f>IF($V265="","",$G265&amp;"|"&amp;$V265)</f>
        <v/>
      </c>
      <c r="Y265" s="8">
        <f>IF($W265="","",$G265&amp;"|"&amp;$W265)</f>
        <v/>
      </c>
    </row>
    <row r="266">
      <c r="A266" s="16" t="inlineStr">
        <is>
          <t>FR001400KHI6</t>
        </is>
      </c>
      <c r="B266" s="17">
        <f>IF($A266="","",PROPER(_xll.BDP($A266&amp;" Corp","NAME")))</f>
        <v/>
      </c>
      <c r="C266" s="17">
        <f>IF($A266="","",IFERROR(INDEX(Company_desc!$B$2:$B$1144,MATCH($A266,Company_desc!$A$2:$A$1144,0)),IFERROR(INDEX(SYZ_static!$Q$2:$Q$806,MATCH($A266,SYZ_static!$A$2:$A$806,0)),"")))</f>
        <v/>
      </c>
      <c r="D266" s="17">
        <f>IF($A266="","",IFERROR(INDEX(SYZ_static!$B$2:$B$806,MATCH($A266,SYZ_static!$A$2:$A$806,0)),""))</f>
        <v/>
      </c>
      <c r="E266" s="17">
        <f>IF($A266="","",_xll.BDP($A266&amp;" Corp","INDUSTRY_SECTOR"))</f>
        <v/>
      </c>
      <c r="F266" s="17">
        <f>IF($A266="","",PROPER(_xll.BDP($A266&amp;" Corp","COUNTRY_FULL_NAME")))</f>
        <v/>
      </c>
      <c r="G266" s="17">
        <f>IF($A266="","",_xll.BDP($A266&amp;" Corp","CRNCY"))</f>
        <v/>
      </c>
      <c r="H266" s="17">
        <f>IF($A266="","",IFERROR(INDEX(SYZ_static!$T$2:$T$806,MATCH($A266,SYZ_static!$A$2:$A$806,0)),_xll.BDP($A266&amp;" Corp","RTG_SP")))</f>
        <v/>
      </c>
      <c r="I266" s="17">
        <f>IF($A266="","",IFERROR(INDEX(SYZ_static!$S$2:$S$806,MATCH($A266,SYZ_static!$A$2:$A$806,0)),""))</f>
        <v/>
      </c>
      <c r="J266" s="17">
        <f>IF($A266="","",_xll.BDP($A266&amp;" Corp","PAYMENT_RANK"))</f>
        <v/>
      </c>
      <c r="K266" s="18">
        <f>IF($A266="","",_xll.BDP($A266&amp;" Corp","CPN"))</f>
        <v/>
      </c>
      <c r="L266" s="19">
        <f>IF($A266="","",_xll.BDP($A266&amp;" Corp","MATURITY"))</f>
        <v/>
      </c>
      <c r="M266" s="20">
        <f>IF($A266="","",IFERROR(_xll.BDP($A266&amp;" Corp","MIN_PIECE")/1000,""))</f>
        <v/>
      </c>
      <c r="N266" s="21">
        <f>IF($A266="","",_xll.BDP($A266&amp;" Corp","PX_LAST"))</f>
        <v/>
      </c>
      <c r="O266" s="21">
        <f>IF($A266="","",_xll.BDP($A266&amp;" Corp","YAS_BOND_YLD","YAS_YLD_FLAG=15"))</f>
        <v/>
      </c>
      <c r="P266" s="21">
        <f>IF($A266="","",_xll.BDP($A266&amp;" Corp","YAS_MOD_DUR"))</f>
        <v/>
      </c>
      <c r="Q266" s="22">
        <f>IF($A266="","",_xll.BDP($A266&amp;" Corp","YAS_OAS_SPRD"))</f>
        <v/>
      </c>
      <c r="R266" s="22">
        <f>IF($A266="","",_xll.BDP($A266&amp;" Corp","YAS_OAS_SPRD","SETTLE_DT",$B$2))</f>
        <v/>
      </c>
      <c r="S266" s="23">
        <f>IF($A266="","",IF(OR(NOT(ISNUMBER($Q266)),NOT(ISNUMBER($R266))),"",$Q266-$R266))</f>
        <v/>
      </c>
      <c r="T266" s="21">
        <f>IF($A266="","",_xll.BDP($A266&amp;" Corp","YAS_BOND_YLD","YAS_YLD_FLAG=15","SETTLE_DT",$B$2))</f>
        <v/>
      </c>
      <c r="U266" s="24">
        <f>IF($A266="","",IF(OR(NOT(ISNUMBER($O266)),NOT(ISNUMBER($T266))),"",$O266-$T266))</f>
        <v/>
      </c>
      <c r="V266" s="22">
        <f>IF(NOT(ISNUMBER($S266)),"",COUNTIFS($G$7:$G$850,$G266,$S$7:$S$850,"&gt;"&amp;$S266)+COUNTIFS($G$7:$G266,$G266,$S$7:$S266,$S266))</f>
        <v/>
      </c>
      <c r="W266" s="22">
        <f>IF(NOT(ISNUMBER($S266)),"",COUNTIFS($G$7:$G$850,$G266,$S$7:$S$850,"&lt;"&amp;$S266)+COUNTIFS($G$7:$G266,$G266,$S$7:$S266,$S266))</f>
        <v/>
      </c>
      <c r="X266" s="17">
        <f>IF($V266="","",$G266&amp;"|"&amp;$V266)</f>
        <v/>
      </c>
      <c r="Y266" s="17">
        <f>IF($W266="","",$G266&amp;"|"&amp;$W266)</f>
        <v/>
      </c>
    </row>
    <row r="267">
      <c r="A267" s="7" t="inlineStr">
        <is>
          <t>XS2288109676</t>
        </is>
      </c>
      <c r="B267" s="8">
        <f>IF($A267="","",PROPER(_xll.BDP($A267&amp;" Corp","NAME")))</f>
        <v/>
      </c>
      <c r="C267" s="8">
        <f>IF($A267="","",IFERROR(INDEX(Company_desc!$B$2:$B$1144,MATCH($A267,Company_desc!$A$2:$A$1144,0)),IFERROR(INDEX(SYZ_static!$Q$2:$Q$806,MATCH($A267,SYZ_static!$A$2:$A$806,0)),"")))</f>
        <v/>
      </c>
      <c r="D267" s="8">
        <f>IF($A267="","",IFERROR(INDEX(SYZ_static!$B$2:$B$806,MATCH($A267,SYZ_static!$A$2:$A$806,0)),""))</f>
        <v/>
      </c>
      <c r="E267" s="8">
        <f>IF($A267="","",_xll.BDP($A267&amp;" Corp","INDUSTRY_SECTOR"))</f>
        <v/>
      </c>
      <c r="F267" s="8">
        <f>IF($A267="","",PROPER(_xll.BDP($A267&amp;" Corp","COUNTRY_FULL_NAME")))</f>
        <v/>
      </c>
      <c r="G267" s="8">
        <f>IF($A267="","",_xll.BDP($A267&amp;" Corp","CRNCY"))</f>
        <v/>
      </c>
      <c r="H267" s="8">
        <f>IF($A267="","",IFERROR(INDEX(SYZ_static!$T$2:$T$806,MATCH($A267,SYZ_static!$A$2:$A$806,0)),_xll.BDP($A267&amp;" Corp","RTG_SP")))</f>
        <v/>
      </c>
      <c r="I267" s="8">
        <f>IF($A267="","",IFERROR(INDEX(SYZ_static!$S$2:$S$806,MATCH($A267,SYZ_static!$A$2:$A$806,0)),""))</f>
        <v/>
      </c>
      <c r="J267" s="8">
        <f>IF($A267="","",_xll.BDP($A267&amp;" Corp","PAYMENT_RANK"))</f>
        <v/>
      </c>
      <c r="K267" s="9">
        <f>IF($A267="","",_xll.BDP($A267&amp;" Corp","CPN"))</f>
        <v/>
      </c>
      <c r="L267" s="10">
        <f>IF($A267="","",_xll.BDP($A267&amp;" Corp","MATURITY"))</f>
        <v/>
      </c>
      <c r="M267" s="11">
        <f>IF($A267="","",IFERROR(_xll.BDP($A267&amp;" Corp","MIN_PIECE")/1000,""))</f>
        <v/>
      </c>
      <c r="N267" s="12">
        <f>IF($A267="","",_xll.BDP($A267&amp;" Corp","PX_LAST"))</f>
        <v/>
      </c>
      <c r="O267" s="12">
        <f>IF($A267="","",_xll.BDP($A267&amp;" Corp","YAS_BOND_YLD","YAS_YLD_FLAG=15"))</f>
        <v/>
      </c>
      <c r="P267" s="12">
        <f>IF($A267="","",_xll.BDP($A267&amp;" Corp","YAS_MOD_DUR"))</f>
        <v/>
      </c>
      <c r="Q267" s="13">
        <f>IF($A267="","",_xll.BDP($A267&amp;" Corp","YAS_OAS_SPRD"))</f>
        <v/>
      </c>
      <c r="R267" s="13">
        <f>IF($A267="","",_xll.BDP($A267&amp;" Corp","YAS_OAS_SPRD","SETTLE_DT",$B$2))</f>
        <v/>
      </c>
      <c r="S267" s="14">
        <f>IF($A267="","",IF(OR(NOT(ISNUMBER($Q267)),NOT(ISNUMBER($R267))),"",$Q267-$R267))</f>
        <v/>
      </c>
      <c r="T267" s="12">
        <f>IF($A267="","",_xll.BDP($A267&amp;" Corp","YAS_BOND_YLD","YAS_YLD_FLAG=15","SETTLE_DT",$B$2))</f>
        <v/>
      </c>
      <c r="U267" s="15">
        <f>IF($A267="","",IF(OR(NOT(ISNUMBER($O267)),NOT(ISNUMBER($T267))),"",$O267-$T267))</f>
        <v/>
      </c>
      <c r="V267" s="13">
        <f>IF(NOT(ISNUMBER($S267)),"",COUNTIFS($G$7:$G$850,$G267,$S$7:$S$850,"&gt;"&amp;$S267)+COUNTIFS($G$7:$G267,$G267,$S$7:$S267,$S267))</f>
        <v/>
      </c>
      <c r="W267" s="13">
        <f>IF(NOT(ISNUMBER($S267)),"",COUNTIFS($G$7:$G$850,$G267,$S$7:$S$850,"&lt;"&amp;$S267)+COUNTIFS($G$7:$G267,$G267,$S$7:$S267,$S267))</f>
        <v/>
      </c>
      <c r="X267" s="8">
        <f>IF($V267="","",$G267&amp;"|"&amp;$V267)</f>
        <v/>
      </c>
      <c r="Y267" s="8">
        <f>IF($W267="","",$G267&amp;"|"&amp;$W267)</f>
        <v/>
      </c>
    </row>
    <row r="268">
      <c r="A268" s="16" t="inlineStr">
        <is>
          <t>FR001400KHW7</t>
        </is>
      </c>
      <c r="B268" s="17">
        <f>IF($A268="","",PROPER(_xll.BDP($A268&amp;" Corp","NAME")))</f>
        <v/>
      </c>
      <c r="C268" s="17">
        <f>IF($A268="","",IFERROR(INDEX(Company_desc!$B$2:$B$1144,MATCH($A268,Company_desc!$A$2:$A$1144,0)),IFERROR(INDEX(SYZ_static!$Q$2:$Q$806,MATCH($A268,SYZ_static!$A$2:$A$806,0)),"")))</f>
        <v/>
      </c>
      <c r="D268" s="17">
        <f>IF($A268="","",IFERROR(INDEX(SYZ_static!$B$2:$B$806,MATCH($A268,SYZ_static!$A$2:$A$806,0)),""))</f>
        <v/>
      </c>
      <c r="E268" s="17">
        <f>IF($A268="","",_xll.BDP($A268&amp;" Corp","INDUSTRY_SECTOR"))</f>
        <v/>
      </c>
      <c r="F268" s="17">
        <f>IF($A268="","",PROPER(_xll.BDP($A268&amp;" Corp","COUNTRY_FULL_NAME")))</f>
        <v/>
      </c>
      <c r="G268" s="17">
        <f>IF($A268="","",_xll.BDP($A268&amp;" Corp","CRNCY"))</f>
        <v/>
      </c>
      <c r="H268" s="17">
        <f>IF($A268="","",IFERROR(INDEX(SYZ_static!$T$2:$T$806,MATCH($A268,SYZ_static!$A$2:$A$806,0)),_xll.BDP($A268&amp;" Corp","RTG_SP")))</f>
        <v/>
      </c>
      <c r="I268" s="17">
        <f>IF($A268="","",IFERROR(INDEX(SYZ_static!$S$2:$S$806,MATCH($A268,SYZ_static!$A$2:$A$806,0)),""))</f>
        <v/>
      </c>
      <c r="J268" s="17">
        <f>IF($A268="","",_xll.BDP($A268&amp;" Corp","PAYMENT_RANK"))</f>
        <v/>
      </c>
      <c r="K268" s="18">
        <f>IF($A268="","",_xll.BDP($A268&amp;" Corp","CPN"))</f>
        <v/>
      </c>
      <c r="L268" s="19">
        <f>IF($A268="","",_xll.BDP($A268&amp;" Corp","MATURITY"))</f>
        <v/>
      </c>
      <c r="M268" s="20">
        <f>IF($A268="","",IFERROR(_xll.BDP($A268&amp;" Corp","MIN_PIECE")/1000,""))</f>
        <v/>
      </c>
      <c r="N268" s="21">
        <f>IF($A268="","",_xll.BDP($A268&amp;" Corp","PX_LAST"))</f>
        <v/>
      </c>
      <c r="O268" s="21">
        <f>IF($A268="","",_xll.BDP($A268&amp;" Corp","YAS_BOND_YLD","YAS_YLD_FLAG=15"))</f>
        <v/>
      </c>
      <c r="P268" s="21">
        <f>IF($A268="","",_xll.BDP($A268&amp;" Corp","YAS_MOD_DUR"))</f>
        <v/>
      </c>
      <c r="Q268" s="22">
        <f>IF($A268="","",_xll.BDP($A268&amp;" Corp","YAS_OAS_SPRD"))</f>
        <v/>
      </c>
      <c r="R268" s="22">
        <f>IF($A268="","",_xll.BDP($A268&amp;" Corp","YAS_OAS_SPRD","SETTLE_DT",$B$2))</f>
        <v/>
      </c>
      <c r="S268" s="23">
        <f>IF($A268="","",IF(OR(NOT(ISNUMBER($Q268)),NOT(ISNUMBER($R268))),"",$Q268-$R268))</f>
        <v/>
      </c>
      <c r="T268" s="21">
        <f>IF($A268="","",_xll.BDP($A268&amp;" Corp","YAS_BOND_YLD","YAS_YLD_FLAG=15","SETTLE_DT",$B$2))</f>
        <v/>
      </c>
      <c r="U268" s="24">
        <f>IF($A268="","",IF(OR(NOT(ISNUMBER($O268)),NOT(ISNUMBER($T268))),"",$O268-$T268))</f>
        <v/>
      </c>
      <c r="V268" s="22">
        <f>IF(NOT(ISNUMBER($S268)),"",COUNTIFS($G$7:$G$850,$G268,$S$7:$S$850,"&gt;"&amp;$S268)+COUNTIFS($G$7:$G268,$G268,$S$7:$S268,$S268))</f>
        <v/>
      </c>
      <c r="W268" s="22">
        <f>IF(NOT(ISNUMBER($S268)),"",COUNTIFS($G$7:$G$850,$G268,$S$7:$S$850,"&lt;"&amp;$S268)+COUNTIFS($G$7:$G268,$G268,$S$7:$S268,$S268))</f>
        <v/>
      </c>
      <c r="X268" s="17">
        <f>IF($V268="","",$G268&amp;"|"&amp;$V268)</f>
        <v/>
      </c>
      <c r="Y268" s="17">
        <f>IF($W268="","",$G268&amp;"|"&amp;$W268)</f>
        <v/>
      </c>
    </row>
    <row r="269">
      <c r="A269" s="7" t="inlineStr">
        <is>
          <t>XS2386886803</t>
        </is>
      </c>
      <c r="B269" s="8">
        <f>IF($A269="","",PROPER(_xll.BDP($A269&amp;" Corp","NAME")))</f>
        <v/>
      </c>
      <c r="C269" s="8">
        <f>IF($A269="","",IFERROR(INDEX(Company_desc!$B$2:$B$1144,MATCH($A269,Company_desc!$A$2:$A$1144,0)),IFERROR(INDEX(SYZ_static!$Q$2:$Q$806,MATCH($A269,SYZ_static!$A$2:$A$806,0)),"")))</f>
        <v/>
      </c>
      <c r="D269" s="8">
        <f>IF($A269="","",IFERROR(INDEX(SYZ_static!$B$2:$B$806,MATCH($A269,SYZ_static!$A$2:$A$806,0)),""))</f>
        <v/>
      </c>
      <c r="E269" s="8">
        <f>IF($A269="","",_xll.BDP($A269&amp;" Corp","INDUSTRY_SECTOR"))</f>
        <v/>
      </c>
      <c r="F269" s="8">
        <f>IF($A269="","",PROPER(_xll.BDP($A269&amp;" Corp","COUNTRY_FULL_NAME")))</f>
        <v/>
      </c>
      <c r="G269" s="8">
        <f>IF($A269="","",_xll.BDP($A269&amp;" Corp","CRNCY"))</f>
        <v/>
      </c>
      <c r="H269" s="8">
        <f>IF($A269="","",IFERROR(INDEX(SYZ_static!$T$2:$T$806,MATCH($A269,SYZ_static!$A$2:$A$806,0)),_xll.BDP($A269&amp;" Corp","RTG_SP")))</f>
        <v/>
      </c>
      <c r="I269" s="8">
        <f>IF($A269="","",IFERROR(INDEX(SYZ_static!$S$2:$S$806,MATCH($A269,SYZ_static!$A$2:$A$806,0)),""))</f>
        <v/>
      </c>
      <c r="J269" s="8">
        <f>IF($A269="","",_xll.BDP($A269&amp;" Corp","PAYMENT_RANK"))</f>
        <v/>
      </c>
      <c r="K269" s="9">
        <f>IF($A269="","",_xll.BDP($A269&amp;" Corp","CPN"))</f>
        <v/>
      </c>
      <c r="L269" s="10">
        <f>IF($A269="","",_xll.BDP($A269&amp;" Corp","MATURITY"))</f>
        <v/>
      </c>
      <c r="M269" s="11">
        <f>IF($A269="","",IFERROR(_xll.BDP($A269&amp;" Corp","MIN_PIECE")/1000,""))</f>
        <v/>
      </c>
      <c r="N269" s="12">
        <f>IF($A269="","",_xll.BDP($A269&amp;" Corp","PX_LAST"))</f>
        <v/>
      </c>
      <c r="O269" s="12">
        <f>IF($A269="","",_xll.BDP($A269&amp;" Corp","YAS_BOND_YLD","YAS_YLD_FLAG=15"))</f>
        <v/>
      </c>
      <c r="P269" s="12">
        <f>IF($A269="","",_xll.BDP($A269&amp;" Corp","YAS_MOD_DUR"))</f>
        <v/>
      </c>
      <c r="Q269" s="13">
        <f>IF($A269="","",_xll.BDP($A269&amp;" Corp","YAS_OAS_SPRD"))</f>
        <v/>
      </c>
      <c r="R269" s="13">
        <f>IF($A269="","",_xll.BDP($A269&amp;" Corp","YAS_OAS_SPRD","SETTLE_DT",$B$2))</f>
        <v/>
      </c>
      <c r="S269" s="14">
        <f>IF($A269="","",IF(OR(NOT(ISNUMBER($Q269)),NOT(ISNUMBER($R269))),"",$Q269-$R269))</f>
        <v/>
      </c>
      <c r="T269" s="12">
        <f>IF($A269="","",_xll.BDP($A269&amp;" Corp","YAS_BOND_YLD","YAS_YLD_FLAG=15","SETTLE_DT",$B$2))</f>
        <v/>
      </c>
      <c r="U269" s="15">
        <f>IF($A269="","",IF(OR(NOT(ISNUMBER($O269)),NOT(ISNUMBER($T269))),"",$O269-$T269))</f>
        <v/>
      </c>
      <c r="V269" s="13">
        <f>IF(NOT(ISNUMBER($S269)),"",COUNTIFS($G$7:$G$850,$G269,$S$7:$S$850,"&gt;"&amp;$S269)+COUNTIFS($G$7:$G269,$G269,$S$7:$S269,$S269))</f>
        <v/>
      </c>
      <c r="W269" s="13">
        <f>IF(NOT(ISNUMBER($S269)),"",COUNTIFS($G$7:$G$850,$G269,$S$7:$S$850,"&lt;"&amp;$S269)+COUNTIFS($G$7:$G269,$G269,$S$7:$S269,$S269))</f>
        <v/>
      </c>
      <c r="X269" s="8">
        <f>IF($V269="","",$G269&amp;"|"&amp;$V269)</f>
        <v/>
      </c>
      <c r="Y269" s="8">
        <f>IF($W269="","",$G269&amp;"|"&amp;$W269)</f>
        <v/>
      </c>
    </row>
    <row r="270">
      <c r="A270" s="16" t="inlineStr">
        <is>
          <t>FR001400I7U8</t>
        </is>
      </c>
      <c r="B270" s="17">
        <f>IF($A270="","",PROPER(_xll.BDP($A270&amp;" Corp","NAME")))</f>
        <v/>
      </c>
      <c r="C270" s="17">
        <f>IF($A270="","",IFERROR(INDEX(Company_desc!$B$2:$B$1144,MATCH($A270,Company_desc!$A$2:$A$1144,0)),IFERROR(INDEX(SYZ_static!$Q$2:$Q$806,MATCH($A270,SYZ_static!$A$2:$A$806,0)),"")))</f>
        <v/>
      </c>
      <c r="D270" s="17">
        <f>IF($A270="","",IFERROR(INDEX(SYZ_static!$B$2:$B$806,MATCH($A270,SYZ_static!$A$2:$A$806,0)),""))</f>
        <v/>
      </c>
      <c r="E270" s="17">
        <f>IF($A270="","",_xll.BDP($A270&amp;" Corp","INDUSTRY_SECTOR"))</f>
        <v/>
      </c>
      <c r="F270" s="17">
        <f>IF($A270="","",PROPER(_xll.BDP($A270&amp;" Corp","COUNTRY_FULL_NAME")))</f>
        <v/>
      </c>
      <c r="G270" s="17">
        <f>IF($A270="","",_xll.BDP($A270&amp;" Corp","CRNCY"))</f>
        <v/>
      </c>
      <c r="H270" s="17">
        <f>IF($A270="","",IFERROR(INDEX(SYZ_static!$T$2:$T$806,MATCH($A270,SYZ_static!$A$2:$A$806,0)),_xll.BDP($A270&amp;" Corp","RTG_SP")))</f>
        <v/>
      </c>
      <c r="I270" s="17">
        <f>IF($A270="","",IFERROR(INDEX(SYZ_static!$S$2:$S$806,MATCH($A270,SYZ_static!$A$2:$A$806,0)),""))</f>
        <v/>
      </c>
      <c r="J270" s="17">
        <f>IF($A270="","",_xll.BDP($A270&amp;" Corp","PAYMENT_RANK"))</f>
        <v/>
      </c>
      <c r="K270" s="18">
        <f>IF($A270="","",_xll.BDP($A270&amp;" Corp","CPN"))</f>
        <v/>
      </c>
      <c r="L270" s="19">
        <f>IF($A270="","",_xll.BDP($A270&amp;" Corp","MATURITY"))</f>
        <v/>
      </c>
      <c r="M270" s="20">
        <f>IF($A270="","",IFERROR(_xll.BDP($A270&amp;" Corp","MIN_PIECE")/1000,""))</f>
        <v/>
      </c>
      <c r="N270" s="21">
        <f>IF($A270="","",_xll.BDP($A270&amp;" Corp","PX_LAST"))</f>
        <v/>
      </c>
      <c r="O270" s="21">
        <f>IF($A270="","",_xll.BDP($A270&amp;" Corp","YAS_BOND_YLD","YAS_YLD_FLAG=15"))</f>
        <v/>
      </c>
      <c r="P270" s="21">
        <f>IF($A270="","",_xll.BDP($A270&amp;" Corp","YAS_MOD_DUR"))</f>
        <v/>
      </c>
      <c r="Q270" s="22">
        <f>IF($A270="","",_xll.BDP($A270&amp;" Corp","YAS_OAS_SPRD"))</f>
        <v/>
      </c>
      <c r="R270" s="22">
        <f>IF($A270="","",_xll.BDP($A270&amp;" Corp","YAS_OAS_SPRD","SETTLE_DT",$B$2))</f>
        <v/>
      </c>
      <c r="S270" s="23">
        <f>IF($A270="","",IF(OR(NOT(ISNUMBER($Q270)),NOT(ISNUMBER($R270))),"",$Q270-$R270))</f>
        <v/>
      </c>
      <c r="T270" s="21">
        <f>IF($A270="","",_xll.BDP($A270&amp;" Corp","YAS_BOND_YLD","YAS_YLD_FLAG=15","SETTLE_DT",$B$2))</f>
        <v/>
      </c>
      <c r="U270" s="24">
        <f>IF($A270="","",IF(OR(NOT(ISNUMBER($O270)),NOT(ISNUMBER($T270))),"",$O270-$T270))</f>
        <v/>
      </c>
      <c r="V270" s="22">
        <f>IF(NOT(ISNUMBER($S270)),"",COUNTIFS($G$7:$G$850,$G270,$S$7:$S$850,"&gt;"&amp;$S270)+COUNTIFS($G$7:$G270,$G270,$S$7:$S270,$S270))</f>
        <v/>
      </c>
      <c r="W270" s="22">
        <f>IF(NOT(ISNUMBER($S270)),"",COUNTIFS($G$7:$G$850,$G270,$S$7:$S$850,"&lt;"&amp;$S270)+COUNTIFS($G$7:$G270,$G270,$S$7:$S270,$S270))</f>
        <v/>
      </c>
      <c r="X270" s="17">
        <f>IF($V270="","",$G270&amp;"|"&amp;$V270)</f>
        <v/>
      </c>
      <c r="Y270" s="17">
        <f>IF($W270="","",$G270&amp;"|"&amp;$W270)</f>
        <v/>
      </c>
    </row>
    <row r="271">
      <c r="A271" s="7" t="inlineStr">
        <is>
          <t>USU5521TAH50</t>
        </is>
      </c>
      <c r="B271" s="8">
        <f>IF($A271="","",PROPER(_xll.BDP($A271&amp;" Corp","NAME")))</f>
        <v/>
      </c>
      <c r="C271" s="8">
        <f>IF($A271="","",IFERROR(INDEX(Company_desc!$B$2:$B$1144,MATCH($A271,Company_desc!$A$2:$A$1144,0)),IFERROR(INDEX(SYZ_static!$Q$2:$Q$806,MATCH($A271,SYZ_static!$A$2:$A$806,0)),"")))</f>
        <v/>
      </c>
      <c r="D271" s="8">
        <f>IF($A271="","",IFERROR(INDEX(SYZ_static!$B$2:$B$806,MATCH($A271,SYZ_static!$A$2:$A$806,0)),""))</f>
        <v/>
      </c>
      <c r="E271" s="8">
        <f>IF($A271="","",_xll.BDP($A271&amp;" Corp","INDUSTRY_SECTOR"))</f>
        <v/>
      </c>
      <c r="F271" s="8">
        <f>IF($A271="","",PROPER(_xll.BDP($A271&amp;" Corp","COUNTRY_FULL_NAME")))</f>
        <v/>
      </c>
      <c r="G271" s="8">
        <f>IF($A271="","",_xll.BDP($A271&amp;" Corp","CRNCY"))</f>
        <v/>
      </c>
      <c r="H271" s="8">
        <f>IF($A271="","",IFERROR(INDEX(SYZ_static!$T$2:$T$806,MATCH($A271,SYZ_static!$A$2:$A$806,0)),_xll.BDP($A271&amp;" Corp","RTG_SP")))</f>
        <v/>
      </c>
      <c r="I271" s="8">
        <f>IF($A271="","",IFERROR(INDEX(SYZ_static!$S$2:$S$806,MATCH($A271,SYZ_static!$A$2:$A$806,0)),""))</f>
        <v/>
      </c>
      <c r="J271" s="8">
        <f>IF($A271="","",_xll.BDP($A271&amp;" Corp","PAYMENT_RANK"))</f>
        <v/>
      </c>
      <c r="K271" s="9">
        <f>IF($A271="","",_xll.BDP($A271&amp;" Corp","CPN"))</f>
        <v/>
      </c>
      <c r="L271" s="10">
        <f>IF($A271="","",_xll.BDP($A271&amp;" Corp","MATURITY"))</f>
        <v/>
      </c>
      <c r="M271" s="11">
        <f>IF($A271="","",IFERROR(_xll.BDP($A271&amp;" Corp","MIN_PIECE")/1000,""))</f>
        <v/>
      </c>
      <c r="N271" s="12">
        <f>IF($A271="","",_xll.BDP($A271&amp;" Corp","PX_LAST"))</f>
        <v/>
      </c>
      <c r="O271" s="12">
        <f>IF($A271="","",_xll.BDP($A271&amp;" Corp","YAS_BOND_YLD","YAS_YLD_FLAG=15"))</f>
        <v/>
      </c>
      <c r="P271" s="12">
        <f>IF($A271="","",_xll.BDP($A271&amp;" Corp","YAS_MOD_DUR"))</f>
        <v/>
      </c>
      <c r="Q271" s="13">
        <f>IF($A271="","",_xll.BDP($A271&amp;" Corp","YAS_OAS_SPRD"))</f>
        <v/>
      </c>
      <c r="R271" s="13">
        <f>IF($A271="","",_xll.BDP($A271&amp;" Corp","YAS_OAS_SPRD","SETTLE_DT",$B$2))</f>
        <v/>
      </c>
      <c r="S271" s="14">
        <f>IF($A271="","",IF(OR(NOT(ISNUMBER($Q271)),NOT(ISNUMBER($R271))),"",$Q271-$R271))</f>
        <v/>
      </c>
      <c r="T271" s="12">
        <f>IF($A271="","",_xll.BDP($A271&amp;" Corp","YAS_BOND_YLD","YAS_YLD_FLAG=15","SETTLE_DT",$B$2))</f>
        <v/>
      </c>
      <c r="U271" s="15">
        <f>IF($A271="","",IF(OR(NOT(ISNUMBER($O271)),NOT(ISNUMBER($T271))),"",$O271-$T271))</f>
        <v/>
      </c>
      <c r="V271" s="13">
        <f>IF(NOT(ISNUMBER($S271)),"",COUNTIFS($G$7:$G$850,$G271,$S$7:$S$850,"&gt;"&amp;$S271)+COUNTIFS($G$7:$G271,$G271,$S$7:$S271,$S271))</f>
        <v/>
      </c>
      <c r="W271" s="13">
        <f>IF(NOT(ISNUMBER($S271)),"",COUNTIFS($G$7:$G$850,$G271,$S$7:$S$850,"&lt;"&amp;$S271)+COUNTIFS($G$7:$G271,$G271,$S$7:$S271,$S271))</f>
        <v/>
      </c>
      <c r="X271" s="8">
        <f>IF($V271="","",$G271&amp;"|"&amp;$V271)</f>
        <v/>
      </c>
      <c r="Y271" s="8">
        <f>IF($W271="","",$G271&amp;"|"&amp;$W271)</f>
        <v/>
      </c>
    </row>
    <row r="272">
      <c r="A272" s="16" t="inlineStr">
        <is>
          <t>XS2562941927</t>
        </is>
      </c>
      <c r="B272" s="17">
        <f>IF($A272="","",PROPER(_xll.BDP($A272&amp;" Corp","NAME")))</f>
        <v/>
      </c>
      <c r="C272" s="17">
        <f>IF($A272="","",IFERROR(INDEX(Company_desc!$B$2:$B$1144,MATCH($A272,Company_desc!$A$2:$A$1144,0)),IFERROR(INDEX(SYZ_static!$Q$2:$Q$806,MATCH($A272,SYZ_static!$A$2:$A$806,0)),"")))</f>
        <v/>
      </c>
      <c r="D272" s="17">
        <f>IF($A272="","",IFERROR(INDEX(SYZ_static!$B$2:$B$806,MATCH($A272,SYZ_static!$A$2:$A$806,0)),""))</f>
        <v/>
      </c>
      <c r="E272" s="17">
        <f>IF($A272="","",_xll.BDP($A272&amp;" Corp","INDUSTRY_SECTOR"))</f>
        <v/>
      </c>
      <c r="F272" s="17">
        <f>IF($A272="","",PROPER(_xll.BDP($A272&amp;" Corp","COUNTRY_FULL_NAME")))</f>
        <v/>
      </c>
      <c r="G272" s="17">
        <f>IF($A272="","",_xll.BDP($A272&amp;" Corp","CRNCY"))</f>
        <v/>
      </c>
      <c r="H272" s="17">
        <f>IF($A272="","",IFERROR(INDEX(SYZ_static!$T$2:$T$806,MATCH($A272,SYZ_static!$A$2:$A$806,0)),_xll.BDP($A272&amp;" Corp","RTG_SP")))</f>
        <v/>
      </c>
      <c r="I272" s="17">
        <f>IF($A272="","",IFERROR(INDEX(SYZ_static!$S$2:$S$806,MATCH($A272,SYZ_static!$A$2:$A$806,0)),""))</f>
        <v/>
      </c>
      <c r="J272" s="17">
        <f>IF($A272="","",_xll.BDP($A272&amp;" Corp","PAYMENT_RANK"))</f>
        <v/>
      </c>
      <c r="K272" s="18">
        <f>IF($A272="","",_xll.BDP($A272&amp;" Corp","CPN"))</f>
        <v/>
      </c>
      <c r="L272" s="19">
        <f>IF($A272="","",_xll.BDP($A272&amp;" Corp","MATURITY"))</f>
        <v/>
      </c>
      <c r="M272" s="20">
        <f>IF($A272="","",IFERROR(_xll.BDP($A272&amp;" Corp","MIN_PIECE")/1000,""))</f>
        <v/>
      </c>
      <c r="N272" s="21">
        <f>IF($A272="","",_xll.BDP($A272&amp;" Corp","PX_LAST"))</f>
        <v/>
      </c>
      <c r="O272" s="21">
        <f>IF($A272="","",_xll.BDP($A272&amp;" Corp","YAS_BOND_YLD","YAS_YLD_FLAG=15"))</f>
        <v/>
      </c>
      <c r="P272" s="21">
        <f>IF($A272="","",_xll.BDP($A272&amp;" Corp","YAS_MOD_DUR"))</f>
        <v/>
      </c>
      <c r="Q272" s="22">
        <f>IF($A272="","",_xll.BDP($A272&amp;" Corp","YAS_OAS_SPRD"))</f>
        <v/>
      </c>
      <c r="R272" s="22">
        <f>IF($A272="","",_xll.BDP($A272&amp;" Corp","YAS_OAS_SPRD","SETTLE_DT",$B$2))</f>
        <v/>
      </c>
      <c r="S272" s="23">
        <f>IF($A272="","",IF(OR(NOT(ISNUMBER($Q272)),NOT(ISNUMBER($R272))),"",$Q272-$R272))</f>
        <v/>
      </c>
      <c r="T272" s="21">
        <f>IF($A272="","",_xll.BDP($A272&amp;" Corp","YAS_BOND_YLD","YAS_YLD_FLAG=15","SETTLE_DT",$B$2))</f>
        <v/>
      </c>
      <c r="U272" s="24">
        <f>IF($A272="","",IF(OR(NOT(ISNUMBER($O272)),NOT(ISNUMBER($T272))),"",$O272-$T272))</f>
        <v/>
      </c>
      <c r="V272" s="22">
        <f>IF(NOT(ISNUMBER($S272)),"",COUNTIFS($G$7:$G$850,$G272,$S$7:$S$850,"&gt;"&amp;$S272)+COUNTIFS($G$7:$G272,$G272,$S$7:$S272,$S272))</f>
        <v/>
      </c>
      <c r="W272" s="22">
        <f>IF(NOT(ISNUMBER($S272)),"",COUNTIFS($G$7:$G$850,$G272,$S$7:$S$850,"&lt;"&amp;$S272)+COUNTIFS($G$7:$G272,$G272,$S$7:$S272,$S272))</f>
        <v/>
      </c>
      <c r="X272" s="17">
        <f>IF($V272="","",$G272&amp;"|"&amp;$V272)</f>
        <v/>
      </c>
      <c r="Y272" s="17">
        <f>IF($W272="","",$G272&amp;"|"&amp;$W272)</f>
        <v/>
      </c>
    </row>
    <row r="273">
      <c r="A273" s="7" t="inlineStr">
        <is>
          <t>US88167AAQ40</t>
        </is>
      </c>
      <c r="B273" s="8">
        <f>IF($A273="","",PROPER(_xll.BDP($A273&amp;" Corp","NAME")))</f>
        <v/>
      </c>
      <c r="C273" s="8">
        <f>IF($A273="","",IFERROR(INDEX(Company_desc!$B$2:$B$1144,MATCH($A273,Company_desc!$A$2:$A$1144,0)),IFERROR(INDEX(SYZ_static!$Q$2:$Q$806,MATCH($A273,SYZ_static!$A$2:$A$806,0)),"")))</f>
        <v/>
      </c>
      <c r="D273" s="8">
        <f>IF($A273="","",IFERROR(INDEX(SYZ_static!$B$2:$B$806,MATCH($A273,SYZ_static!$A$2:$A$806,0)),""))</f>
        <v/>
      </c>
      <c r="E273" s="8">
        <f>IF($A273="","",_xll.BDP($A273&amp;" Corp","INDUSTRY_SECTOR"))</f>
        <v/>
      </c>
      <c r="F273" s="8">
        <f>IF($A273="","",PROPER(_xll.BDP($A273&amp;" Corp","COUNTRY_FULL_NAME")))</f>
        <v/>
      </c>
      <c r="G273" s="8">
        <f>IF($A273="","",_xll.BDP($A273&amp;" Corp","CRNCY"))</f>
        <v/>
      </c>
      <c r="H273" s="8">
        <f>IF($A273="","",IFERROR(INDEX(SYZ_static!$T$2:$T$806,MATCH($A273,SYZ_static!$A$2:$A$806,0)),_xll.BDP($A273&amp;" Corp","RTG_SP")))</f>
        <v/>
      </c>
      <c r="I273" s="8">
        <f>IF($A273="","",IFERROR(INDEX(SYZ_static!$S$2:$S$806,MATCH($A273,SYZ_static!$A$2:$A$806,0)),""))</f>
        <v/>
      </c>
      <c r="J273" s="8">
        <f>IF($A273="","",_xll.BDP($A273&amp;" Corp","PAYMENT_RANK"))</f>
        <v/>
      </c>
      <c r="K273" s="9">
        <f>IF($A273="","",_xll.BDP($A273&amp;" Corp","CPN"))</f>
        <v/>
      </c>
      <c r="L273" s="10">
        <f>IF($A273="","",_xll.BDP($A273&amp;" Corp","MATURITY"))</f>
        <v/>
      </c>
      <c r="M273" s="11">
        <f>IF($A273="","",IFERROR(_xll.BDP($A273&amp;" Corp","MIN_PIECE")/1000,""))</f>
        <v/>
      </c>
      <c r="N273" s="12">
        <f>IF($A273="","",_xll.BDP($A273&amp;" Corp","PX_LAST"))</f>
        <v/>
      </c>
      <c r="O273" s="12">
        <f>IF($A273="","",_xll.BDP($A273&amp;" Corp","YAS_BOND_YLD","YAS_YLD_FLAG=15"))</f>
        <v/>
      </c>
      <c r="P273" s="12">
        <f>IF($A273="","",_xll.BDP($A273&amp;" Corp","YAS_MOD_DUR"))</f>
        <v/>
      </c>
      <c r="Q273" s="13">
        <f>IF($A273="","",_xll.BDP($A273&amp;" Corp","YAS_OAS_SPRD"))</f>
        <v/>
      </c>
      <c r="R273" s="13">
        <f>IF($A273="","",_xll.BDP($A273&amp;" Corp","YAS_OAS_SPRD","SETTLE_DT",$B$2))</f>
        <v/>
      </c>
      <c r="S273" s="14">
        <f>IF($A273="","",IF(OR(NOT(ISNUMBER($Q273)),NOT(ISNUMBER($R273))),"",$Q273-$R273))</f>
        <v/>
      </c>
      <c r="T273" s="12">
        <f>IF($A273="","",_xll.BDP($A273&amp;" Corp","YAS_BOND_YLD","YAS_YLD_FLAG=15","SETTLE_DT",$B$2))</f>
        <v/>
      </c>
      <c r="U273" s="15">
        <f>IF($A273="","",IF(OR(NOT(ISNUMBER($O273)),NOT(ISNUMBER($T273))),"",$O273-$T273))</f>
        <v/>
      </c>
      <c r="V273" s="13">
        <f>IF(NOT(ISNUMBER($S273)),"",COUNTIFS($G$7:$G$850,$G273,$S$7:$S$850,"&gt;"&amp;$S273)+COUNTIFS($G$7:$G273,$G273,$S$7:$S273,$S273))</f>
        <v/>
      </c>
      <c r="W273" s="13">
        <f>IF(NOT(ISNUMBER($S273)),"",COUNTIFS($G$7:$G$850,$G273,$S$7:$S$850,"&lt;"&amp;$S273)+COUNTIFS($G$7:$G273,$G273,$S$7:$S273,$S273))</f>
        <v/>
      </c>
      <c r="X273" s="8">
        <f>IF($V273="","",$G273&amp;"|"&amp;$V273)</f>
        <v/>
      </c>
      <c r="Y273" s="8">
        <f>IF($W273="","",$G273&amp;"|"&amp;$W273)</f>
        <v/>
      </c>
    </row>
    <row r="274">
      <c r="A274" s="16" t="inlineStr">
        <is>
          <t>US05526DBZ78</t>
        </is>
      </c>
      <c r="B274" s="17">
        <f>IF($A274="","",PROPER(_xll.BDP($A274&amp;" Corp","NAME")))</f>
        <v/>
      </c>
      <c r="C274" s="17">
        <f>IF($A274="","",IFERROR(INDEX(Company_desc!$B$2:$B$1144,MATCH($A274,Company_desc!$A$2:$A$1144,0)),IFERROR(INDEX(SYZ_static!$Q$2:$Q$806,MATCH($A274,SYZ_static!$A$2:$A$806,0)),"")))</f>
        <v/>
      </c>
      <c r="D274" s="17">
        <f>IF($A274="","",IFERROR(INDEX(SYZ_static!$B$2:$B$806,MATCH($A274,SYZ_static!$A$2:$A$806,0)),""))</f>
        <v/>
      </c>
      <c r="E274" s="17">
        <f>IF($A274="","",_xll.BDP($A274&amp;" Corp","INDUSTRY_SECTOR"))</f>
        <v/>
      </c>
      <c r="F274" s="17">
        <f>IF($A274="","",PROPER(_xll.BDP($A274&amp;" Corp","COUNTRY_FULL_NAME")))</f>
        <v/>
      </c>
      <c r="G274" s="17">
        <f>IF($A274="","",_xll.BDP($A274&amp;" Corp","CRNCY"))</f>
        <v/>
      </c>
      <c r="H274" s="17">
        <f>IF($A274="","",IFERROR(INDEX(SYZ_static!$T$2:$T$806,MATCH($A274,SYZ_static!$A$2:$A$806,0)),_xll.BDP($A274&amp;" Corp","RTG_SP")))</f>
        <v/>
      </c>
      <c r="I274" s="17">
        <f>IF($A274="","",IFERROR(INDEX(SYZ_static!$S$2:$S$806,MATCH($A274,SYZ_static!$A$2:$A$806,0)),""))</f>
        <v/>
      </c>
      <c r="J274" s="17">
        <f>IF($A274="","",_xll.BDP($A274&amp;" Corp","PAYMENT_RANK"))</f>
        <v/>
      </c>
      <c r="K274" s="18">
        <f>IF($A274="","",_xll.BDP($A274&amp;" Corp","CPN"))</f>
        <v/>
      </c>
      <c r="L274" s="19">
        <f>IF($A274="","",_xll.BDP($A274&amp;" Corp","MATURITY"))</f>
        <v/>
      </c>
      <c r="M274" s="20">
        <f>IF($A274="","",IFERROR(_xll.BDP($A274&amp;" Corp","MIN_PIECE")/1000,""))</f>
        <v/>
      </c>
      <c r="N274" s="21">
        <f>IF($A274="","",_xll.BDP($A274&amp;" Corp","PX_LAST"))</f>
        <v/>
      </c>
      <c r="O274" s="21">
        <f>IF($A274="","",_xll.BDP($A274&amp;" Corp","YAS_BOND_YLD","YAS_YLD_FLAG=15"))</f>
        <v/>
      </c>
      <c r="P274" s="21">
        <f>IF($A274="","",_xll.BDP($A274&amp;" Corp","YAS_MOD_DUR"))</f>
        <v/>
      </c>
      <c r="Q274" s="22">
        <f>IF($A274="","",_xll.BDP($A274&amp;" Corp","YAS_OAS_SPRD"))</f>
        <v/>
      </c>
      <c r="R274" s="22">
        <f>IF($A274="","",_xll.BDP($A274&amp;" Corp","YAS_OAS_SPRD","SETTLE_DT",$B$2))</f>
        <v/>
      </c>
      <c r="S274" s="23">
        <f>IF($A274="","",IF(OR(NOT(ISNUMBER($Q274)),NOT(ISNUMBER($R274))),"",$Q274-$R274))</f>
        <v/>
      </c>
      <c r="T274" s="21">
        <f>IF($A274="","",_xll.BDP($A274&amp;" Corp","YAS_BOND_YLD","YAS_YLD_FLAG=15","SETTLE_DT",$B$2))</f>
        <v/>
      </c>
      <c r="U274" s="24">
        <f>IF($A274="","",IF(OR(NOT(ISNUMBER($O274)),NOT(ISNUMBER($T274))),"",$O274-$T274))</f>
        <v/>
      </c>
      <c r="V274" s="22">
        <f>IF(NOT(ISNUMBER($S274)),"",COUNTIFS($G$7:$G$850,$G274,$S$7:$S$850,"&gt;"&amp;$S274)+COUNTIFS($G$7:$G274,$G274,$S$7:$S274,$S274))</f>
        <v/>
      </c>
      <c r="W274" s="22">
        <f>IF(NOT(ISNUMBER($S274)),"",COUNTIFS($G$7:$G$850,$G274,$S$7:$S$850,"&lt;"&amp;$S274)+COUNTIFS($G$7:$G274,$G274,$S$7:$S274,$S274))</f>
        <v/>
      </c>
      <c r="X274" s="17">
        <f>IF($V274="","",$G274&amp;"|"&amp;$V274)</f>
        <v/>
      </c>
      <c r="Y274" s="17">
        <f>IF($W274="","",$G274&amp;"|"&amp;$W274)</f>
        <v/>
      </c>
    </row>
    <row r="275">
      <c r="A275" s="7" t="inlineStr">
        <is>
          <t>US88167AAP66</t>
        </is>
      </c>
      <c r="B275" s="8">
        <f>IF($A275="","",PROPER(_xll.BDP($A275&amp;" Corp","NAME")))</f>
        <v/>
      </c>
      <c r="C275" s="8">
        <f>IF($A275="","",IFERROR(INDEX(Company_desc!$B$2:$B$1144,MATCH($A275,Company_desc!$A$2:$A$1144,0)),IFERROR(INDEX(SYZ_static!$Q$2:$Q$806,MATCH($A275,SYZ_static!$A$2:$A$806,0)),"")))</f>
        <v/>
      </c>
      <c r="D275" s="8">
        <f>IF($A275="","",IFERROR(INDEX(SYZ_static!$B$2:$B$806,MATCH($A275,SYZ_static!$A$2:$A$806,0)),""))</f>
        <v/>
      </c>
      <c r="E275" s="8">
        <f>IF($A275="","",_xll.BDP($A275&amp;" Corp","INDUSTRY_SECTOR"))</f>
        <v/>
      </c>
      <c r="F275" s="8">
        <f>IF($A275="","",PROPER(_xll.BDP($A275&amp;" Corp","COUNTRY_FULL_NAME")))</f>
        <v/>
      </c>
      <c r="G275" s="8">
        <f>IF($A275="","",_xll.BDP($A275&amp;" Corp","CRNCY"))</f>
        <v/>
      </c>
      <c r="H275" s="8">
        <f>IF($A275="","",IFERROR(INDEX(SYZ_static!$T$2:$T$806,MATCH($A275,SYZ_static!$A$2:$A$806,0)),_xll.BDP($A275&amp;" Corp","RTG_SP")))</f>
        <v/>
      </c>
      <c r="I275" s="8">
        <f>IF($A275="","",IFERROR(INDEX(SYZ_static!$S$2:$S$806,MATCH($A275,SYZ_static!$A$2:$A$806,0)),""))</f>
        <v/>
      </c>
      <c r="J275" s="8">
        <f>IF($A275="","",_xll.BDP($A275&amp;" Corp","PAYMENT_RANK"))</f>
        <v/>
      </c>
      <c r="K275" s="9">
        <f>IF($A275="","",_xll.BDP($A275&amp;" Corp","CPN"))</f>
        <v/>
      </c>
      <c r="L275" s="10">
        <f>IF($A275="","",_xll.BDP($A275&amp;" Corp","MATURITY"))</f>
        <v/>
      </c>
      <c r="M275" s="11">
        <f>IF($A275="","",IFERROR(_xll.BDP($A275&amp;" Corp","MIN_PIECE")/1000,""))</f>
        <v/>
      </c>
      <c r="N275" s="12">
        <f>IF($A275="","",_xll.BDP($A275&amp;" Corp","PX_LAST"))</f>
        <v/>
      </c>
      <c r="O275" s="12">
        <f>IF($A275="","",_xll.BDP($A275&amp;" Corp","YAS_BOND_YLD","YAS_YLD_FLAG=15"))</f>
        <v/>
      </c>
      <c r="P275" s="12">
        <f>IF($A275="","",_xll.BDP($A275&amp;" Corp","YAS_MOD_DUR"))</f>
        <v/>
      </c>
      <c r="Q275" s="13">
        <f>IF($A275="","",_xll.BDP($A275&amp;" Corp","YAS_OAS_SPRD"))</f>
        <v/>
      </c>
      <c r="R275" s="13">
        <f>IF($A275="","",_xll.BDP($A275&amp;" Corp","YAS_OAS_SPRD","SETTLE_DT",$B$2))</f>
        <v/>
      </c>
      <c r="S275" s="14">
        <f>IF($A275="","",IF(OR(NOT(ISNUMBER($Q275)),NOT(ISNUMBER($R275))),"",$Q275-$R275))</f>
        <v/>
      </c>
      <c r="T275" s="12">
        <f>IF($A275="","",_xll.BDP($A275&amp;" Corp","YAS_BOND_YLD","YAS_YLD_FLAG=15","SETTLE_DT",$B$2))</f>
        <v/>
      </c>
      <c r="U275" s="15">
        <f>IF($A275="","",IF(OR(NOT(ISNUMBER($O275)),NOT(ISNUMBER($T275))),"",$O275-$T275))</f>
        <v/>
      </c>
      <c r="V275" s="13">
        <f>IF(NOT(ISNUMBER($S275)),"",COUNTIFS($G$7:$G$850,$G275,$S$7:$S$850,"&gt;"&amp;$S275)+COUNTIFS($G$7:$G275,$G275,$S$7:$S275,$S275))</f>
        <v/>
      </c>
      <c r="W275" s="13">
        <f>IF(NOT(ISNUMBER($S275)),"",COUNTIFS($G$7:$G$850,$G275,$S$7:$S$850,"&lt;"&amp;$S275)+COUNTIFS($G$7:$G275,$G275,$S$7:$S275,$S275))</f>
        <v/>
      </c>
      <c r="X275" s="8">
        <f>IF($V275="","",$G275&amp;"|"&amp;$V275)</f>
        <v/>
      </c>
      <c r="Y275" s="8">
        <f>IF($W275="","",$G275&amp;"|"&amp;$W275)</f>
        <v/>
      </c>
    </row>
    <row r="276">
      <c r="A276" s="16" t="inlineStr">
        <is>
          <t>US05971BAG41</t>
        </is>
      </c>
      <c r="B276" s="17">
        <f>IF($A276="","",PROPER(_xll.BDP($A276&amp;" Corp","NAME")))</f>
        <v/>
      </c>
      <c r="C276" s="17">
        <f>IF($A276="","",IFERROR(INDEX(Company_desc!$B$2:$B$1144,MATCH($A276,Company_desc!$A$2:$A$1144,0)),IFERROR(INDEX(SYZ_static!$Q$2:$Q$806,MATCH($A276,SYZ_static!$A$2:$A$806,0)),"")))</f>
        <v/>
      </c>
      <c r="D276" s="17">
        <f>IF($A276="","",IFERROR(INDEX(SYZ_static!$B$2:$B$806,MATCH($A276,SYZ_static!$A$2:$A$806,0)),""))</f>
        <v/>
      </c>
      <c r="E276" s="17">
        <f>IF($A276="","",_xll.BDP($A276&amp;" Corp","INDUSTRY_SECTOR"))</f>
        <v/>
      </c>
      <c r="F276" s="17">
        <f>IF($A276="","",PROPER(_xll.BDP($A276&amp;" Corp","COUNTRY_FULL_NAME")))</f>
        <v/>
      </c>
      <c r="G276" s="17">
        <f>IF($A276="","",_xll.BDP($A276&amp;" Corp","CRNCY"))</f>
        <v/>
      </c>
      <c r="H276" s="17">
        <f>IF($A276="","",IFERROR(INDEX(SYZ_static!$T$2:$T$806,MATCH($A276,SYZ_static!$A$2:$A$806,0)),_xll.BDP($A276&amp;" Corp","RTG_SP")))</f>
        <v/>
      </c>
      <c r="I276" s="17">
        <f>IF($A276="","",IFERROR(INDEX(SYZ_static!$S$2:$S$806,MATCH($A276,SYZ_static!$A$2:$A$806,0)),""))</f>
        <v/>
      </c>
      <c r="J276" s="17">
        <f>IF($A276="","",_xll.BDP($A276&amp;" Corp","PAYMENT_RANK"))</f>
        <v/>
      </c>
      <c r="K276" s="18">
        <f>IF($A276="","",_xll.BDP($A276&amp;" Corp","CPN"))</f>
        <v/>
      </c>
      <c r="L276" s="19">
        <f>IF($A276="","",_xll.BDP($A276&amp;" Corp","MATURITY"))</f>
        <v/>
      </c>
      <c r="M276" s="20">
        <f>IF($A276="","",IFERROR(_xll.BDP($A276&amp;" Corp","MIN_PIECE")/1000,""))</f>
        <v/>
      </c>
      <c r="N276" s="21">
        <f>IF($A276="","",_xll.BDP($A276&amp;" Corp","PX_LAST"))</f>
        <v/>
      </c>
      <c r="O276" s="21">
        <f>IF($A276="","",_xll.BDP($A276&amp;" Corp","YAS_BOND_YLD","YAS_YLD_FLAG=15"))</f>
        <v/>
      </c>
      <c r="P276" s="21">
        <f>IF($A276="","",_xll.BDP($A276&amp;" Corp","YAS_MOD_DUR"))</f>
        <v/>
      </c>
      <c r="Q276" s="22">
        <f>IF($A276="","",_xll.BDP($A276&amp;" Corp","YAS_OAS_SPRD"))</f>
        <v/>
      </c>
      <c r="R276" s="22">
        <f>IF($A276="","",_xll.BDP($A276&amp;" Corp","YAS_OAS_SPRD","SETTLE_DT",$B$2))</f>
        <v/>
      </c>
      <c r="S276" s="23">
        <f>IF($A276="","",IF(OR(NOT(ISNUMBER($Q276)),NOT(ISNUMBER($R276))),"",$Q276-$R276))</f>
        <v/>
      </c>
      <c r="T276" s="21">
        <f>IF($A276="","",_xll.BDP($A276&amp;" Corp","YAS_BOND_YLD","YAS_YLD_FLAG=15","SETTLE_DT",$B$2))</f>
        <v/>
      </c>
      <c r="U276" s="24">
        <f>IF($A276="","",IF(OR(NOT(ISNUMBER($O276)),NOT(ISNUMBER($T276))),"",$O276-$T276))</f>
        <v/>
      </c>
      <c r="V276" s="22">
        <f>IF(NOT(ISNUMBER($S276)),"",COUNTIFS($G$7:$G$850,$G276,$S$7:$S$850,"&gt;"&amp;$S276)+COUNTIFS($G$7:$G276,$G276,$S$7:$S276,$S276))</f>
        <v/>
      </c>
      <c r="W276" s="22">
        <f>IF(NOT(ISNUMBER($S276)),"",COUNTIFS($G$7:$G$850,$G276,$S$7:$S$850,"&lt;"&amp;$S276)+COUNTIFS($G$7:$G276,$G276,$S$7:$S276,$S276))</f>
        <v/>
      </c>
      <c r="X276" s="17">
        <f>IF($V276="","",$G276&amp;"|"&amp;$V276)</f>
        <v/>
      </c>
      <c r="Y276" s="17">
        <f>IF($W276="","",$G276&amp;"|"&amp;$W276)</f>
        <v/>
      </c>
    </row>
    <row r="277">
      <c r="A277" s="7" t="inlineStr">
        <is>
          <t>FR001400F083</t>
        </is>
      </c>
      <c r="B277" s="8">
        <f>IF($A277="","",PROPER(_xll.BDP($A277&amp;" Corp","NAME")))</f>
        <v/>
      </c>
      <c r="C277" s="8">
        <f>IF($A277="","",IFERROR(INDEX(Company_desc!$B$2:$B$1144,MATCH($A277,Company_desc!$A$2:$A$1144,0)),IFERROR(INDEX(SYZ_static!$Q$2:$Q$806,MATCH($A277,SYZ_static!$A$2:$A$806,0)),"")))</f>
        <v/>
      </c>
      <c r="D277" s="8">
        <f>IF($A277="","",IFERROR(INDEX(SYZ_static!$B$2:$B$806,MATCH($A277,SYZ_static!$A$2:$A$806,0)),""))</f>
        <v/>
      </c>
      <c r="E277" s="8">
        <f>IF($A277="","",_xll.BDP($A277&amp;" Corp","INDUSTRY_SECTOR"))</f>
        <v/>
      </c>
      <c r="F277" s="8">
        <f>IF($A277="","",PROPER(_xll.BDP($A277&amp;" Corp","COUNTRY_FULL_NAME")))</f>
        <v/>
      </c>
      <c r="G277" s="8">
        <f>IF($A277="","",_xll.BDP($A277&amp;" Corp","CRNCY"))</f>
        <v/>
      </c>
      <c r="H277" s="8">
        <f>IF($A277="","",IFERROR(INDEX(SYZ_static!$T$2:$T$806,MATCH($A277,SYZ_static!$A$2:$A$806,0)),_xll.BDP($A277&amp;" Corp","RTG_SP")))</f>
        <v/>
      </c>
      <c r="I277" s="8">
        <f>IF($A277="","",IFERROR(INDEX(SYZ_static!$S$2:$S$806,MATCH($A277,SYZ_static!$A$2:$A$806,0)),""))</f>
        <v/>
      </c>
      <c r="J277" s="8">
        <f>IF($A277="","",_xll.BDP($A277&amp;" Corp","PAYMENT_RANK"))</f>
        <v/>
      </c>
      <c r="K277" s="9">
        <f>IF($A277="","",_xll.BDP($A277&amp;" Corp","CPN"))</f>
        <v/>
      </c>
      <c r="L277" s="10">
        <f>IF($A277="","",_xll.BDP($A277&amp;" Corp","MATURITY"))</f>
        <v/>
      </c>
      <c r="M277" s="11">
        <f>IF($A277="","",IFERROR(_xll.BDP($A277&amp;" Corp","MIN_PIECE")/1000,""))</f>
        <v/>
      </c>
      <c r="N277" s="12">
        <f>IF($A277="","",_xll.BDP($A277&amp;" Corp","PX_LAST"))</f>
        <v/>
      </c>
      <c r="O277" s="12">
        <f>IF($A277="","",_xll.BDP($A277&amp;" Corp","YAS_BOND_YLD","YAS_YLD_FLAG=15"))</f>
        <v/>
      </c>
      <c r="P277" s="12">
        <f>IF($A277="","",_xll.BDP($A277&amp;" Corp","YAS_MOD_DUR"))</f>
        <v/>
      </c>
      <c r="Q277" s="13">
        <f>IF($A277="","",_xll.BDP($A277&amp;" Corp","YAS_OAS_SPRD"))</f>
        <v/>
      </c>
      <c r="R277" s="13">
        <f>IF($A277="","",_xll.BDP($A277&amp;" Corp","YAS_OAS_SPRD","SETTLE_DT",$B$2))</f>
        <v/>
      </c>
      <c r="S277" s="14">
        <f>IF($A277="","",IF(OR(NOT(ISNUMBER($Q277)),NOT(ISNUMBER($R277))),"",$Q277-$R277))</f>
        <v/>
      </c>
      <c r="T277" s="12">
        <f>IF($A277="","",_xll.BDP($A277&amp;" Corp","YAS_BOND_YLD","YAS_YLD_FLAG=15","SETTLE_DT",$B$2))</f>
        <v/>
      </c>
      <c r="U277" s="15">
        <f>IF($A277="","",IF(OR(NOT(ISNUMBER($O277)),NOT(ISNUMBER($T277))),"",$O277-$T277))</f>
        <v/>
      </c>
      <c r="V277" s="13">
        <f>IF(NOT(ISNUMBER($S277)),"",COUNTIFS($G$7:$G$850,$G277,$S$7:$S$850,"&gt;"&amp;$S277)+COUNTIFS($G$7:$G277,$G277,$S$7:$S277,$S277))</f>
        <v/>
      </c>
      <c r="W277" s="13">
        <f>IF(NOT(ISNUMBER($S277)),"",COUNTIFS($G$7:$G$850,$G277,$S$7:$S$850,"&lt;"&amp;$S277)+COUNTIFS($G$7:$G277,$G277,$S$7:$S277,$S277))</f>
        <v/>
      </c>
      <c r="X277" s="8">
        <f>IF($V277="","",$G277&amp;"|"&amp;$V277)</f>
        <v/>
      </c>
      <c r="Y277" s="8">
        <f>IF($W277="","",$G277&amp;"|"&amp;$W277)</f>
        <v/>
      </c>
    </row>
    <row r="278">
      <c r="A278" s="16" t="inlineStr">
        <is>
          <t>US45434M2H45</t>
        </is>
      </c>
      <c r="B278" s="17">
        <f>IF($A278="","",PROPER(_xll.BDP($A278&amp;" Corp","NAME")))</f>
        <v/>
      </c>
      <c r="C278" s="17">
        <f>IF($A278="","",IFERROR(INDEX(Company_desc!$B$2:$B$1144,MATCH($A278,Company_desc!$A$2:$A$1144,0)),IFERROR(INDEX(SYZ_static!$Q$2:$Q$806,MATCH($A278,SYZ_static!$A$2:$A$806,0)),"")))</f>
        <v/>
      </c>
      <c r="D278" s="17">
        <f>IF($A278="","",IFERROR(INDEX(SYZ_static!$B$2:$B$806,MATCH($A278,SYZ_static!$A$2:$A$806,0)),""))</f>
        <v/>
      </c>
      <c r="E278" s="17">
        <f>IF($A278="","",_xll.BDP($A278&amp;" Corp","INDUSTRY_SECTOR"))</f>
        <v/>
      </c>
      <c r="F278" s="17">
        <f>IF($A278="","",PROPER(_xll.BDP($A278&amp;" Corp","COUNTRY_FULL_NAME")))</f>
        <v/>
      </c>
      <c r="G278" s="17">
        <f>IF($A278="","",_xll.BDP($A278&amp;" Corp","CRNCY"))</f>
        <v/>
      </c>
      <c r="H278" s="17">
        <f>IF($A278="","",IFERROR(INDEX(SYZ_static!$T$2:$T$806,MATCH($A278,SYZ_static!$A$2:$A$806,0)),_xll.BDP($A278&amp;" Corp","RTG_SP")))</f>
        <v/>
      </c>
      <c r="I278" s="17">
        <f>IF($A278="","",IFERROR(INDEX(SYZ_static!$S$2:$S$806,MATCH($A278,SYZ_static!$A$2:$A$806,0)),""))</f>
        <v/>
      </c>
      <c r="J278" s="17">
        <f>IF($A278="","",_xll.BDP($A278&amp;" Corp","PAYMENT_RANK"))</f>
        <v/>
      </c>
      <c r="K278" s="18">
        <f>IF($A278="","",_xll.BDP($A278&amp;" Corp","CPN"))</f>
        <v/>
      </c>
      <c r="L278" s="19">
        <f>IF($A278="","",_xll.BDP($A278&amp;" Corp","MATURITY"))</f>
        <v/>
      </c>
      <c r="M278" s="20">
        <f>IF($A278="","",IFERROR(_xll.BDP($A278&amp;" Corp","MIN_PIECE")/1000,""))</f>
        <v/>
      </c>
      <c r="N278" s="21">
        <f>IF($A278="","",_xll.BDP($A278&amp;" Corp","PX_LAST"))</f>
        <v/>
      </c>
      <c r="O278" s="21">
        <f>IF($A278="","",_xll.BDP($A278&amp;" Corp","YAS_BOND_YLD","YAS_YLD_FLAG=15"))</f>
        <v/>
      </c>
      <c r="P278" s="21">
        <f>IF($A278="","",_xll.BDP($A278&amp;" Corp","YAS_MOD_DUR"))</f>
        <v/>
      </c>
      <c r="Q278" s="22">
        <f>IF($A278="","",_xll.BDP($A278&amp;" Corp","YAS_OAS_SPRD"))</f>
        <v/>
      </c>
      <c r="R278" s="22">
        <f>IF($A278="","",_xll.BDP($A278&amp;" Corp","YAS_OAS_SPRD","SETTLE_DT",$B$2))</f>
        <v/>
      </c>
      <c r="S278" s="23">
        <f>IF($A278="","",IF(OR(NOT(ISNUMBER($Q278)),NOT(ISNUMBER($R278))),"",$Q278-$R278))</f>
        <v/>
      </c>
      <c r="T278" s="21">
        <f>IF($A278="","",_xll.BDP($A278&amp;" Corp","YAS_BOND_YLD","YAS_YLD_FLAG=15","SETTLE_DT",$B$2))</f>
        <v/>
      </c>
      <c r="U278" s="24">
        <f>IF($A278="","",IF(OR(NOT(ISNUMBER($O278)),NOT(ISNUMBER($T278))),"",$O278-$T278))</f>
        <v/>
      </c>
      <c r="V278" s="22">
        <f>IF(NOT(ISNUMBER($S278)),"",COUNTIFS($G$7:$G$850,$G278,$S$7:$S$850,"&gt;"&amp;$S278)+COUNTIFS($G$7:$G278,$G278,$S$7:$S278,$S278))</f>
        <v/>
      </c>
      <c r="W278" s="22">
        <f>IF(NOT(ISNUMBER($S278)),"",COUNTIFS($G$7:$G$850,$G278,$S$7:$S$850,"&lt;"&amp;$S278)+COUNTIFS($G$7:$G278,$G278,$S$7:$S278,$S278))</f>
        <v/>
      </c>
      <c r="X278" s="17">
        <f>IF($V278="","",$G278&amp;"|"&amp;$V278)</f>
        <v/>
      </c>
      <c r="Y278" s="17">
        <f>IF($W278="","",$G278&amp;"|"&amp;$W278)</f>
        <v/>
      </c>
    </row>
    <row r="279">
      <c r="A279" s="7" t="inlineStr">
        <is>
          <t>XS1962515372</t>
        </is>
      </c>
      <c r="B279" s="8">
        <f>IF($A279="","",PROPER(_xll.BDP($A279&amp;" Corp","NAME")))</f>
        <v/>
      </c>
      <c r="C279" s="8">
        <f>IF($A279="","",IFERROR(INDEX(Company_desc!$B$2:$B$1144,MATCH($A279,Company_desc!$A$2:$A$1144,0)),IFERROR(INDEX(SYZ_static!$Q$2:$Q$806,MATCH($A279,SYZ_static!$A$2:$A$806,0)),"")))</f>
        <v/>
      </c>
      <c r="D279" s="8">
        <f>IF($A279="","",IFERROR(INDEX(SYZ_static!$B$2:$B$806,MATCH($A279,SYZ_static!$A$2:$A$806,0)),""))</f>
        <v/>
      </c>
      <c r="E279" s="8">
        <f>IF($A279="","",_xll.BDP($A279&amp;" Corp","INDUSTRY_SECTOR"))</f>
        <v/>
      </c>
      <c r="F279" s="8">
        <f>IF($A279="","",PROPER(_xll.BDP($A279&amp;" Corp","COUNTRY_FULL_NAME")))</f>
        <v/>
      </c>
      <c r="G279" s="8">
        <f>IF($A279="","",_xll.BDP($A279&amp;" Corp","CRNCY"))</f>
        <v/>
      </c>
      <c r="H279" s="8">
        <f>IF($A279="","",IFERROR(INDEX(SYZ_static!$T$2:$T$806,MATCH($A279,SYZ_static!$A$2:$A$806,0)),_xll.BDP($A279&amp;" Corp","RTG_SP")))</f>
        <v/>
      </c>
      <c r="I279" s="8">
        <f>IF($A279="","",IFERROR(INDEX(SYZ_static!$S$2:$S$806,MATCH($A279,SYZ_static!$A$2:$A$806,0)),""))</f>
        <v/>
      </c>
      <c r="J279" s="8">
        <f>IF($A279="","",_xll.BDP($A279&amp;" Corp","PAYMENT_RANK"))</f>
        <v/>
      </c>
      <c r="K279" s="9">
        <f>IF($A279="","",_xll.BDP($A279&amp;" Corp","CPN"))</f>
        <v/>
      </c>
      <c r="L279" s="10">
        <f>IF($A279="","",_xll.BDP($A279&amp;" Corp","MATURITY"))</f>
        <v/>
      </c>
      <c r="M279" s="11">
        <f>IF($A279="","",IFERROR(_xll.BDP($A279&amp;" Corp","MIN_PIECE")/1000,""))</f>
        <v/>
      </c>
      <c r="N279" s="12">
        <f>IF($A279="","",_xll.BDP($A279&amp;" Corp","PX_LAST"))</f>
        <v/>
      </c>
      <c r="O279" s="12">
        <f>IF($A279="","",_xll.BDP($A279&amp;" Corp","YAS_BOND_YLD","YAS_YLD_FLAG=15"))</f>
        <v/>
      </c>
      <c r="P279" s="12">
        <f>IF($A279="","",_xll.BDP($A279&amp;" Corp","YAS_MOD_DUR"))</f>
        <v/>
      </c>
      <c r="Q279" s="13">
        <f>IF($A279="","",_xll.BDP($A279&amp;" Corp","YAS_OAS_SPRD"))</f>
        <v/>
      </c>
      <c r="R279" s="13">
        <f>IF($A279="","",_xll.BDP($A279&amp;" Corp","YAS_OAS_SPRD","SETTLE_DT",$B$2))</f>
        <v/>
      </c>
      <c r="S279" s="14">
        <f>IF($A279="","",IF(OR(NOT(ISNUMBER($Q279)),NOT(ISNUMBER($R279))),"",$Q279-$R279))</f>
        <v/>
      </c>
      <c r="T279" s="12">
        <f>IF($A279="","",_xll.BDP($A279&amp;" Corp","YAS_BOND_YLD","YAS_YLD_FLAG=15","SETTLE_DT",$B$2))</f>
        <v/>
      </c>
      <c r="U279" s="15">
        <f>IF($A279="","",IF(OR(NOT(ISNUMBER($O279)),NOT(ISNUMBER($T279))),"",$O279-$T279))</f>
        <v/>
      </c>
      <c r="V279" s="13">
        <f>IF(NOT(ISNUMBER($S279)),"",COUNTIFS($G$7:$G$850,$G279,$S$7:$S$850,"&gt;"&amp;$S279)+COUNTIFS($G$7:$G279,$G279,$S$7:$S279,$S279))</f>
        <v/>
      </c>
      <c r="W279" s="13">
        <f>IF(NOT(ISNUMBER($S279)),"",COUNTIFS($G$7:$G$850,$G279,$S$7:$S$850,"&lt;"&amp;$S279)+COUNTIFS($G$7:$G279,$G279,$S$7:$S279,$S279))</f>
        <v/>
      </c>
      <c r="X279" s="8">
        <f>IF($V279="","",$G279&amp;"|"&amp;$V279)</f>
        <v/>
      </c>
      <c r="Y279" s="8">
        <f>IF($W279="","",$G279&amp;"|"&amp;$W279)</f>
        <v/>
      </c>
    </row>
    <row r="280">
      <c r="A280" s="16" t="inlineStr">
        <is>
          <t>USF29416AC23</t>
        </is>
      </c>
      <c r="B280" s="17">
        <f>IF($A280="","",PROPER(_xll.BDP($A280&amp;" Corp","NAME")))</f>
        <v/>
      </c>
      <c r="C280" s="17">
        <f>IF($A280="","",IFERROR(INDEX(Company_desc!$B$2:$B$1144,MATCH($A280,Company_desc!$A$2:$A$1144,0)),IFERROR(INDEX(SYZ_static!$Q$2:$Q$806,MATCH($A280,SYZ_static!$A$2:$A$806,0)),"")))</f>
        <v/>
      </c>
      <c r="D280" s="17">
        <f>IF($A280="","",IFERROR(INDEX(SYZ_static!$B$2:$B$806,MATCH($A280,SYZ_static!$A$2:$A$806,0)),""))</f>
        <v/>
      </c>
      <c r="E280" s="17">
        <f>IF($A280="","",_xll.BDP($A280&amp;" Corp","INDUSTRY_SECTOR"))</f>
        <v/>
      </c>
      <c r="F280" s="17">
        <f>IF($A280="","",PROPER(_xll.BDP($A280&amp;" Corp","COUNTRY_FULL_NAME")))</f>
        <v/>
      </c>
      <c r="G280" s="17">
        <f>IF($A280="","",_xll.BDP($A280&amp;" Corp","CRNCY"))</f>
        <v/>
      </c>
      <c r="H280" s="17">
        <f>IF($A280="","",IFERROR(INDEX(SYZ_static!$T$2:$T$806,MATCH($A280,SYZ_static!$A$2:$A$806,0)),_xll.BDP($A280&amp;" Corp","RTG_SP")))</f>
        <v/>
      </c>
      <c r="I280" s="17">
        <f>IF($A280="","",IFERROR(INDEX(SYZ_static!$S$2:$S$806,MATCH($A280,SYZ_static!$A$2:$A$806,0)),""))</f>
        <v/>
      </c>
      <c r="J280" s="17">
        <f>IF($A280="","",_xll.BDP($A280&amp;" Corp","PAYMENT_RANK"))</f>
        <v/>
      </c>
      <c r="K280" s="18">
        <f>IF($A280="","",_xll.BDP($A280&amp;" Corp","CPN"))</f>
        <v/>
      </c>
      <c r="L280" s="19">
        <f>IF($A280="","",_xll.BDP($A280&amp;" Corp","MATURITY"))</f>
        <v/>
      </c>
      <c r="M280" s="20">
        <f>IF($A280="","",IFERROR(_xll.BDP($A280&amp;" Corp","MIN_PIECE")/1000,""))</f>
        <v/>
      </c>
      <c r="N280" s="21">
        <f>IF($A280="","",_xll.BDP($A280&amp;" Corp","PX_LAST"))</f>
        <v/>
      </c>
      <c r="O280" s="21">
        <f>IF($A280="","",_xll.BDP($A280&amp;" Corp","YAS_BOND_YLD","YAS_YLD_FLAG=15"))</f>
        <v/>
      </c>
      <c r="P280" s="21">
        <f>IF($A280="","",_xll.BDP($A280&amp;" Corp","YAS_MOD_DUR"))</f>
        <v/>
      </c>
      <c r="Q280" s="22">
        <f>IF($A280="","",_xll.BDP($A280&amp;" Corp","YAS_OAS_SPRD"))</f>
        <v/>
      </c>
      <c r="R280" s="22">
        <f>IF($A280="","",_xll.BDP($A280&amp;" Corp","YAS_OAS_SPRD","SETTLE_DT",$B$2))</f>
        <v/>
      </c>
      <c r="S280" s="23">
        <f>IF($A280="","",IF(OR(NOT(ISNUMBER($Q280)),NOT(ISNUMBER($R280))),"",$Q280-$R280))</f>
        <v/>
      </c>
      <c r="T280" s="21">
        <f>IF($A280="","",_xll.BDP($A280&amp;" Corp","YAS_BOND_YLD","YAS_YLD_FLAG=15","SETTLE_DT",$B$2))</f>
        <v/>
      </c>
      <c r="U280" s="24">
        <f>IF($A280="","",IF(OR(NOT(ISNUMBER($O280)),NOT(ISNUMBER($T280))),"",$O280-$T280))</f>
        <v/>
      </c>
      <c r="V280" s="22">
        <f>IF(NOT(ISNUMBER($S280)),"",COUNTIFS($G$7:$G$850,$G280,$S$7:$S$850,"&gt;"&amp;$S280)+COUNTIFS($G$7:$G280,$G280,$S$7:$S280,$S280))</f>
        <v/>
      </c>
      <c r="W280" s="22">
        <f>IF(NOT(ISNUMBER($S280)),"",COUNTIFS($G$7:$G$850,$G280,$S$7:$S$850,"&lt;"&amp;$S280)+COUNTIFS($G$7:$G280,$G280,$S$7:$S280,$S280))</f>
        <v/>
      </c>
      <c r="X280" s="17">
        <f>IF($V280="","",$G280&amp;"|"&amp;$V280)</f>
        <v/>
      </c>
      <c r="Y280" s="17">
        <f>IF($W280="","",$G280&amp;"|"&amp;$W280)</f>
        <v/>
      </c>
    </row>
    <row r="281">
      <c r="A281" s="7" t="inlineStr">
        <is>
          <t>US65339KCQ13</t>
        </is>
      </c>
      <c r="B281" s="8">
        <f>IF($A281="","",PROPER(_xll.BDP($A281&amp;" Corp","NAME")))</f>
        <v/>
      </c>
      <c r="C281" s="8">
        <f>IF($A281="","",IFERROR(INDEX(Company_desc!$B$2:$B$1144,MATCH($A281,Company_desc!$A$2:$A$1144,0)),IFERROR(INDEX(SYZ_static!$Q$2:$Q$806,MATCH($A281,SYZ_static!$A$2:$A$806,0)),"")))</f>
        <v/>
      </c>
      <c r="D281" s="8">
        <f>IF($A281="","",IFERROR(INDEX(SYZ_static!$B$2:$B$806,MATCH($A281,SYZ_static!$A$2:$A$806,0)),""))</f>
        <v/>
      </c>
      <c r="E281" s="8">
        <f>IF($A281="","",_xll.BDP($A281&amp;" Corp","INDUSTRY_SECTOR"))</f>
        <v/>
      </c>
      <c r="F281" s="8">
        <f>IF($A281="","",PROPER(_xll.BDP($A281&amp;" Corp","COUNTRY_FULL_NAME")))</f>
        <v/>
      </c>
      <c r="G281" s="8">
        <f>IF($A281="","",_xll.BDP($A281&amp;" Corp","CRNCY"))</f>
        <v/>
      </c>
      <c r="H281" s="8">
        <f>IF($A281="","",IFERROR(INDEX(SYZ_static!$T$2:$T$806,MATCH($A281,SYZ_static!$A$2:$A$806,0)),_xll.BDP($A281&amp;" Corp","RTG_SP")))</f>
        <v/>
      </c>
      <c r="I281" s="8">
        <f>IF($A281="","",IFERROR(INDEX(SYZ_static!$S$2:$S$806,MATCH($A281,SYZ_static!$A$2:$A$806,0)),""))</f>
        <v/>
      </c>
      <c r="J281" s="8">
        <f>IF($A281="","",_xll.BDP($A281&amp;" Corp","PAYMENT_RANK"))</f>
        <v/>
      </c>
      <c r="K281" s="9">
        <f>IF($A281="","",_xll.BDP($A281&amp;" Corp","CPN"))</f>
        <v/>
      </c>
      <c r="L281" s="10">
        <f>IF($A281="","",_xll.BDP($A281&amp;" Corp","MATURITY"))</f>
        <v/>
      </c>
      <c r="M281" s="11">
        <f>IF($A281="","",IFERROR(_xll.BDP($A281&amp;" Corp","MIN_PIECE")/1000,""))</f>
        <v/>
      </c>
      <c r="N281" s="12">
        <f>IF($A281="","",_xll.BDP($A281&amp;" Corp","PX_LAST"))</f>
        <v/>
      </c>
      <c r="O281" s="12">
        <f>IF($A281="","",_xll.BDP($A281&amp;" Corp","YAS_BOND_YLD","YAS_YLD_FLAG=15"))</f>
        <v/>
      </c>
      <c r="P281" s="12">
        <f>IF($A281="","",_xll.BDP($A281&amp;" Corp","YAS_MOD_DUR"))</f>
        <v/>
      </c>
      <c r="Q281" s="13">
        <f>IF($A281="","",_xll.BDP($A281&amp;" Corp","YAS_OAS_SPRD"))</f>
        <v/>
      </c>
      <c r="R281" s="13">
        <f>IF($A281="","",_xll.BDP($A281&amp;" Corp","YAS_OAS_SPRD","SETTLE_DT",$B$2))</f>
        <v/>
      </c>
      <c r="S281" s="14">
        <f>IF($A281="","",IF(OR(NOT(ISNUMBER($Q281)),NOT(ISNUMBER($R281))),"",$Q281-$R281))</f>
        <v/>
      </c>
      <c r="T281" s="12">
        <f>IF($A281="","",_xll.BDP($A281&amp;" Corp","YAS_BOND_YLD","YAS_YLD_FLAG=15","SETTLE_DT",$B$2))</f>
        <v/>
      </c>
      <c r="U281" s="15">
        <f>IF($A281="","",IF(OR(NOT(ISNUMBER($O281)),NOT(ISNUMBER($T281))),"",$O281-$T281))</f>
        <v/>
      </c>
      <c r="V281" s="13">
        <f>IF(NOT(ISNUMBER($S281)),"",COUNTIFS($G$7:$G$850,$G281,$S$7:$S$850,"&gt;"&amp;$S281)+COUNTIFS($G$7:$G281,$G281,$S$7:$S281,$S281))</f>
        <v/>
      </c>
      <c r="W281" s="13">
        <f>IF(NOT(ISNUMBER($S281)),"",COUNTIFS($G$7:$G$850,$G281,$S$7:$S$850,"&lt;"&amp;$S281)+COUNTIFS($G$7:$G281,$G281,$S$7:$S281,$S281))</f>
        <v/>
      </c>
      <c r="X281" s="8">
        <f>IF($V281="","",$G281&amp;"|"&amp;$V281)</f>
        <v/>
      </c>
      <c r="Y281" s="8">
        <f>IF($W281="","",$G281&amp;"|"&amp;$W281)</f>
        <v/>
      </c>
    </row>
    <row r="282">
      <c r="A282" s="16" t="inlineStr">
        <is>
          <t>USU85861AA75</t>
        </is>
      </c>
      <c r="B282" s="17">
        <f>IF($A282="","",PROPER(_xll.BDP($A282&amp;" Corp","NAME")))</f>
        <v/>
      </c>
      <c r="C282" s="17">
        <f>IF($A282="","",IFERROR(INDEX(Company_desc!$B$2:$B$1144,MATCH($A282,Company_desc!$A$2:$A$1144,0)),IFERROR(INDEX(SYZ_static!$Q$2:$Q$806,MATCH($A282,SYZ_static!$A$2:$A$806,0)),"")))</f>
        <v/>
      </c>
      <c r="D282" s="17">
        <f>IF($A282="","",IFERROR(INDEX(SYZ_static!$B$2:$B$806,MATCH($A282,SYZ_static!$A$2:$A$806,0)),""))</f>
        <v/>
      </c>
      <c r="E282" s="17">
        <f>IF($A282="","",_xll.BDP($A282&amp;" Corp","INDUSTRY_SECTOR"))</f>
        <v/>
      </c>
      <c r="F282" s="17">
        <f>IF($A282="","",PROPER(_xll.BDP($A282&amp;" Corp","COUNTRY_FULL_NAME")))</f>
        <v/>
      </c>
      <c r="G282" s="17">
        <f>IF($A282="","",_xll.BDP($A282&amp;" Corp","CRNCY"))</f>
        <v/>
      </c>
      <c r="H282" s="17">
        <f>IF($A282="","",IFERROR(INDEX(SYZ_static!$T$2:$T$806,MATCH($A282,SYZ_static!$A$2:$A$806,0)),_xll.BDP($A282&amp;" Corp","RTG_SP")))</f>
        <v/>
      </c>
      <c r="I282" s="17">
        <f>IF($A282="","",IFERROR(INDEX(SYZ_static!$S$2:$S$806,MATCH($A282,SYZ_static!$A$2:$A$806,0)),""))</f>
        <v/>
      </c>
      <c r="J282" s="17">
        <f>IF($A282="","",_xll.BDP($A282&amp;" Corp","PAYMENT_RANK"))</f>
        <v/>
      </c>
      <c r="K282" s="18">
        <f>IF($A282="","",_xll.BDP($A282&amp;" Corp","CPN"))</f>
        <v/>
      </c>
      <c r="L282" s="19">
        <f>IF($A282="","",_xll.BDP($A282&amp;" Corp","MATURITY"))</f>
        <v/>
      </c>
      <c r="M282" s="20">
        <f>IF($A282="","",IFERROR(_xll.BDP($A282&amp;" Corp","MIN_PIECE")/1000,""))</f>
        <v/>
      </c>
      <c r="N282" s="21">
        <f>IF($A282="","",_xll.BDP($A282&amp;" Corp","PX_LAST"))</f>
        <v/>
      </c>
      <c r="O282" s="21">
        <f>IF($A282="","",_xll.BDP($A282&amp;" Corp","YAS_BOND_YLD","YAS_YLD_FLAG=15"))</f>
        <v/>
      </c>
      <c r="P282" s="21">
        <f>IF($A282="","",_xll.BDP($A282&amp;" Corp","YAS_MOD_DUR"))</f>
        <v/>
      </c>
      <c r="Q282" s="22">
        <f>IF($A282="","",_xll.BDP($A282&amp;" Corp","YAS_OAS_SPRD"))</f>
        <v/>
      </c>
      <c r="R282" s="22">
        <f>IF($A282="","",_xll.BDP($A282&amp;" Corp","YAS_OAS_SPRD","SETTLE_DT",$B$2))</f>
        <v/>
      </c>
      <c r="S282" s="23">
        <f>IF($A282="","",IF(OR(NOT(ISNUMBER($Q282)),NOT(ISNUMBER($R282))),"",$Q282-$R282))</f>
        <v/>
      </c>
      <c r="T282" s="21">
        <f>IF($A282="","",_xll.BDP($A282&amp;" Corp","YAS_BOND_YLD","YAS_YLD_FLAG=15","SETTLE_DT",$B$2))</f>
        <v/>
      </c>
      <c r="U282" s="24">
        <f>IF($A282="","",IF(OR(NOT(ISNUMBER($O282)),NOT(ISNUMBER($T282))),"",$O282-$T282))</f>
        <v/>
      </c>
      <c r="V282" s="22">
        <f>IF(NOT(ISNUMBER($S282)),"",COUNTIFS($G$7:$G$850,$G282,$S$7:$S$850,"&gt;"&amp;$S282)+COUNTIFS($G$7:$G282,$G282,$S$7:$S282,$S282))</f>
        <v/>
      </c>
      <c r="W282" s="22">
        <f>IF(NOT(ISNUMBER($S282)),"",COUNTIFS($G$7:$G$850,$G282,$S$7:$S$850,"&lt;"&amp;$S282)+COUNTIFS($G$7:$G282,$G282,$S$7:$S282,$S282))</f>
        <v/>
      </c>
      <c r="X282" s="17">
        <f>IF($V282="","",$G282&amp;"|"&amp;$V282)</f>
        <v/>
      </c>
      <c r="Y282" s="17">
        <f>IF($W282="","",$G282&amp;"|"&amp;$W282)</f>
        <v/>
      </c>
    </row>
    <row r="283">
      <c r="A283" s="7" t="inlineStr">
        <is>
          <t>XS1975699569</t>
        </is>
      </c>
      <c r="B283" s="8">
        <f>IF($A283="","",PROPER(_xll.BDP($A283&amp;" Corp","NAME")))</f>
        <v/>
      </c>
      <c r="C283" s="8">
        <f>IF($A283="","",IFERROR(INDEX(Company_desc!$B$2:$B$1144,MATCH($A283,Company_desc!$A$2:$A$1144,0)),IFERROR(INDEX(SYZ_static!$Q$2:$Q$806,MATCH($A283,SYZ_static!$A$2:$A$806,0)),"")))</f>
        <v/>
      </c>
      <c r="D283" s="8">
        <f>IF($A283="","",IFERROR(INDEX(SYZ_static!$B$2:$B$806,MATCH($A283,SYZ_static!$A$2:$A$806,0)),""))</f>
        <v/>
      </c>
      <c r="E283" s="8">
        <f>IF($A283="","",_xll.BDP($A283&amp;" Corp","INDUSTRY_SECTOR"))</f>
        <v/>
      </c>
      <c r="F283" s="8">
        <f>IF($A283="","",PROPER(_xll.BDP($A283&amp;" Corp","COUNTRY_FULL_NAME")))</f>
        <v/>
      </c>
      <c r="G283" s="8">
        <f>IF($A283="","",_xll.BDP($A283&amp;" Corp","CRNCY"))</f>
        <v/>
      </c>
      <c r="H283" s="8">
        <f>IF($A283="","",IFERROR(INDEX(SYZ_static!$T$2:$T$806,MATCH($A283,SYZ_static!$A$2:$A$806,0)),_xll.BDP($A283&amp;" Corp","RTG_SP")))</f>
        <v/>
      </c>
      <c r="I283" s="8">
        <f>IF($A283="","",IFERROR(INDEX(SYZ_static!$S$2:$S$806,MATCH($A283,SYZ_static!$A$2:$A$806,0)),""))</f>
        <v/>
      </c>
      <c r="J283" s="8">
        <f>IF($A283="","",_xll.BDP($A283&amp;" Corp","PAYMENT_RANK"))</f>
        <v/>
      </c>
      <c r="K283" s="9">
        <f>IF($A283="","",_xll.BDP($A283&amp;" Corp","CPN"))</f>
        <v/>
      </c>
      <c r="L283" s="10">
        <f>IF($A283="","",_xll.BDP($A283&amp;" Corp","MATURITY"))</f>
        <v/>
      </c>
      <c r="M283" s="11">
        <f>IF($A283="","",IFERROR(_xll.BDP($A283&amp;" Corp","MIN_PIECE")/1000,""))</f>
        <v/>
      </c>
      <c r="N283" s="12">
        <f>IF($A283="","",_xll.BDP($A283&amp;" Corp","PX_LAST"))</f>
        <v/>
      </c>
      <c r="O283" s="12">
        <f>IF($A283="","",_xll.BDP($A283&amp;" Corp","YAS_BOND_YLD","YAS_YLD_FLAG=15"))</f>
        <v/>
      </c>
      <c r="P283" s="12">
        <f>IF($A283="","",_xll.BDP($A283&amp;" Corp","YAS_MOD_DUR"))</f>
        <v/>
      </c>
      <c r="Q283" s="13">
        <f>IF($A283="","",_xll.BDP($A283&amp;" Corp","YAS_OAS_SPRD"))</f>
        <v/>
      </c>
      <c r="R283" s="13">
        <f>IF($A283="","",_xll.BDP($A283&amp;" Corp","YAS_OAS_SPRD","SETTLE_DT",$B$2))</f>
        <v/>
      </c>
      <c r="S283" s="14">
        <f>IF($A283="","",IF(OR(NOT(ISNUMBER($Q283)),NOT(ISNUMBER($R283))),"",$Q283-$R283))</f>
        <v/>
      </c>
      <c r="T283" s="12">
        <f>IF($A283="","",_xll.BDP($A283&amp;" Corp","YAS_BOND_YLD","YAS_YLD_FLAG=15","SETTLE_DT",$B$2))</f>
        <v/>
      </c>
      <c r="U283" s="15">
        <f>IF($A283="","",IF(OR(NOT(ISNUMBER($O283)),NOT(ISNUMBER($T283))),"",$O283-$T283))</f>
        <v/>
      </c>
      <c r="V283" s="13">
        <f>IF(NOT(ISNUMBER($S283)),"",COUNTIFS($G$7:$G$850,$G283,$S$7:$S$850,"&gt;"&amp;$S283)+COUNTIFS($G$7:$G283,$G283,$S$7:$S283,$S283))</f>
        <v/>
      </c>
      <c r="W283" s="13">
        <f>IF(NOT(ISNUMBER($S283)),"",COUNTIFS($G$7:$G$850,$G283,$S$7:$S$850,"&lt;"&amp;$S283)+COUNTIFS($G$7:$G283,$G283,$S$7:$S283,$S283))</f>
        <v/>
      </c>
      <c r="X283" s="8">
        <f>IF($V283="","",$G283&amp;"|"&amp;$V283)</f>
        <v/>
      </c>
      <c r="Y283" s="8">
        <f>IF($W283="","",$G283&amp;"|"&amp;$W283)</f>
        <v/>
      </c>
    </row>
    <row r="284">
      <c r="A284" s="16" t="inlineStr">
        <is>
          <t>US29250NBR52</t>
        </is>
      </c>
      <c r="B284" s="17">
        <f>IF($A284="","",PROPER(_xll.BDP($A284&amp;" Corp","NAME")))</f>
        <v/>
      </c>
      <c r="C284" s="17">
        <f>IF($A284="","",IFERROR(INDEX(Company_desc!$B$2:$B$1144,MATCH($A284,Company_desc!$A$2:$A$1144,0)),IFERROR(INDEX(SYZ_static!$Q$2:$Q$806,MATCH($A284,SYZ_static!$A$2:$A$806,0)),"")))</f>
        <v/>
      </c>
      <c r="D284" s="17">
        <f>IF($A284="","",IFERROR(INDEX(SYZ_static!$B$2:$B$806,MATCH($A284,SYZ_static!$A$2:$A$806,0)),""))</f>
        <v/>
      </c>
      <c r="E284" s="17">
        <f>IF($A284="","",_xll.BDP($A284&amp;" Corp","INDUSTRY_SECTOR"))</f>
        <v/>
      </c>
      <c r="F284" s="17">
        <f>IF($A284="","",PROPER(_xll.BDP($A284&amp;" Corp","COUNTRY_FULL_NAME")))</f>
        <v/>
      </c>
      <c r="G284" s="17">
        <f>IF($A284="","",_xll.BDP($A284&amp;" Corp","CRNCY"))</f>
        <v/>
      </c>
      <c r="H284" s="17">
        <f>IF($A284="","",IFERROR(INDEX(SYZ_static!$T$2:$T$806,MATCH($A284,SYZ_static!$A$2:$A$806,0)),_xll.BDP($A284&amp;" Corp","RTG_SP")))</f>
        <v/>
      </c>
      <c r="I284" s="17">
        <f>IF($A284="","",IFERROR(INDEX(SYZ_static!$S$2:$S$806,MATCH($A284,SYZ_static!$A$2:$A$806,0)),""))</f>
        <v/>
      </c>
      <c r="J284" s="17">
        <f>IF($A284="","",_xll.BDP($A284&amp;" Corp","PAYMENT_RANK"))</f>
        <v/>
      </c>
      <c r="K284" s="18">
        <f>IF($A284="","",_xll.BDP($A284&amp;" Corp","CPN"))</f>
        <v/>
      </c>
      <c r="L284" s="19">
        <f>IF($A284="","",_xll.BDP($A284&amp;" Corp","MATURITY"))</f>
        <v/>
      </c>
      <c r="M284" s="20">
        <f>IF($A284="","",IFERROR(_xll.BDP($A284&amp;" Corp","MIN_PIECE")/1000,""))</f>
        <v/>
      </c>
      <c r="N284" s="21">
        <f>IF($A284="","",_xll.BDP($A284&amp;" Corp","PX_LAST"))</f>
        <v/>
      </c>
      <c r="O284" s="21">
        <f>IF($A284="","",_xll.BDP($A284&amp;" Corp","YAS_BOND_YLD","YAS_YLD_FLAG=15"))</f>
        <v/>
      </c>
      <c r="P284" s="21">
        <f>IF($A284="","",_xll.BDP($A284&amp;" Corp","YAS_MOD_DUR"))</f>
        <v/>
      </c>
      <c r="Q284" s="22">
        <f>IF($A284="","",_xll.BDP($A284&amp;" Corp","YAS_OAS_SPRD"))</f>
        <v/>
      </c>
      <c r="R284" s="22">
        <f>IF($A284="","",_xll.BDP($A284&amp;" Corp","YAS_OAS_SPRD","SETTLE_DT",$B$2))</f>
        <v/>
      </c>
      <c r="S284" s="23">
        <f>IF($A284="","",IF(OR(NOT(ISNUMBER($Q284)),NOT(ISNUMBER($R284))),"",$Q284-$R284))</f>
        <v/>
      </c>
      <c r="T284" s="21">
        <f>IF($A284="","",_xll.BDP($A284&amp;" Corp","YAS_BOND_YLD","YAS_YLD_FLAG=15","SETTLE_DT",$B$2))</f>
        <v/>
      </c>
      <c r="U284" s="24">
        <f>IF($A284="","",IF(OR(NOT(ISNUMBER($O284)),NOT(ISNUMBER($T284))),"",$O284-$T284))</f>
        <v/>
      </c>
      <c r="V284" s="22">
        <f>IF(NOT(ISNUMBER($S284)),"",COUNTIFS($G$7:$G$850,$G284,$S$7:$S$850,"&gt;"&amp;$S284)+COUNTIFS($G$7:$G284,$G284,$S$7:$S284,$S284))</f>
        <v/>
      </c>
      <c r="W284" s="22">
        <f>IF(NOT(ISNUMBER($S284)),"",COUNTIFS($G$7:$G$850,$G284,$S$7:$S$850,"&lt;"&amp;$S284)+COUNTIFS($G$7:$G284,$G284,$S$7:$S284,$S284))</f>
        <v/>
      </c>
      <c r="X284" s="17">
        <f>IF($V284="","",$G284&amp;"|"&amp;$V284)</f>
        <v/>
      </c>
      <c r="Y284" s="17">
        <f>IF($W284="","",$G284&amp;"|"&amp;$W284)</f>
        <v/>
      </c>
    </row>
    <row r="285">
      <c r="A285" s="7" t="inlineStr">
        <is>
          <t>US03512TAF84</t>
        </is>
      </c>
      <c r="B285" s="8">
        <f>IF($A285="","",PROPER(_xll.BDP($A285&amp;" Corp","NAME")))</f>
        <v/>
      </c>
      <c r="C285" s="8">
        <f>IF($A285="","",IFERROR(INDEX(Company_desc!$B$2:$B$1144,MATCH($A285,Company_desc!$A$2:$A$1144,0)),IFERROR(INDEX(SYZ_static!$Q$2:$Q$806,MATCH($A285,SYZ_static!$A$2:$A$806,0)),"")))</f>
        <v/>
      </c>
      <c r="D285" s="8">
        <f>IF($A285="","",IFERROR(INDEX(SYZ_static!$B$2:$B$806,MATCH($A285,SYZ_static!$A$2:$A$806,0)),""))</f>
        <v/>
      </c>
      <c r="E285" s="8">
        <f>IF($A285="","",_xll.BDP($A285&amp;" Corp","INDUSTRY_SECTOR"))</f>
        <v/>
      </c>
      <c r="F285" s="8">
        <f>IF($A285="","",PROPER(_xll.BDP($A285&amp;" Corp","COUNTRY_FULL_NAME")))</f>
        <v/>
      </c>
      <c r="G285" s="8">
        <f>IF($A285="","",_xll.BDP($A285&amp;" Corp","CRNCY"))</f>
        <v/>
      </c>
      <c r="H285" s="8">
        <f>IF($A285="","",IFERROR(INDEX(SYZ_static!$T$2:$T$806,MATCH($A285,SYZ_static!$A$2:$A$806,0)),_xll.BDP($A285&amp;" Corp","RTG_SP")))</f>
        <v/>
      </c>
      <c r="I285" s="8">
        <f>IF($A285="","",IFERROR(INDEX(SYZ_static!$S$2:$S$806,MATCH($A285,SYZ_static!$A$2:$A$806,0)),""))</f>
        <v/>
      </c>
      <c r="J285" s="8">
        <f>IF($A285="","",_xll.BDP($A285&amp;" Corp","PAYMENT_RANK"))</f>
        <v/>
      </c>
      <c r="K285" s="9">
        <f>IF($A285="","",_xll.BDP($A285&amp;" Corp","CPN"))</f>
        <v/>
      </c>
      <c r="L285" s="10">
        <f>IF($A285="","",_xll.BDP($A285&amp;" Corp","MATURITY"))</f>
        <v/>
      </c>
      <c r="M285" s="11">
        <f>IF($A285="","",IFERROR(_xll.BDP($A285&amp;" Corp","MIN_PIECE")/1000,""))</f>
        <v/>
      </c>
      <c r="N285" s="12">
        <f>IF($A285="","",_xll.BDP($A285&amp;" Corp","PX_LAST"))</f>
        <v/>
      </c>
      <c r="O285" s="12">
        <f>IF($A285="","",_xll.BDP($A285&amp;" Corp","YAS_BOND_YLD","YAS_YLD_FLAG=15"))</f>
        <v/>
      </c>
      <c r="P285" s="12">
        <f>IF($A285="","",_xll.BDP($A285&amp;" Corp","YAS_MOD_DUR"))</f>
        <v/>
      </c>
      <c r="Q285" s="13">
        <f>IF($A285="","",_xll.BDP($A285&amp;" Corp","YAS_OAS_SPRD"))</f>
        <v/>
      </c>
      <c r="R285" s="13">
        <f>IF($A285="","",_xll.BDP($A285&amp;" Corp","YAS_OAS_SPRD","SETTLE_DT",$B$2))</f>
        <v/>
      </c>
      <c r="S285" s="14">
        <f>IF($A285="","",IF(OR(NOT(ISNUMBER($Q285)),NOT(ISNUMBER($R285))),"",$Q285-$R285))</f>
        <v/>
      </c>
      <c r="T285" s="12">
        <f>IF($A285="","",_xll.BDP($A285&amp;" Corp","YAS_BOND_YLD","YAS_YLD_FLAG=15","SETTLE_DT",$B$2))</f>
        <v/>
      </c>
      <c r="U285" s="15">
        <f>IF($A285="","",IF(OR(NOT(ISNUMBER($O285)),NOT(ISNUMBER($T285))),"",$O285-$T285))</f>
        <v/>
      </c>
      <c r="V285" s="13">
        <f>IF(NOT(ISNUMBER($S285)),"",COUNTIFS($G$7:$G$850,$G285,$S$7:$S$850,"&gt;"&amp;$S285)+COUNTIFS($G$7:$G285,$G285,$S$7:$S285,$S285))</f>
        <v/>
      </c>
      <c r="W285" s="13">
        <f>IF(NOT(ISNUMBER($S285)),"",COUNTIFS($G$7:$G$850,$G285,$S$7:$S$850,"&lt;"&amp;$S285)+COUNTIFS($G$7:$G285,$G285,$S$7:$S285,$S285))</f>
        <v/>
      </c>
      <c r="X285" s="8">
        <f>IF($V285="","",$G285&amp;"|"&amp;$V285)</f>
        <v/>
      </c>
      <c r="Y285" s="8">
        <f>IF($W285="","",$G285&amp;"|"&amp;$W285)</f>
        <v/>
      </c>
    </row>
    <row r="286">
      <c r="A286" s="16" t="inlineStr">
        <is>
          <t>US404119CQ00</t>
        </is>
      </c>
      <c r="B286" s="17">
        <f>IF($A286="","",PROPER(_xll.BDP($A286&amp;" Corp","NAME")))</f>
        <v/>
      </c>
      <c r="C286" s="17">
        <f>IF($A286="","",IFERROR(INDEX(Company_desc!$B$2:$B$1144,MATCH($A286,Company_desc!$A$2:$A$1144,0)),IFERROR(INDEX(SYZ_static!$Q$2:$Q$806,MATCH($A286,SYZ_static!$A$2:$A$806,0)),"")))</f>
        <v/>
      </c>
      <c r="D286" s="17">
        <f>IF($A286="","",IFERROR(INDEX(SYZ_static!$B$2:$B$806,MATCH($A286,SYZ_static!$A$2:$A$806,0)),""))</f>
        <v/>
      </c>
      <c r="E286" s="17">
        <f>IF($A286="","",_xll.BDP($A286&amp;" Corp","INDUSTRY_SECTOR"))</f>
        <v/>
      </c>
      <c r="F286" s="17">
        <f>IF($A286="","",PROPER(_xll.BDP($A286&amp;" Corp","COUNTRY_FULL_NAME")))</f>
        <v/>
      </c>
      <c r="G286" s="17">
        <f>IF($A286="","",_xll.BDP($A286&amp;" Corp","CRNCY"))</f>
        <v/>
      </c>
      <c r="H286" s="17">
        <f>IF($A286="","",IFERROR(INDEX(SYZ_static!$T$2:$T$806,MATCH($A286,SYZ_static!$A$2:$A$806,0)),_xll.BDP($A286&amp;" Corp","RTG_SP")))</f>
        <v/>
      </c>
      <c r="I286" s="17">
        <f>IF($A286="","",IFERROR(INDEX(SYZ_static!$S$2:$S$806,MATCH($A286,SYZ_static!$A$2:$A$806,0)),""))</f>
        <v/>
      </c>
      <c r="J286" s="17">
        <f>IF($A286="","",_xll.BDP($A286&amp;" Corp","PAYMENT_RANK"))</f>
        <v/>
      </c>
      <c r="K286" s="18">
        <f>IF($A286="","",_xll.BDP($A286&amp;" Corp","CPN"))</f>
        <v/>
      </c>
      <c r="L286" s="19">
        <f>IF($A286="","",_xll.BDP($A286&amp;" Corp","MATURITY"))</f>
        <v/>
      </c>
      <c r="M286" s="20">
        <f>IF($A286="","",IFERROR(_xll.BDP($A286&amp;" Corp","MIN_PIECE")/1000,""))</f>
        <v/>
      </c>
      <c r="N286" s="21">
        <f>IF($A286="","",_xll.BDP($A286&amp;" Corp","PX_LAST"))</f>
        <v/>
      </c>
      <c r="O286" s="21">
        <f>IF($A286="","",_xll.BDP($A286&amp;" Corp","YAS_BOND_YLD","YAS_YLD_FLAG=15"))</f>
        <v/>
      </c>
      <c r="P286" s="21">
        <f>IF($A286="","",_xll.BDP($A286&amp;" Corp","YAS_MOD_DUR"))</f>
        <v/>
      </c>
      <c r="Q286" s="22">
        <f>IF($A286="","",_xll.BDP($A286&amp;" Corp","YAS_OAS_SPRD"))</f>
        <v/>
      </c>
      <c r="R286" s="22">
        <f>IF($A286="","",_xll.BDP($A286&amp;" Corp","YAS_OAS_SPRD","SETTLE_DT",$B$2))</f>
        <v/>
      </c>
      <c r="S286" s="23">
        <f>IF($A286="","",IF(OR(NOT(ISNUMBER($Q286)),NOT(ISNUMBER($R286))),"",$Q286-$R286))</f>
        <v/>
      </c>
      <c r="T286" s="21">
        <f>IF($A286="","",_xll.BDP($A286&amp;" Corp","YAS_BOND_YLD","YAS_YLD_FLAG=15","SETTLE_DT",$B$2))</f>
        <v/>
      </c>
      <c r="U286" s="24">
        <f>IF($A286="","",IF(OR(NOT(ISNUMBER($O286)),NOT(ISNUMBER($T286))),"",$O286-$T286))</f>
        <v/>
      </c>
      <c r="V286" s="22">
        <f>IF(NOT(ISNUMBER($S286)),"",COUNTIFS($G$7:$G$850,$G286,$S$7:$S$850,"&gt;"&amp;$S286)+COUNTIFS($G$7:$G286,$G286,$S$7:$S286,$S286))</f>
        <v/>
      </c>
      <c r="W286" s="22">
        <f>IF(NOT(ISNUMBER($S286)),"",COUNTIFS($G$7:$G$850,$G286,$S$7:$S$850,"&lt;"&amp;$S286)+COUNTIFS($G$7:$G286,$G286,$S$7:$S286,$S286))</f>
        <v/>
      </c>
      <c r="X286" s="17">
        <f>IF($V286="","",$G286&amp;"|"&amp;$V286)</f>
        <v/>
      </c>
      <c r="Y286" s="17">
        <f>IF($W286="","",$G286&amp;"|"&amp;$W286)</f>
        <v/>
      </c>
    </row>
    <row r="287">
      <c r="A287" s="7" t="inlineStr">
        <is>
          <t>XS2677631355</t>
        </is>
      </c>
      <c r="B287" s="8">
        <f>IF($A287="","",PROPER(_xll.BDP($A287&amp;" Corp","NAME")))</f>
        <v/>
      </c>
      <c r="C287" s="8">
        <f>IF($A287="","",IFERROR(INDEX(Company_desc!$B$2:$B$1144,MATCH($A287,Company_desc!$A$2:$A$1144,0)),IFERROR(INDEX(SYZ_static!$Q$2:$Q$806,MATCH($A287,SYZ_static!$A$2:$A$806,0)),"")))</f>
        <v/>
      </c>
      <c r="D287" s="8">
        <f>IF($A287="","",IFERROR(INDEX(SYZ_static!$B$2:$B$806,MATCH($A287,SYZ_static!$A$2:$A$806,0)),""))</f>
        <v/>
      </c>
      <c r="E287" s="8">
        <f>IF($A287="","",_xll.BDP($A287&amp;" Corp","INDUSTRY_SECTOR"))</f>
        <v/>
      </c>
      <c r="F287" s="8">
        <f>IF($A287="","",PROPER(_xll.BDP($A287&amp;" Corp","COUNTRY_FULL_NAME")))</f>
        <v/>
      </c>
      <c r="G287" s="8">
        <f>IF($A287="","",_xll.BDP($A287&amp;" Corp","CRNCY"))</f>
        <v/>
      </c>
      <c r="H287" s="8">
        <f>IF($A287="","",IFERROR(INDEX(SYZ_static!$T$2:$T$806,MATCH($A287,SYZ_static!$A$2:$A$806,0)),_xll.BDP($A287&amp;" Corp","RTG_SP")))</f>
        <v/>
      </c>
      <c r="I287" s="8">
        <f>IF($A287="","",IFERROR(INDEX(SYZ_static!$S$2:$S$806,MATCH($A287,SYZ_static!$A$2:$A$806,0)),""))</f>
        <v/>
      </c>
      <c r="J287" s="8">
        <f>IF($A287="","",_xll.BDP($A287&amp;" Corp","PAYMENT_RANK"))</f>
        <v/>
      </c>
      <c r="K287" s="9">
        <f>IF($A287="","",_xll.BDP($A287&amp;" Corp","CPN"))</f>
        <v/>
      </c>
      <c r="L287" s="10">
        <f>IF($A287="","",_xll.BDP($A287&amp;" Corp","MATURITY"))</f>
        <v/>
      </c>
      <c r="M287" s="11">
        <f>IF($A287="","",IFERROR(_xll.BDP($A287&amp;" Corp","MIN_PIECE")/1000,""))</f>
        <v/>
      </c>
      <c r="N287" s="12">
        <f>IF($A287="","",_xll.BDP($A287&amp;" Corp","PX_LAST"))</f>
        <v/>
      </c>
      <c r="O287" s="12">
        <f>IF($A287="","",_xll.BDP($A287&amp;" Corp","YAS_BOND_YLD","YAS_YLD_FLAG=15"))</f>
        <v/>
      </c>
      <c r="P287" s="12">
        <f>IF($A287="","",_xll.BDP($A287&amp;" Corp","YAS_MOD_DUR"))</f>
        <v/>
      </c>
      <c r="Q287" s="13">
        <f>IF($A287="","",_xll.BDP($A287&amp;" Corp","YAS_OAS_SPRD"))</f>
        <v/>
      </c>
      <c r="R287" s="13">
        <f>IF($A287="","",_xll.BDP($A287&amp;" Corp","YAS_OAS_SPRD","SETTLE_DT",$B$2))</f>
        <v/>
      </c>
      <c r="S287" s="14">
        <f>IF($A287="","",IF(OR(NOT(ISNUMBER($Q287)),NOT(ISNUMBER($R287))),"",$Q287-$R287))</f>
        <v/>
      </c>
      <c r="T287" s="12">
        <f>IF($A287="","",_xll.BDP($A287&amp;" Corp","YAS_BOND_YLD","YAS_YLD_FLAG=15","SETTLE_DT",$B$2))</f>
        <v/>
      </c>
      <c r="U287" s="15">
        <f>IF($A287="","",IF(OR(NOT(ISNUMBER($O287)),NOT(ISNUMBER($T287))),"",$O287-$T287))</f>
        <v/>
      </c>
      <c r="V287" s="13">
        <f>IF(NOT(ISNUMBER($S287)),"",COUNTIFS($G$7:$G$850,$G287,$S$7:$S$850,"&gt;"&amp;$S287)+COUNTIFS($G$7:$G287,$G287,$S$7:$S287,$S287))</f>
        <v/>
      </c>
      <c r="W287" s="13">
        <f>IF(NOT(ISNUMBER($S287)),"",COUNTIFS($G$7:$G$850,$G287,$S$7:$S$850,"&lt;"&amp;$S287)+COUNTIFS($G$7:$G287,$G287,$S$7:$S287,$S287))</f>
        <v/>
      </c>
      <c r="X287" s="8">
        <f>IF($V287="","",$G287&amp;"|"&amp;$V287)</f>
        <v/>
      </c>
      <c r="Y287" s="8">
        <f>IF($W287="","",$G287&amp;"|"&amp;$W287)</f>
        <v/>
      </c>
    </row>
    <row r="288">
      <c r="A288" s="16" t="inlineStr">
        <is>
          <t>FR001400G6Y4</t>
        </is>
      </c>
      <c r="B288" s="17">
        <f>IF($A288="","",PROPER(_xll.BDP($A288&amp;" Corp","NAME")))</f>
        <v/>
      </c>
      <c r="C288" s="17">
        <f>IF($A288="","",IFERROR(INDEX(Company_desc!$B$2:$B$1144,MATCH($A288,Company_desc!$A$2:$A$1144,0)),IFERROR(INDEX(SYZ_static!$Q$2:$Q$806,MATCH($A288,SYZ_static!$A$2:$A$806,0)),"")))</f>
        <v/>
      </c>
      <c r="D288" s="17">
        <f>IF($A288="","",IFERROR(INDEX(SYZ_static!$B$2:$B$806,MATCH($A288,SYZ_static!$A$2:$A$806,0)),""))</f>
        <v/>
      </c>
      <c r="E288" s="17">
        <f>IF($A288="","",_xll.BDP($A288&amp;" Corp","INDUSTRY_SECTOR"))</f>
        <v/>
      </c>
      <c r="F288" s="17">
        <f>IF($A288="","",PROPER(_xll.BDP($A288&amp;" Corp","COUNTRY_FULL_NAME")))</f>
        <v/>
      </c>
      <c r="G288" s="17">
        <f>IF($A288="","",_xll.BDP($A288&amp;" Corp","CRNCY"))</f>
        <v/>
      </c>
      <c r="H288" s="17">
        <f>IF($A288="","",IFERROR(INDEX(SYZ_static!$T$2:$T$806,MATCH($A288,SYZ_static!$A$2:$A$806,0)),_xll.BDP($A288&amp;" Corp","RTG_SP")))</f>
        <v/>
      </c>
      <c r="I288" s="17">
        <f>IF($A288="","",IFERROR(INDEX(SYZ_static!$S$2:$S$806,MATCH($A288,SYZ_static!$A$2:$A$806,0)),""))</f>
        <v/>
      </c>
      <c r="J288" s="17">
        <f>IF($A288="","",_xll.BDP($A288&amp;" Corp","PAYMENT_RANK"))</f>
        <v/>
      </c>
      <c r="K288" s="18">
        <f>IF($A288="","",_xll.BDP($A288&amp;" Corp","CPN"))</f>
        <v/>
      </c>
      <c r="L288" s="19">
        <f>IF($A288="","",_xll.BDP($A288&amp;" Corp","MATURITY"))</f>
        <v/>
      </c>
      <c r="M288" s="20">
        <f>IF($A288="","",IFERROR(_xll.BDP($A288&amp;" Corp","MIN_PIECE")/1000,""))</f>
        <v/>
      </c>
      <c r="N288" s="21">
        <f>IF($A288="","",_xll.BDP($A288&amp;" Corp","PX_LAST"))</f>
        <v/>
      </c>
      <c r="O288" s="21">
        <f>IF($A288="","",_xll.BDP($A288&amp;" Corp","YAS_BOND_YLD","YAS_YLD_FLAG=15"))</f>
        <v/>
      </c>
      <c r="P288" s="21">
        <f>IF($A288="","",_xll.BDP($A288&amp;" Corp","YAS_MOD_DUR"))</f>
        <v/>
      </c>
      <c r="Q288" s="22">
        <f>IF($A288="","",_xll.BDP($A288&amp;" Corp","YAS_OAS_SPRD"))</f>
        <v/>
      </c>
      <c r="R288" s="22">
        <f>IF($A288="","",_xll.BDP($A288&amp;" Corp","YAS_OAS_SPRD","SETTLE_DT",$B$2))</f>
        <v/>
      </c>
      <c r="S288" s="23">
        <f>IF($A288="","",IF(OR(NOT(ISNUMBER($Q288)),NOT(ISNUMBER($R288))),"",$Q288-$R288))</f>
        <v/>
      </c>
      <c r="T288" s="21">
        <f>IF($A288="","",_xll.BDP($A288&amp;" Corp","YAS_BOND_YLD","YAS_YLD_FLAG=15","SETTLE_DT",$B$2))</f>
        <v/>
      </c>
      <c r="U288" s="24">
        <f>IF($A288="","",IF(OR(NOT(ISNUMBER($O288)),NOT(ISNUMBER($T288))),"",$O288-$T288))</f>
        <v/>
      </c>
      <c r="V288" s="22">
        <f>IF(NOT(ISNUMBER($S288)),"",COUNTIFS($G$7:$G$850,$G288,$S$7:$S$850,"&gt;"&amp;$S288)+COUNTIFS($G$7:$G288,$G288,$S$7:$S288,$S288))</f>
        <v/>
      </c>
      <c r="W288" s="22">
        <f>IF(NOT(ISNUMBER($S288)),"",COUNTIFS($G$7:$G$850,$G288,$S$7:$S$850,"&lt;"&amp;$S288)+COUNTIFS($G$7:$G288,$G288,$S$7:$S288,$S288))</f>
        <v/>
      </c>
      <c r="X288" s="17">
        <f>IF($V288="","",$G288&amp;"|"&amp;$V288)</f>
        <v/>
      </c>
      <c r="Y288" s="17">
        <f>IF($W288="","",$G288&amp;"|"&amp;$W288)</f>
        <v/>
      </c>
    </row>
    <row r="289">
      <c r="A289" s="7" t="inlineStr">
        <is>
          <t>XS2473721210</t>
        </is>
      </c>
      <c r="B289" s="8">
        <f>IF($A289="","",PROPER(_xll.BDP($A289&amp;" Corp","NAME")))</f>
        <v/>
      </c>
      <c r="C289" s="8">
        <f>IF($A289="","",IFERROR(INDEX(Company_desc!$B$2:$B$1144,MATCH($A289,Company_desc!$A$2:$A$1144,0)),IFERROR(INDEX(SYZ_static!$Q$2:$Q$806,MATCH($A289,SYZ_static!$A$2:$A$806,0)),"")))</f>
        <v/>
      </c>
      <c r="D289" s="8">
        <f>IF($A289="","",IFERROR(INDEX(SYZ_static!$B$2:$B$806,MATCH($A289,SYZ_static!$A$2:$A$806,0)),""))</f>
        <v/>
      </c>
      <c r="E289" s="8">
        <f>IF($A289="","",_xll.BDP($A289&amp;" Corp","INDUSTRY_SECTOR"))</f>
        <v/>
      </c>
      <c r="F289" s="8">
        <f>IF($A289="","",PROPER(_xll.BDP($A289&amp;" Corp","COUNTRY_FULL_NAME")))</f>
        <v/>
      </c>
      <c r="G289" s="8">
        <f>IF($A289="","",_xll.BDP($A289&amp;" Corp","CRNCY"))</f>
        <v/>
      </c>
      <c r="H289" s="8">
        <f>IF($A289="","",IFERROR(INDEX(SYZ_static!$T$2:$T$806,MATCH($A289,SYZ_static!$A$2:$A$806,0)),_xll.BDP($A289&amp;" Corp","RTG_SP")))</f>
        <v/>
      </c>
      <c r="I289" s="8">
        <f>IF($A289="","",IFERROR(INDEX(SYZ_static!$S$2:$S$806,MATCH($A289,SYZ_static!$A$2:$A$806,0)),""))</f>
        <v/>
      </c>
      <c r="J289" s="8">
        <f>IF($A289="","",_xll.BDP($A289&amp;" Corp","PAYMENT_RANK"))</f>
        <v/>
      </c>
      <c r="K289" s="9">
        <f>IF($A289="","",_xll.BDP($A289&amp;" Corp","CPN"))</f>
        <v/>
      </c>
      <c r="L289" s="10">
        <f>IF($A289="","",_xll.BDP($A289&amp;" Corp","MATURITY"))</f>
        <v/>
      </c>
      <c r="M289" s="11">
        <f>IF($A289="","",IFERROR(_xll.BDP($A289&amp;" Corp","MIN_PIECE")/1000,""))</f>
        <v/>
      </c>
      <c r="N289" s="12">
        <f>IF($A289="","",_xll.BDP($A289&amp;" Corp","PX_LAST"))</f>
        <v/>
      </c>
      <c r="O289" s="12">
        <f>IF($A289="","",_xll.BDP($A289&amp;" Corp","YAS_BOND_YLD","YAS_YLD_FLAG=15"))</f>
        <v/>
      </c>
      <c r="P289" s="12">
        <f>IF($A289="","",_xll.BDP($A289&amp;" Corp","YAS_MOD_DUR"))</f>
        <v/>
      </c>
      <c r="Q289" s="13">
        <f>IF($A289="","",_xll.BDP($A289&amp;" Corp","YAS_OAS_SPRD"))</f>
        <v/>
      </c>
      <c r="R289" s="13">
        <f>IF($A289="","",_xll.BDP($A289&amp;" Corp","YAS_OAS_SPRD","SETTLE_DT",$B$2))</f>
        <v/>
      </c>
      <c r="S289" s="14">
        <f>IF($A289="","",IF(OR(NOT(ISNUMBER($Q289)),NOT(ISNUMBER($R289))),"",$Q289-$R289))</f>
        <v/>
      </c>
      <c r="T289" s="12">
        <f>IF($A289="","",_xll.BDP($A289&amp;" Corp","YAS_BOND_YLD","YAS_YLD_FLAG=15","SETTLE_DT",$B$2))</f>
        <v/>
      </c>
      <c r="U289" s="15">
        <f>IF($A289="","",IF(OR(NOT(ISNUMBER($O289)),NOT(ISNUMBER($T289))),"",$O289-$T289))</f>
        <v/>
      </c>
      <c r="V289" s="13">
        <f>IF(NOT(ISNUMBER($S289)),"",COUNTIFS($G$7:$G$850,$G289,$S$7:$S$850,"&gt;"&amp;$S289)+COUNTIFS($G$7:$G289,$G289,$S$7:$S289,$S289))</f>
        <v/>
      </c>
      <c r="W289" s="13">
        <f>IF(NOT(ISNUMBER($S289)),"",COUNTIFS($G$7:$G$850,$G289,$S$7:$S$850,"&lt;"&amp;$S289)+COUNTIFS($G$7:$G289,$G289,$S$7:$S289,$S289))</f>
        <v/>
      </c>
      <c r="X289" s="8">
        <f>IF($V289="","",$G289&amp;"|"&amp;$V289)</f>
        <v/>
      </c>
      <c r="Y289" s="8">
        <f>IF($W289="","",$G289&amp;"|"&amp;$W289)</f>
        <v/>
      </c>
    </row>
    <row r="290">
      <c r="A290" s="16" t="inlineStr">
        <is>
          <t>AT0000A34CN3</t>
        </is>
      </c>
      <c r="B290" s="17">
        <f>IF($A290="","",PROPER(_xll.BDP($A290&amp;" Corp","NAME")))</f>
        <v/>
      </c>
      <c r="C290" s="17">
        <f>IF($A290="","",IFERROR(INDEX(Company_desc!$B$2:$B$1144,MATCH($A290,Company_desc!$A$2:$A$1144,0)),IFERROR(INDEX(SYZ_static!$Q$2:$Q$806,MATCH($A290,SYZ_static!$A$2:$A$806,0)),"")))</f>
        <v/>
      </c>
      <c r="D290" s="17">
        <f>IF($A290="","",IFERROR(INDEX(SYZ_static!$B$2:$B$806,MATCH($A290,SYZ_static!$A$2:$A$806,0)),""))</f>
        <v/>
      </c>
      <c r="E290" s="17">
        <f>IF($A290="","",_xll.BDP($A290&amp;" Corp","INDUSTRY_SECTOR"))</f>
        <v/>
      </c>
      <c r="F290" s="17">
        <f>IF($A290="","",PROPER(_xll.BDP($A290&amp;" Corp","COUNTRY_FULL_NAME")))</f>
        <v/>
      </c>
      <c r="G290" s="17">
        <f>IF($A290="","",_xll.BDP($A290&amp;" Corp","CRNCY"))</f>
        <v/>
      </c>
      <c r="H290" s="17">
        <f>IF($A290="","",IFERROR(INDEX(SYZ_static!$T$2:$T$806,MATCH($A290,SYZ_static!$A$2:$A$806,0)),_xll.BDP($A290&amp;" Corp","RTG_SP")))</f>
        <v/>
      </c>
      <c r="I290" s="17">
        <f>IF($A290="","",IFERROR(INDEX(SYZ_static!$S$2:$S$806,MATCH($A290,SYZ_static!$A$2:$A$806,0)),""))</f>
        <v/>
      </c>
      <c r="J290" s="17">
        <f>IF($A290="","",_xll.BDP($A290&amp;" Corp","PAYMENT_RANK"))</f>
        <v/>
      </c>
      <c r="K290" s="18">
        <f>IF($A290="","",_xll.BDP($A290&amp;" Corp","CPN"))</f>
        <v/>
      </c>
      <c r="L290" s="19">
        <f>IF($A290="","",_xll.BDP($A290&amp;" Corp","MATURITY"))</f>
        <v/>
      </c>
      <c r="M290" s="20">
        <f>IF($A290="","",IFERROR(_xll.BDP($A290&amp;" Corp","MIN_PIECE")/1000,""))</f>
        <v/>
      </c>
      <c r="N290" s="21">
        <f>IF($A290="","",_xll.BDP($A290&amp;" Corp","PX_LAST"))</f>
        <v/>
      </c>
      <c r="O290" s="21">
        <f>IF($A290="","",_xll.BDP($A290&amp;" Corp","YAS_BOND_YLD","YAS_YLD_FLAG=15"))</f>
        <v/>
      </c>
      <c r="P290" s="21">
        <f>IF($A290="","",_xll.BDP($A290&amp;" Corp","YAS_MOD_DUR"))</f>
        <v/>
      </c>
      <c r="Q290" s="22">
        <f>IF($A290="","",_xll.BDP($A290&amp;" Corp","YAS_OAS_SPRD"))</f>
        <v/>
      </c>
      <c r="R290" s="22">
        <f>IF($A290="","",_xll.BDP($A290&amp;" Corp","YAS_OAS_SPRD","SETTLE_DT",$B$2))</f>
        <v/>
      </c>
      <c r="S290" s="23">
        <f>IF($A290="","",IF(OR(NOT(ISNUMBER($Q290)),NOT(ISNUMBER($R290))),"",$Q290-$R290))</f>
        <v/>
      </c>
      <c r="T290" s="21">
        <f>IF($A290="","",_xll.BDP($A290&amp;" Corp","YAS_BOND_YLD","YAS_YLD_FLAG=15","SETTLE_DT",$B$2))</f>
        <v/>
      </c>
      <c r="U290" s="24">
        <f>IF($A290="","",IF(OR(NOT(ISNUMBER($O290)),NOT(ISNUMBER($T290))),"",$O290-$T290))</f>
        <v/>
      </c>
      <c r="V290" s="22">
        <f>IF(NOT(ISNUMBER($S290)),"",COUNTIFS($G$7:$G$850,$G290,$S$7:$S$850,"&gt;"&amp;$S290)+COUNTIFS($G$7:$G290,$G290,$S$7:$S290,$S290))</f>
        <v/>
      </c>
      <c r="W290" s="22">
        <f>IF(NOT(ISNUMBER($S290)),"",COUNTIFS($G$7:$G$850,$G290,$S$7:$S$850,"&lt;"&amp;$S290)+COUNTIFS($G$7:$G290,$G290,$S$7:$S290,$S290))</f>
        <v/>
      </c>
      <c r="X290" s="17">
        <f>IF($V290="","",$G290&amp;"|"&amp;$V290)</f>
        <v/>
      </c>
      <c r="Y290" s="17">
        <f>IF($W290="","",$G290&amp;"|"&amp;$W290)</f>
        <v/>
      </c>
    </row>
    <row r="291">
      <c r="A291" s="7" t="inlineStr">
        <is>
          <t>CH1142754311</t>
        </is>
      </c>
      <c r="B291" s="8">
        <f>IF($A291="","",PROPER(_xll.BDP($A291&amp;" Corp","NAME")))</f>
        <v/>
      </c>
      <c r="C291" s="8">
        <f>IF($A291="","",IFERROR(INDEX(Company_desc!$B$2:$B$1144,MATCH($A291,Company_desc!$A$2:$A$1144,0)),IFERROR(INDEX(SYZ_static!$Q$2:$Q$806,MATCH($A291,SYZ_static!$A$2:$A$806,0)),"")))</f>
        <v/>
      </c>
      <c r="D291" s="8">
        <f>IF($A291="","",IFERROR(INDEX(SYZ_static!$B$2:$B$806,MATCH($A291,SYZ_static!$A$2:$A$806,0)),""))</f>
        <v/>
      </c>
      <c r="E291" s="8">
        <f>IF($A291="","",_xll.BDP($A291&amp;" Corp","INDUSTRY_SECTOR"))</f>
        <v/>
      </c>
      <c r="F291" s="8">
        <f>IF($A291="","",PROPER(_xll.BDP($A291&amp;" Corp","COUNTRY_FULL_NAME")))</f>
        <v/>
      </c>
      <c r="G291" s="8">
        <f>IF($A291="","",_xll.BDP($A291&amp;" Corp","CRNCY"))</f>
        <v/>
      </c>
      <c r="H291" s="8">
        <f>IF($A291="","",IFERROR(INDEX(SYZ_static!$T$2:$T$806,MATCH($A291,SYZ_static!$A$2:$A$806,0)),_xll.BDP($A291&amp;" Corp","RTG_SP")))</f>
        <v/>
      </c>
      <c r="I291" s="8">
        <f>IF($A291="","",IFERROR(INDEX(SYZ_static!$S$2:$S$806,MATCH($A291,SYZ_static!$A$2:$A$806,0)),""))</f>
        <v/>
      </c>
      <c r="J291" s="8">
        <f>IF($A291="","",_xll.BDP($A291&amp;" Corp","PAYMENT_RANK"))</f>
        <v/>
      </c>
      <c r="K291" s="9">
        <f>IF($A291="","",_xll.BDP($A291&amp;" Corp","CPN"))</f>
        <v/>
      </c>
      <c r="L291" s="10">
        <f>IF($A291="","",_xll.BDP($A291&amp;" Corp","MATURITY"))</f>
        <v/>
      </c>
      <c r="M291" s="11">
        <f>IF($A291="","",IFERROR(_xll.BDP($A291&amp;" Corp","MIN_PIECE")/1000,""))</f>
        <v/>
      </c>
      <c r="N291" s="12">
        <f>IF($A291="","",_xll.BDP($A291&amp;" Corp","PX_LAST"))</f>
        <v/>
      </c>
      <c r="O291" s="12">
        <f>IF($A291="","",_xll.BDP($A291&amp;" Corp","YAS_BOND_YLD","YAS_YLD_FLAG=15"))</f>
        <v/>
      </c>
      <c r="P291" s="12">
        <f>IF($A291="","",_xll.BDP($A291&amp;" Corp","YAS_MOD_DUR"))</f>
        <v/>
      </c>
      <c r="Q291" s="13">
        <f>IF($A291="","",_xll.BDP($A291&amp;" Corp","YAS_OAS_SPRD"))</f>
        <v/>
      </c>
      <c r="R291" s="13">
        <f>IF($A291="","",_xll.BDP($A291&amp;" Corp","YAS_OAS_SPRD","SETTLE_DT",$B$2))</f>
        <v/>
      </c>
      <c r="S291" s="14">
        <f>IF($A291="","",IF(OR(NOT(ISNUMBER($Q291)),NOT(ISNUMBER($R291))),"",$Q291-$R291))</f>
        <v/>
      </c>
      <c r="T291" s="12">
        <f>IF($A291="","",_xll.BDP($A291&amp;" Corp","YAS_BOND_YLD","YAS_YLD_FLAG=15","SETTLE_DT",$B$2))</f>
        <v/>
      </c>
      <c r="U291" s="15">
        <f>IF($A291="","",IF(OR(NOT(ISNUMBER($O291)),NOT(ISNUMBER($T291))),"",$O291-$T291))</f>
        <v/>
      </c>
      <c r="V291" s="13">
        <f>IF(NOT(ISNUMBER($S291)),"",COUNTIFS($G$7:$G$850,$G291,$S$7:$S$850,"&gt;"&amp;$S291)+COUNTIFS($G$7:$G291,$G291,$S$7:$S291,$S291))</f>
        <v/>
      </c>
      <c r="W291" s="13">
        <f>IF(NOT(ISNUMBER($S291)),"",COUNTIFS($G$7:$G$850,$G291,$S$7:$S$850,"&lt;"&amp;$S291)+COUNTIFS($G$7:$G291,$G291,$S$7:$S291,$S291))</f>
        <v/>
      </c>
      <c r="X291" s="8">
        <f>IF($V291="","",$G291&amp;"|"&amp;$V291)</f>
        <v/>
      </c>
      <c r="Y291" s="8">
        <f>IF($W291="","",$G291&amp;"|"&amp;$W291)</f>
        <v/>
      </c>
    </row>
    <row r="292">
      <c r="A292" s="16" t="inlineStr">
        <is>
          <t>XS2589367528</t>
        </is>
      </c>
      <c r="B292" s="17">
        <f>IF($A292="","",PROPER(_xll.BDP($A292&amp;" Corp","NAME")))</f>
        <v/>
      </c>
      <c r="C292" s="17">
        <f>IF($A292="","",IFERROR(INDEX(Company_desc!$B$2:$B$1144,MATCH($A292,Company_desc!$A$2:$A$1144,0)),IFERROR(INDEX(SYZ_static!$Q$2:$Q$806,MATCH($A292,SYZ_static!$A$2:$A$806,0)),"")))</f>
        <v/>
      </c>
      <c r="D292" s="17">
        <f>IF($A292="","",IFERROR(INDEX(SYZ_static!$B$2:$B$806,MATCH($A292,SYZ_static!$A$2:$A$806,0)),""))</f>
        <v/>
      </c>
      <c r="E292" s="17">
        <f>IF($A292="","",_xll.BDP($A292&amp;" Corp","INDUSTRY_SECTOR"))</f>
        <v/>
      </c>
      <c r="F292" s="17">
        <f>IF($A292="","",PROPER(_xll.BDP($A292&amp;" Corp","COUNTRY_FULL_NAME")))</f>
        <v/>
      </c>
      <c r="G292" s="17">
        <f>IF($A292="","",_xll.BDP($A292&amp;" Corp","CRNCY"))</f>
        <v/>
      </c>
      <c r="H292" s="17">
        <f>IF($A292="","",IFERROR(INDEX(SYZ_static!$T$2:$T$806,MATCH($A292,SYZ_static!$A$2:$A$806,0)),_xll.BDP($A292&amp;" Corp","RTG_SP")))</f>
        <v/>
      </c>
      <c r="I292" s="17">
        <f>IF($A292="","",IFERROR(INDEX(SYZ_static!$S$2:$S$806,MATCH($A292,SYZ_static!$A$2:$A$806,0)),""))</f>
        <v/>
      </c>
      <c r="J292" s="17">
        <f>IF($A292="","",_xll.BDP($A292&amp;" Corp","PAYMENT_RANK"))</f>
        <v/>
      </c>
      <c r="K292" s="18">
        <f>IF($A292="","",_xll.BDP($A292&amp;" Corp","CPN"))</f>
        <v/>
      </c>
      <c r="L292" s="19">
        <f>IF($A292="","",_xll.BDP($A292&amp;" Corp","MATURITY"))</f>
        <v/>
      </c>
      <c r="M292" s="20">
        <f>IF($A292="","",IFERROR(_xll.BDP($A292&amp;" Corp","MIN_PIECE")/1000,""))</f>
        <v/>
      </c>
      <c r="N292" s="21">
        <f>IF($A292="","",_xll.BDP($A292&amp;" Corp","PX_LAST"))</f>
        <v/>
      </c>
      <c r="O292" s="21">
        <f>IF($A292="","",_xll.BDP($A292&amp;" Corp","YAS_BOND_YLD","YAS_YLD_FLAG=15"))</f>
        <v/>
      </c>
      <c r="P292" s="21">
        <f>IF($A292="","",_xll.BDP($A292&amp;" Corp","YAS_MOD_DUR"))</f>
        <v/>
      </c>
      <c r="Q292" s="22">
        <f>IF($A292="","",_xll.BDP($A292&amp;" Corp","YAS_OAS_SPRD"))</f>
        <v/>
      </c>
      <c r="R292" s="22">
        <f>IF($A292="","",_xll.BDP($A292&amp;" Corp","YAS_OAS_SPRD","SETTLE_DT",$B$2))</f>
        <v/>
      </c>
      <c r="S292" s="23">
        <f>IF($A292="","",IF(OR(NOT(ISNUMBER($Q292)),NOT(ISNUMBER($R292))),"",$Q292-$R292))</f>
        <v/>
      </c>
      <c r="T292" s="21">
        <f>IF($A292="","",_xll.BDP($A292&amp;" Corp","YAS_BOND_YLD","YAS_YLD_FLAG=15","SETTLE_DT",$B$2))</f>
        <v/>
      </c>
      <c r="U292" s="24">
        <f>IF($A292="","",IF(OR(NOT(ISNUMBER($O292)),NOT(ISNUMBER($T292))),"",$O292-$T292))</f>
        <v/>
      </c>
      <c r="V292" s="22">
        <f>IF(NOT(ISNUMBER($S292)),"",COUNTIFS($G$7:$G$850,$G292,$S$7:$S$850,"&gt;"&amp;$S292)+COUNTIFS($G$7:$G292,$G292,$S$7:$S292,$S292))</f>
        <v/>
      </c>
      <c r="W292" s="22">
        <f>IF(NOT(ISNUMBER($S292)),"",COUNTIFS($G$7:$G$850,$G292,$S$7:$S$850,"&lt;"&amp;$S292)+COUNTIFS($G$7:$G292,$G292,$S$7:$S292,$S292))</f>
        <v/>
      </c>
      <c r="X292" s="17">
        <f>IF($V292="","",$G292&amp;"|"&amp;$V292)</f>
        <v/>
      </c>
      <c r="Y292" s="17">
        <f>IF($W292="","",$G292&amp;"|"&amp;$W292)</f>
        <v/>
      </c>
    </row>
    <row r="293">
      <c r="A293" s="7" t="inlineStr">
        <is>
          <t>XS2026710553</t>
        </is>
      </c>
      <c r="B293" s="8">
        <f>IF($A293="","",PROPER(_xll.BDP($A293&amp;" Corp","NAME")))</f>
        <v/>
      </c>
      <c r="C293" s="8">
        <f>IF($A293="","",IFERROR(INDEX(Company_desc!$B$2:$B$1144,MATCH($A293,Company_desc!$A$2:$A$1144,0)),IFERROR(INDEX(SYZ_static!$Q$2:$Q$806,MATCH($A293,SYZ_static!$A$2:$A$806,0)),"")))</f>
        <v/>
      </c>
      <c r="D293" s="8">
        <f>IF($A293="","",IFERROR(INDEX(SYZ_static!$B$2:$B$806,MATCH($A293,SYZ_static!$A$2:$A$806,0)),""))</f>
        <v/>
      </c>
      <c r="E293" s="8">
        <f>IF($A293="","",_xll.BDP($A293&amp;" Corp","INDUSTRY_SECTOR"))</f>
        <v/>
      </c>
      <c r="F293" s="8">
        <f>IF($A293="","",PROPER(_xll.BDP($A293&amp;" Corp","COUNTRY_FULL_NAME")))</f>
        <v/>
      </c>
      <c r="G293" s="8">
        <f>IF($A293="","",_xll.BDP($A293&amp;" Corp","CRNCY"))</f>
        <v/>
      </c>
      <c r="H293" s="8">
        <f>IF($A293="","",IFERROR(INDEX(SYZ_static!$T$2:$T$806,MATCH($A293,SYZ_static!$A$2:$A$806,0)),_xll.BDP($A293&amp;" Corp","RTG_SP")))</f>
        <v/>
      </c>
      <c r="I293" s="8">
        <f>IF($A293="","",IFERROR(INDEX(SYZ_static!$S$2:$S$806,MATCH($A293,SYZ_static!$A$2:$A$806,0)),""))</f>
        <v/>
      </c>
      <c r="J293" s="8">
        <f>IF($A293="","",_xll.BDP($A293&amp;" Corp","PAYMENT_RANK"))</f>
        <v/>
      </c>
      <c r="K293" s="9">
        <f>IF($A293="","",_xll.BDP($A293&amp;" Corp","CPN"))</f>
        <v/>
      </c>
      <c r="L293" s="10">
        <f>IF($A293="","",_xll.BDP($A293&amp;" Corp","MATURITY"))</f>
        <v/>
      </c>
      <c r="M293" s="11">
        <f>IF($A293="","",IFERROR(_xll.BDP($A293&amp;" Corp","MIN_PIECE")/1000,""))</f>
        <v/>
      </c>
      <c r="N293" s="12">
        <f>IF($A293="","",_xll.BDP($A293&amp;" Corp","PX_LAST"))</f>
        <v/>
      </c>
      <c r="O293" s="12">
        <f>IF($A293="","",_xll.BDP($A293&amp;" Corp","YAS_BOND_YLD","YAS_YLD_FLAG=15"))</f>
        <v/>
      </c>
      <c r="P293" s="12">
        <f>IF($A293="","",_xll.BDP($A293&amp;" Corp","YAS_MOD_DUR"))</f>
        <v/>
      </c>
      <c r="Q293" s="13">
        <f>IF($A293="","",_xll.BDP($A293&amp;" Corp","YAS_OAS_SPRD"))</f>
        <v/>
      </c>
      <c r="R293" s="13">
        <f>IF($A293="","",_xll.BDP($A293&amp;" Corp","YAS_OAS_SPRD","SETTLE_DT",$B$2))</f>
        <v/>
      </c>
      <c r="S293" s="14">
        <f>IF($A293="","",IF(OR(NOT(ISNUMBER($Q293)),NOT(ISNUMBER($R293))),"",$Q293-$R293))</f>
        <v/>
      </c>
      <c r="T293" s="12">
        <f>IF($A293="","",_xll.BDP($A293&amp;" Corp","YAS_BOND_YLD","YAS_YLD_FLAG=15","SETTLE_DT",$B$2))</f>
        <v/>
      </c>
      <c r="U293" s="15">
        <f>IF($A293="","",IF(OR(NOT(ISNUMBER($O293)),NOT(ISNUMBER($T293))),"",$O293-$T293))</f>
        <v/>
      </c>
      <c r="V293" s="13">
        <f>IF(NOT(ISNUMBER($S293)),"",COUNTIFS($G$7:$G$850,$G293,$S$7:$S$850,"&gt;"&amp;$S293)+COUNTIFS($G$7:$G293,$G293,$S$7:$S293,$S293))</f>
        <v/>
      </c>
      <c r="W293" s="13">
        <f>IF(NOT(ISNUMBER($S293)),"",COUNTIFS($G$7:$G$850,$G293,$S$7:$S$850,"&lt;"&amp;$S293)+COUNTIFS($G$7:$G293,$G293,$S$7:$S293,$S293))</f>
        <v/>
      </c>
      <c r="X293" s="8">
        <f>IF($V293="","",$G293&amp;"|"&amp;$V293)</f>
        <v/>
      </c>
      <c r="Y293" s="8">
        <f>IF($W293="","",$G293&amp;"|"&amp;$W293)</f>
        <v/>
      </c>
    </row>
    <row r="294">
      <c r="A294" s="16" t="inlineStr">
        <is>
          <t>XS1480022315</t>
        </is>
      </c>
      <c r="B294" s="17">
        <f>IF($A294="","",PROPER(_xll.BDP($A294&amp;" Corp","NAME")))</f>
        <v/>
      </c>
      <c r="C294" s="17">
        <f>IF($A294="","",IFERROR(INDEX(Company_desc!$B$2:$B$1144,MATCH($A294,Company_desc!$A$2:$A$1144,0)),IFERROR(INDEX(SYZ_static!$Q$2:$Q$806,MATCH($A294,SYZ_static!$A$2:$A$806,0)),"")))</f>
        <v/>
      </c>
      <c r="D294" s="17">
        <f>IF($A294="","",IFERROR(INDEX(SYZ_static!$B$2:$B$806,MATCH($A294,SYZ_static!$A$2:$A$806,0)),""))</f>
        <v/>
      </c>
      <c r="E294" s="17">
        <f>IF($A294="","",_xll.BDP($A294&amp;" Corp","INDUSTRY_SECTOR"))</f>
        <v/>
      </c>
      <c r="F294" s="17">
        <f>IF($A294="","",PROPER(_xll.BDP($A294&amp;" Corp","COUNTRY_FULL_NAME")))</f>
        <v/>
      </c>
      <c r="G294" s="17">
        <f>IF($A294="","",_xll.BDP($A294&amp;" Corp","CRNCY"))</f>
        <v/>
      </c>
      <c r="H294" s="17">
        <f>IF($A294="","",IFERROR(INDEX(SYZ_static!$T$2:$T$806,MATCH($A294,SYZ_static!$A$2:$A$806,0)),_xll.BDP($A294&amp;" Corp","RTG_SP")))</f>
        <v/>
      </c>
      <c r="I294" s="17">
        <f>IF($A294="","",IFERROR(INDEX(SYZ_static!$S$2:$S$806,MATCH($A294,SYZ_static!$A$2:$A$806,0)),""))</f>
        <v/>
      </c>
      <c r="J294" s="17">
        <f>IF($A294="","",_xll.BDP($A294&amp;" Corp","PAYMENT_RANK"))</f>
        <v/>
      </c>
      <c r="K294" s="18">
        <f>IF($A294="","",_xll.BDP($A294&amp;" Corp","CPN"))</f>
        <v/>
      </c>
      <c r="L294" s="19">
        <f>IF($A294="","",_xll.BDP($A294&amp;" Corp","MATURITY"))</f>
        <v/>
      </c>
      <c r="M294" s="20">
        <f>IF($A294="","",IFERROR(_xll.BDP($A294&amp;" Corp","MIN_PIECE")/1000,""))</f>
        <v/>
      </c>
      <c r="N294" s="21">
        <f>IF($A294="","",_xll.BDP($A294&amp;" Corp","PX_LAST"))</f>
        <v/>
      </c>
      <c r="O294" s="21">
        <f>IF($A294="","",_xll.BDP($A294&amp;" Corp","YAS_BOND_YLD","YAS_YLD_FLAG=15"))</f>
        <v/>
      </c>
      <c r="P294" s="21">
        <f>IF($A294="","",_xll.BDP($A294&amp;" Corp","YAS_MOD_DUR"))</f>
        <v/>
      </c>
      <c r="Q294" s="22">
        <f>IF($A294="","",_xll.BDP($A294&amp;" Corp","YAS_OAS_SPRD"))</f>
        <v/>
      </c>
      <c r="R294" s="22">
        <f>IF($A294="","",_xll.BDP($A294&amp;" Corp","YAS_OAS_SPRD","SETTLE_DT",$B$2))</f>
        <v/>
      </c>
      <c r="S294" s="23">
        <f>IF($A294="","",IF(OR(NOT(ISNUMBER($Q294)),NOT(ISNUMBER($R294))),"",$Q294-$R294))</f>
        <v/>
      </c>
      <c r="T294" s="21">
        <f>IF($A294="","",_xll.BDP($A294&amp;" Corp","YAS_BOND_YLD","YAS_YLD_FLAG=15","SETTLE_DT",$B$2))</f>
        <v/>
      </c>
      <c r="U294" s="24">
        <f>IF($A294="","",IF(OR(NOT(ISNUMBER($O294)),NOT(ISNUMBER($T294))),"",$O294-$T294))</f>
        <v/>
      </c>
      <c r="V294" s="22">
        <f>IF(NOT(ISNUMBER($S294)),"",COUNTIFS($G$7:$G$850,$G294,$S$7:$S$850,"&gt;"&amp;$S294)+COUNTIFS($G$7:$G294,$G294,$S$7:$S294,$S294))</f>
        <v/>
      </c>
      <c r="W294" s="22">
        <f>IF(NOT(ISNUMBER($S294)),"",COUNTIFS($G$7:$G$850,$G294,$S$7:$S$850,"&lt;"&amp;$S294)+COUNTIFS($G$7:$G294,$G294,$S$7:$S294,$S294))</f>
        <v/>
      </c>
      <c r="X294" s="17">
        <f>IF($V294="","",$G294&amp;"|"&amp;$V294)</f>
        <v/>
      </c>
      <c r="Y294" s="17">
        <f>IF($W294="","",$G294&amp;"|"&amp;$W294)</f>
        <v/>
      </c>
    </row>
    <row r="295">
      <c r="A295" s="7" t="inlineStr">
        <is>
          <t>XS2270576619</t>
        </is>
      </c>
      <c r="B295" s="8">
        <f>IF($A295="","",PROPER(_xll.BDP($A295&amp;" Corp","NAME")))</f>
        <v/>
      </c>
      <c r="C295" s="8">
        <f>IF($A295="","",IFERROR(INDEX(Company_desc!$B$2:$B$1144,MATCH($A295,Company_desc!$A$2:$A$1144,0)),IFERROR(INDEX(SYZ_static!$Q$2:$Q$806,MATCH($A295,SYZ_static!$A$2:$A$806,0)),"")))</f>
        <v/>
      </c>
      <c r="D295" s="8">
        <f>IF($A295="","",IFERROR(INDEX(SYZ_static!$B$2:$B$806,MATCH($A295,SYZ_static!$A$2:$A$806,0)),""))</f>
        <v/>
      </c>
      <c r="E295" s="8">
        <f>IF($A295="","",_xll.BDP($A295&amp;" Corp","INDUSTRY_SECTOR"))</f>
        <v/>
      </c>
      <c r="F295" s="8">
        <f>IF($A295="","",PROPER(_xll.BDP($A295&amp;" Corp","COUNTRY_FULL_NAME")))</f>
        <v/>
      </c>
      <c r="G295" s="8">
        <f>IF($A295="","",_xll.BDP($A295&amp;" Corp","CRNCY"))</f>
        <v/>
      </c>
      <c r="H295" s="8">
        <f>IF($A295="","",IFERROR(INDEX(SYZ_static!$T$2:$T$806,MATCH($A295,SYZ_static!$A$2:$A$806,0)),_xll.BDP($A295&amp;" Corp","RTG_SP")))</f>
        <v/>
      </c>
      <c r="I295" s="8">
        <f>IF($A295="","",IFERROR(INDEX(SYZ_static!$S$2:$S$806,MATCH($A295,SYZ_static!$A$2:$A$806,0)),""))</f>
        <v/>
      </c>
      <c r="J295" s="8">
        <f>IF($A295="","",_xll.BDP($A295&amp;" Corp","PAYMENT_RANK"))</f>
        <v/>
      </c>
      <c r="K295" s="9">
        <f>IF($A295="","",_xll.BDP($A295&amp;" Corp","CPN"))</f>
        <v/>
      </c>
      <c r="L295" s="10">
        <f>IF($A295="","",_xll.BDP($A295&amp;" Corp","MATURITY"))</f>
        <v/>
      </c>
      <c r="M295" s="11">
        <f>IF($A295="","",IFERROR(_xll.BDP($A295&amp;" Corp","MIN_PIECE")/1000,""))</f>
        <v/>
      </c>
      <c r="N295" s="12">
        <f>IF($A295="","",_xll.BDP($A295&amp;" Corp","PX_LAST"))</f>
        <v/>
      </c>
      <c r="O295" s="12">
        <f>IF($A295="","",_xll.BDP($A295&amp;" Corp","YAS_BOND_YLD","YAS_YLD_FLAG=15"))</f>
        <v/>
      </c>
      <c r="P295" s="12">
        <f>IF($A295="","",_xll.BDP($A295&amp;" Corp","YAS_MOD_DUR"))</f>
        <v/>
      </c>
      <c r="Q295" s="13">
        <f>IF($A295="","",_xll.BDP($A295&amp;" Corp","YAS_OAS_SPRD"))</f>
        <v/>
      </c>
      <c r="R295" s="13">
        <f>IF($A295="","",_xll.BDP($A295&amp;" Corp","YAS_OAS_SPRD","SETTLE_DT",$B$2))</f>
        <v/>
      </c>
      <c r="S295" s="14">
        <f>IF($A295="","",IF(OR(NOT(ISNUMBER($Q295)),NOT(ISNUMBER($R295))),"",$Q295-$R295))</f>
        <v/>
      </c>
      <c r="T295" s="12">
        <f>IF($A295="","",_xll.BDP($A295&amp;" Corp","YAS_BOND_YLD","YAS_YLD_FLAG=15","SETTLE_DT",$B$2))</f>
        <v/>
      </c>
      <c r="U295" s="15">
        <f>IF($A295="","",IF(OR(NOT(ISNUMBER($O295)),NOT(ISNUMBER($T295))),"",$O295-$T295))</f>
        <v/>
      </c>
      <c r="V295" s="13">
        <f>IF(NOT(ISNUMBER($S295)),"",COUNTIFS($G$7:$G$850,$G295,$S$7:$S$850,"&gt;"&amp;$S295)+COUNTIFS($G$7:$G295,$G295,$S$7:$S295,$S295))</f>
        <v/>
      </c>
      <c r="W295" s="13">
        <f>IF(NOT(ISNUMBER($S295)),"",COUNTIFS($G$7:$G$850,$G295,$S$7:$S$850,"&lt;"&amp;$S295)+COUNTIFS($G$7:$G295,$G295,$S$7:$S295,$S295))</f>
        <v/>
      </c>
      <c r="X295" s="8">
        <f>IF($V295="","",$G295&amp;"|"&amp;$V295)</f>
        <v/>
      </c>
      <c r="Y295" s="8">
        <f>IF($W295="","",$G295&amp;"|"&amp;$W295)</f>
        <v/>
      </c>
    </row>
    <row r="296">
      <c r="A296" s="16" t="inlineStr">
        <is>
          <t>US29390XAA28</t>
        </is>
      </c>
      <c r="B296" s="17">
        <f>IF($A296="","",PROPER(_xll.BDP($A296&amp;" Corp","NAME")))</f>
        <v/>
      </c>
      <c r="C296" s="17">
        <f>IF($A296="","",IFERROR(INDEX(Company_desc!$B$2:$B$1144,MATCH($A296,Company_desc!$A$2:$A$1144,0)),IFERROR(INDEX(SYZ_static!$Q$2:$Q$806,MATCH($A296,SYZ_static!$A$2:$A$806,0)),"")))</f>
        <v/>
      </c>
      <c r="D296" s="17">
        <f>IF($A296="","",IFERROR(INDEX(SYZ_static!$B$2:$B$806,MATCH($A296,SYZ_static!$A$2:$A$806,0)),""))</f>
        <v/>
      </c>
      <c r="E296" s="17">
        <f>IF($A296="","",_xll.BDP($A296&amp;" Corp","INDUSTRY_SECTOR"))</f>
        <v/>
      </c>
      <c r="F296" s="17">
        <f>IF($A296="","",PROPER(_xll.BDP($A296&amp;" Corp","COUNTRY_FULL_NAME")))</f>
        <v/>
      </c>
      <c r="G296" s="17">
        <f>IF($A296="","",_xll.BDP($A296&amp;" Corp","CRNCY"))</f>
        <v/>
      </c>
      <c r="H296" s="17">
        <f>IF($A296="","",IFERROR(INDEX(SYZ_static!$T$2:$T$806,MATCH($A296,SYZ_static!$A$2:$A$806,0)),_xll.BDP($A296&amp;" Corp","RTG_SP")))</f>
        <v/>
      </c>
      <c r="I296" s="17">
        <f>IF($A296="","",IFERROR(INDEX(SYZ_static!$S$2:$S$806,MATCH($A296,SYZ_static!$A$2:$A$806,0)),""))</f>
        <v/>
      </c>
      <c r="J296" s="17">
        <f>IF($A296="","",_xll.BDP($A296&amp;" Corp","PAYMENT_RANK"))</f>
        <v/>
      </c>
      <c r="K296" s="18">
        <f>IF($A296="","",_xll.BDP($A296&amp;" Corp","CPN"))</f>
        <v/>
      </c>
      <c r="L296" s="19">
        <f>IF($A296="","",_xll.BDP($A296&amp;" Corp","MATURITY"))</f>
        <v/>
      </c>
      <c r="M296" s="20">
        <f>IF($A296="","",IFERROR(_xll.BDP($A296&amp;" Corp","MIN_PIECE")/1000,""))</f>
        <v/>
      </c>
      <c r="N296" s="21">
        <f>IF($A296="","",_xll.BDP($A296&amp;" Corp","PX_LAST"))</f>
        <v/>
      </c>
      <c r="O296" s="21">
        <f>IF($A296="","",_xll.BDP($A296&amp;" Corp","YAS_BOND_YLD","YAS_YLD_FLAG=15"))</f>
        <v/>
      </c>
      <c r="P296" s="21">
        <f>IF($A296="","",_xll.BDP($A296&amp;" Corp","YAS_MOD_DUR"))</f>
        <v/>
      </c>
      <c r="Q296" s="22">
        <f>IF($A296="","",_xll.BDP($A296&amp;" Corp","YAS_OAS_SPRD"))</f>
        <v/>
      </c>
      <c r="R296" s="22">
        <f>IF($A296="","",_xll.BDP($A296&amp;" Corp","YAS_OAS_SPRD","SETTLE_DT",$B$2))</f>
        <v/>
      </c>
      <c r="S296" s="23">
        <f>IF($A296="","",IF(OR(NOT(ISNUMBER($Q296)),NOT(ISNUMBER($R296))),"",$Q296-$R296))</f>
        <v/>
      </c>
      <c r="T296" s="21">
        <f>IF($A296="","",_xll.BDP($A296&amp;" Corp","YAS_BOND_YLD","YAS_YLD_FLAG=15","SETTLE_DT",$B$2))</f>
        <v/>
      </c>
      <c r="U296" s="24">
        <f>IF($A296="","",IF(OR(NOT(ISNUMBER($O296)),NOT(ISNUMBER($T296))),"",$O296-$T296))</f>
        <v/>
      </c>
      <c r="V296" s="22">
        <f>IF(NOT(ISNUMBER($S296)),"",COUNTIFS($G$7:$G$850,$G296,$S$7:$S$850,"&gt;"&amp;$S296)+COUNTIFS($G$7:$G296,$G296,$S$7:$S296,$S296))</f>
        <v/>
      </c>
      <c r="W296" s="22">
        <f>IF(NOT(ISNUMBER($S296)),"",COUNTIFS($G$7:$G$850,$G296,$S$7:$S$850,"&lt;"&amp;$S296)+COUNTIFS($G$7:$G296,$G296,$S$7:$S296,$S296))</f>
        <v/>
      </c>
      <c r="X296" s="17">
        <f>IF($V296="","",$G296&amp;"|"&amp;$V296)</f>
        <v/>
      </c>
      <c r="Y296" s="17">
        <f>IF($W296="","",$G296&amp;"|"&amp;$W296)</f>
        <v/>
      </c>
    </row>
    <row r="297">
      <c r="A297" s="7" t="inlineStr">
        <is>
          <t>US45434M2C57</t>
        </is>
      </c>
      <c r="B297" s="8">
        <f>IF($A297="","",PROPER(_xll.BDP($A297&amp;" Corp","NAME")))</f>
        <v/>
      </c>
      <c r="C297" s="8">
        <f>IF($A297="","",IFERROR(INDEX(Company_desc!$B$2:$B$1144,MATCH($A297,Company_desc!$A$2:$A$1144,0)),IFERROR(INDEX(SYZ_static!$Q$2:$Q$806,MATCH($A297,SYZ_static!$A$2:$A$806,0)),"")))</f>
        <v/>
      </c>
      <c r="D297" s="8">
        <f>IF($A297="","",IFERROR(INDEX(SYZ_static!$B$2:$B$806,MATCH($A297,SYZ_static!$A$2:$A$806,0)),""))</f>
        <v/>
      </c>
      <c r="E297" s="8">
        <f>IF($A297="","",_xll.BDP($A297&amp;" Corp","INDUSTRY_SECTOR"))</f>
        <v/>
      </c>
      <c r="F297" s="8">
        <f>IF($A297="","",PROPER(_xll.BDP($A297&amp;" Corp","COUNTRY_FULL_NAME")))</f>
        <v/>
      </c>
      <c r="G297" s="8">
        <f>IF($A297="","",_xll.BDP($A297&amp;" Corp","CRNCY"))</f>
        <v/>
      </c>
      <c r="H297" s="8">
        <f>IF($A297="","",IFERROR(INDEX(SYZ_static!$T$2:$T$806,MATCH($A297,SYZ_static!$A$2:$A$806,0)),_xll.BDP($A297&amp;" Corp","RTG_SP")))</f>
        <v/>
      </c>
      <c r="I297" s="8">
        <f>IF($A297="","",IFERROR(INDEX(SYZ_static!$S$2:$S$806,MATCH($A297,SYZ_static!$A$2:$A$806,0)),""))</f>
        <v/>
      </c>
      <c r="J297" s="8">
        <f>IF($A297="","",_xll.BDP($A297&amp;" Corp","PAYMENT_RANK"))</f>
        <v/>
      </c>
      <c r="K297" s="9">
        <f>IF($A297="","",_xll.BDP($A297&amp;" Corp","CPN"))</f>
        <v/>
      </c>
      <c r="L297" s="10">
        <f>IF($A297="","",_xll.BDP($A297&amp;" Corp","MATURITY"))</f>
        <v/>
      </c>
      <c r="M297" s="11">
        <f>IF($A297="","",IFERROR(_xll.BDP($A297&amp;" Corp","MIN_PIECE")/1000,""))</f>
        <v/>
      </c>
      <c r="N297" s="12">
        <f>IF($A297="","",_xll.BDP($A297&amp;" Corp","PX_LAST"))</f>
        <v/>
      </c>
      <c r="O297" s="12">
        <f>IF($A297="","",_xll.BDP($A297&amp;" Corp","YAS_BOND_YLD","YAS_YLD_FLAG=15"))</f>
        <v/>
      </c>
      <c r="P297" s="12">
        <f>IF($A297="","",_xll.BDP($A297&amp;" Corp","YAS_MOD_DUR"))</f>
        <v/>
      </c>
      <c r="Q297" s="13">
        <f>IF($A297="","",_xll.BDP($A297&amp;" Corp","YAS_OAS_SPRD"))</f>
        <v/>
      </c>
      <c r="R297" s="13">
        <f>IF($A297="","",_xll.BDP($A297&amp;" Corp","YAS_OAS_SPRD","SETTLE_DT",$B$2))</f>
        <v/>
      </c>
      <c r="S297" s="14">
        <f>IF($A297="","",IF(OR(NOT(ISNUMBER($Q297)),NOT(ISNUMBER($R297))),"",$Q297-$R297))</f>
        <v/>
      </c>
      <c r="T297" s="12">
        <f>IF($A297="","",_xll.BDP($A297&amp;" Corp","YAS_BOND_YLD","YAS_YLD_FLAG=15","SETTLE_DT",$B$2))</f>
        <v/>
      </c>
      <c r="U297" s="15">
        <f>IF($A297="","",IF(OR(NOT(ISNUMBER($O297)),NOT(ISNUMBER($T297))),"",$O297-$T297))</f>
        <v/>
      </c>
      <c r="V297" s="13">
        <f>IF(NOT(ISNUMBER($S297)),"",COUNTIFS($G$7:$G$850,$G297,$S$7:$S$850,"&gt;"&amp;$S297)+COUNTIFS($G$7:$G297,$G297,$S$7:$S297,$S297))</f>
        <v/>
      </c>
      <c r="W297" s="13">
        <f>IF(NOT(ISNUMBER($S297)),"",COUNTIFS($G$7:$G$850,$G297,$S$7:$S$850,"&lt;"&amp;$S297)+COUNTIFS($G$7:$G297,$G297,$S$7:$S297,$S297))</f>
        <v/>
      </c>
      <c r="X297" s="8">
        <f>IF($V297="","",$G297&amp;"|"&amp;$V297)</f>
        <v/>
      </c>
      <c r="Y297" s="8">
        <f>IF($W297="","",$G297&amp;"|"&amp;$W297)</f>
        <v/>
      </c>
    </row>
    <row r="298">
      <c r="A298" s="16" t="inlineStr">
        <is>
          <t>USP2253TJQ33</t>
        </is>
      </c>
      <c r="B298" s="17">
        <f>IF($A298="","",PROPER(_xll.BDP($A298&amp;" Corp","NAME")))</f>
        <v/>
      </c>
      <c r="C298" s="17">
        <f>IF($A298="","",IFERROR(INDEX(Company_desc!$B$2:$B$1144,MATCH($A298,Company_desc!$A$2:$A$1144,0)),IFERROR(INDEX(SYZ_static!$Q$2:$Q$806,MATCH($A298,SYZ_static!$A$2:$A$806,0)),"")))</f>
        <v/>
      </c>
      <c r="D298" s="17">
        <f>IF($A298="","",IFERROR(INDEX(SYZ_static!$B$2:$B$806,MATCH($A298,SYZ_static!$A$2:$A$806,0)),""))</f>
        <v/>
      </c>
      <c r="E298" s="17">
        <f>IF($A298="","",_xll.BDP($A298&amp;" Corp","INDUSTRY_SECTOR"))</f>
        <v/>
      </c>
      <c r="F298" s="17">
        <f>IF($A298="","",PROPER(_xll.BDP($A298&amp;" Corp","COUNTRY_FULL_NAME")))</f>
        <v/>
      </c>
      <c r="G298" s="17">
        <f>IF($A298="","",_xll.BDP($A298&amp;" Corp","CRNCY"))</f>
        <v/>
      </c>
      <c r="H298" s="17">
        <f>IF($A298="","",IFERROR(INDEX(SYZ_static!$T$2:$T$806,MATCH($A298,SYZ_static!$A$2:$A$806,0)),_xll.BDP($A298&amp;" Corp","RTG_SP")))</f>
        <v/>
      </c>
      <c r="I298" s="17">
        <f>IF($A298="","",IFERROR(INDEX(SYZ_static!$S$2:$S$806,MATCH($A298,SYZ_static!$A$2:$A$806,0)),""))</f>
        <v/>
      </c>
      <c r="J298" s="17">
        <f>IF($A298="","",_xll.BDP($A298&amp;" Corp","PAYMENT_RANK"))</f>
        <v/>
      </c>
      <c r="K298" s="18">
        <f>IF($A298="","",_xll.BDP($A298&amp;" Corp","CPN"))</f>
        <v/>
      </c>
      <c r="L298" s="19">
        <f>IF($A298="","",_xll.BDP($A298&amp;" Corp","MATURITY"))</f>
        <v/>
      </c>
      <c r="M298" s="20">
        <f>IF($A298="","",IFERROR(_xll.BDP($A298&amp;" Corp","MIN_PIECE")/1000,""))</f>
        <v/>
      </c>
      <c r="N298" s="21">
        <f>IF($A298="","",_xll.BDP($A298&amp;" Corp","PX_LAST"))</f>
        <v/>
      </c>
      <c r="O298" s="21">
        <f>IF($A298="","",_xll.BDP($A298&amp;" Corp","YAS_BOND_YLD","YAS_YLD_FLAG=15"))</f>
        <v/>
      </c>
      <c r="P298" s="21">
        <f>IF($A298="","",_xll.BDP($A298&amp;" Corp","YAS_MOD_DUR"))</f>
        <v/>
      </c>
      <c r="Q298" s="22">
        <f>IF($A298="","",_xll.BDP($A298&amp;" Corp","YAS_OAS_SPRD"))</f>
        <v/>
      </c>
      <c r="R298" s="22">
        <f>IF($A298="","",_xll.BDP($A298&amp;" Corp","YAS_OAS_SPRD","SETTLE_DT",$B$2))</f>
        <v/>
      </c>
      <c r="S298" s="23">
        <f>IF($A298="","",IF(OR(NOT(ISNUMBER($Q298)),NOT(ISNUMBER($R298))),"",$Q298-$R298))</f>
        <v/>
      </c>
      <c r="T298" s="21">
        <f>IF($A298="","",_xll.BDP($A298&amp;" Corp","YAS_BOND_YLD","YAS_YLD_FLAG=15","SETTLE_DT",$B$2))</f>
        <v/>
      </c>
      <c r="U298" s="24">
        <f>IF($A298="","",IF(OR(NOT(ISNUMBER($O298)),NOT(ISNUMBER($T298))),"",$O298-$T298))</f>
        <v/>
      </c>
      <c r="V298" s="22">
        <f>IF(NOT(ISNUMBER($S298)),"",COUNTIFS($G$7:$G$850,$G298,$S$7:$S$850,"&gt;"&amp;$S298)+COUNTIFS($G$7:$G298,$G298,$S$7:$S298,$S298))</f>
        <v/>
      </c>
      <c r="W298" s="22">
        <f>IF(NOT(ISNUMBER($S298)),"",COUNTIFS($G$7:$G$850,$G298,$S$7:$S$850,"&lt;"&amp;$S298)+COUNTIFS($G$7:$G298,$G298,$S$7:$S298,$S298))</f>
        <v/>
      </c>
      <c r="X298" s="17">
        <f>IF($V298="","",$G298&amp;"|"&amp;$V298)</f>
        <v/>
      </c>
      <c r="Y298" s="17">
        <f>IF($W298="","",$G298&amp;"|"&amp;$W298)</f>
        <v/>
      </c>
    </row>
    <row r="299">
      <c r="A299" s="7" t="inlineStr">
        <is>
          <t>US23636BBC28</t>
        </is>
      </c>
      <c r="B299" s="8">
        <f>IF($A299="","",PROPER(_xll.BDP($A299&amp;" Corp","NAME")))</f>
        <v/>
      </c>
      <c r="C299" s="8">
        <f>IF($A299="","",IFERROR(INDEX(Company_desc!$B$2:$B$1144,MATCH($A299,Company_desc!$A$2:$A$1144,0)),IFERROR(INDEX(SYZ_static!$Q$2:$Q$806,MATCH($A299,SYZ_static!$A$2:$A$806,0)),"")))</f>
        <v/>
      </c>
      <c r="D299" s="8">
        <f>IF($A299="","",IFERROR(INDEX(SYZ_static!$B$2:$B$806,MATCH($A299,SYZ_static!$A$2:$A$806,0)),""))</f>
        <v/>
      </c>
      <c r="E299" s="8">
        <f>IF($A299="","",_xll.BDP($A299&amp;" Corp","INDUSTRY_SECTOR"))</f>
        <v/>
      </c>
      <c r="F299" s="8">
        <f>IF($A299="","",PROPER(_xll.BDP($A299&amp;" Corp","COUNTRY_FULL_NAME")))</f>
        <v/>
      </c>
      <c r="G299" s="8">
        <f>IF($A299="","",_xll.BDP($A299&amp;" Corp","CRNCY"))</f>
        <v/>
      </c>
      <c r="H299" s="8">
        <f>IF($A299="","",IFERROR(INDEX(SYZ_static!$T$2:$T$806,MATCH($A299,SYZ_static!$A$2:$A$806,0)),_xll.BDP($A299&amp;" Corp","RTG_SP")))</f>
        <v/>
      </c>
      <c r="I299" s="8">
        <f>IF($A299="","",IFERROR(INDEX(SYZ_static!$S$2:$S$806,MATCH($A299,SYZ_static!$A$2:$A$806,0)),""))</f>
        <v/>
      </c>
      <c r="J299" s="8">
        <f>IF($A299="","",_xll.BDP($A299&amp;" Corp","PAYMENT_RANK"))</f>
        <v/>
      </c>
      <c r="K299" s="9">
        <f>IF($A299="","",_xll.BDP($A299&amp;" Corp","CPN"))</f>
        <v/>
      </c>
      <c r="L299" s="10">
        <f>IF($A299="","",_xll.BDP($A299&amp;" Corp","MATURITY"))</f>
        <v/>
      </c>
      <c r="M299" s="11">
        <f>IF($A299="","",IFERROR(_xll.BDP($A299&amp;" Corp","MIN_PIECE")/1000,""))</f>
        <v/>
      </c>
      <c r="N299" s="12">
        <f>IF($A299="","",_xll.BDP($A299&amp;" Corp","PX_LAST"))</f>
        <v/>
      </c>
      <c r="O299" s="12">
        <f>IF($A299="","",_xll.BDP($A299&amp;" Corp","YAS_BOND_YLD","YAS_YLD_FLAG=15"))</f>
        <v/>
      </c>
      <c r="P299" s="12">
        <f>IF($A299="","",_xll.BDP($A299&amp;" Corp","YAS_MOD_DUR"))</f>
        <v/>
      </c>
      <c r="Q299" s="13">
        <f>IF($A299="","",_xll.BDP($A299&amp;" Corp","YAS_OAS_SPRD"))</f>
        <v/>
      </c>
      <c r="R299" s="13">
        <f>IF($A299="","",_xll.BDP($A299&amp;" Corp","YAS_OAS_SPRD","SETTLE_DT",$B$2))</f>
        <v/>
      </c>
      <c r="S299" s="14">
        <f>IF($A299="","",IF(OR(NOT(ISNUMBER($Q299)),NOT(ISNUMBER($R299))),"",$Q299-$R299))</f>
        <v/>
      </c>
      <c r="T299" s="12">
        <f>IF($A299="","",_xll.BDP($A299&amp;" Corp","YAS_BOND_YLD","YAS_YLD_FLAG=15","SETTLE_DT",$B$2))</f>
        <v/>
      </c>
      <c r="U299" s="15">
        <f>IF($A299="","",IF(OR(NOT(ISNUMBER($O299)),NOT(ISNUMBER($T299))),"",$O299-$T299))</f>
        <v/>
      </c>
      <c r="V299" s="13">
        <f>IF(NOT(ISNUMBER($S299)),"",COUNTIFS($G$7:$G$850,$G299,$S$7:$S$850,"&gt;"&amp;$S299)+COUNTIFS($G$7:$G299,$G299,$S$7:$S299,$S299))</f>
        <v/>
      </c>
      <c r="W299" s="13">
        <f>IF(NOT(ISNUMBER($S299)),"",COUNTIFS($G$7:$G$850,$G299,$S$7:$S$850,"&lt;"&amp;$S299)+COUNTIFS($G$7:$G299,$G299,$S$7:$S299,$S299))</f>
        <v/>
      </c>
      <c r="X299" s="8">
        <f>IF($V299="","",$G299&amp;"|"&amp;$V299)</f>
        <v/>
      </c>
      <c r="Y299" s="8">
        <f>IF($W299="","",$G299&amp;"|"&amp;$W299)</f>
        <v/>
      </c>
    </row>
    <row r="300">
      <c r="A300" s="16" t="inlineStr">
        <is>
          <t>CH1121837244</t>
        </is>
      </c>
      <c r="B300" s="17">
        <f>IF($A300="","",PROPER(_xll.BDP($A300&amp;" Corp","NAME")))</f>
        <v/>
      </c>
      <c r="C300" s="17">
        <f>IF($A300="","",IFERROR(INDEX(Company_desc!$B$2:$B$1144,MATCH($A300,Company_desc!$A$2:$A$1144,0)),IFERROR(INDEX(SYZ_static!$Q$2:$Q$806,MATCH($A300,SYZ_static!$A$2:$A$806,0)),"")))</f>
        <v/>
      </c>
      <c r="D300" s="17">
        <f>IF($A300="","",IFERROR(INDEX(SYZ_static!$B$2:$B$806,MATCH($A300,SYZ_static!$A$2:$A$806,0)),""))</f>
        <v/>
      </c>
      <c r="E300" s="17">
        <f>IF($A300="","",_xll.BDP($A300&amp;" Corp","INDUSTRY_SECTOR"))</f>
        <v/>
      </c>
      <c r="F300" s="17">
        <f>IF($A300="","",PROPER(_xll.BDP($A300&amp;" Corp","COUNTRY_FULL_NAME")))</f>
        <v/>
      </c>
      <c r="G300" s="17">
        <f>IF($A300="","",_xll.BDP($A300&amp;" Corp","CRNCY"))</f>
        <v/>
      </c>
      <c r="H300" s="17">
        <f>IF($A300="","",IFERROR(INDEX(SYZ_static!$T$2:$T$806,MATCH($A300,SYZ_static!$A$2:$A$806,0)),_xll.BDP($A300&amp;" Corp","RTG_SP")))</f>
        <v/>
      </c>
      <c r="I300" s="17">
        <f>IF($A300="","",IFERROR(INDEX(SYZ_static!$S$2:$S$806,MATCH($A300,SYZ_static!$A$2:$A$806,0)),""))</f>
        <v/>
      </c>
      <c r="J300" s="17">
        <f>IF($A300="","",_xll.BDP($A300&amp;" Corp","PAYMENT_RANK"))</f>
        <v/>
      </c>
      <c r="K300" s="18">
        <f>IF($A300="","",_xll.BDP($A300&amp;" Corp","CPN"))</f>
        <v/>
      </c>
      <c r="L300" s="19">
        <f>IF($A300="","",_xll.BDP($A300&amp;" Corp","MATURITY"))</f>
        <v/>
      </c>
      <c r="M300" s="20">
        <f>IF($A300="","",IFERROR(_xll.BDP($A300&amp;" Corp","MIN_PIECE")/1000,""))</f>
        <v/>
      </c>
      <c r="N300" s="21">
        <f>IF($A300="","",_xll.BDP($A300&amp;" Corp","PX_LAST"))</f>
        <v/>
      </c>
      <c r="O300" s="21">
        <f>IF($A300="","",_xll.BDP($A300&amp;" Corp","YAS_BOND_YLD","YAS_YLD_FLAG=15"))</f>
        <v/>
      </c>
      <c r="P300" s="21">
        <f>IF($A300="","",_xll.BDP($A300&amp;" Corp","YAS_MOD_DUR"))</f>
        <v/>
      </c>
      <c r="Q300" s="22">
        <f>IF($A300="","",_xll.BDP($A300&amp;" Corp","YAS_OAS_SPRD"))</f>
        <v/>
      </c>
      <c r="R300" s="22">
        <f>IF($A300="","",_xll.BDP($A300&amp;" Corp","YAS_OAS_SPRD","SETTLE_DT",$B$2))</f>
        <v/>
      </c>
      <c r="S300" s="23">
        <f>IF($A300="","",IF(OR(NOT(ISNUMBER($Q300)),NOT(ISNUMBER($R300))),"",$Q300-$R300))</f>
        <v/>
      </c>
      <c r="T300" s="21">
        <f>IF($A300="","",_xll.BDP($A300&amp;" Corp","YAS_BOND_YLD","YAS_YLD_FLAG=15","SETTLE_DT",$B$2))</f>
        <v/>
      </c>
      <c r="U300" s="24">
        <f>IF($A300="","",IF(OR(NOT(ISNUMBER($O300)),NOT(ISNUMBER($T300))),"",$O300-$T300))</f>
        <v/>
      </c>
      <c r="V300" s="22">
        <f>IF(NOT(ISNUMBER($S300)),"",COUNTIFS($G$7:$G$850,$G300,$S$7:$S$850,"&gt;"&amp;$S300)+COUNTIFS($G$7:$G300,$G300,$S$7:$S300,$S300))</f>
        <v/>
      </c>
      <c r="W300" s="22">
        <f>IF(NOT(ISNUMBER($S300)),"",COUNTIFS($G$7:$G$850,$G300,$S$7:$S$850,"&lt;"&amp;$S300)+COUNTIFS($G$7:$G300,$G300,$S$7:$S300,$S300))</f>
        <v/>
      </c>
      <c r="X300" s="17">
        <f>IF($V300="","",$G300&amp;"|"&amp;$V300)</f>
        <v/>
      </c>
      <c r="Y300" s="17">
        <f>IF($W300="","",$G300&amp;"|"&amp;$W300)</f>
        <v/>
      </c>
    </row>
    <row r="301">
      <c r="A301" s="7" t="inlineStr">
        <is>
          <t>XS2555187801</t>
        </is>
      </c>
      <c r="B301" s="8">
        <f>IF($A301="","",PROPER(_xll.BDP($A301&amp;" Corp","NAME")))</f>
        <v/>
      </c>
      <c r="C301" s="8">
        <f>IF($A301="","",IFERROR(INDEX(Company_desc!$B$2:$B$1144,MATCH($A301,Company_desc!$A$2:$A$1144,0)),IFERROR(INDEX(SYZ_static!$Q$2:$Q$806,MATCH($A301,SYZ_static!$A$2:$A$806,0)),"")))</f>
        <v/>
      </c>
      <c r="D301" s="8">
        <f>IF($A301="","",IFERROR(INDEX(SYZ_static!$B$2:$B$806,MATCH($A301,SYZ_static!$A$2:$A$806,0)),""))</f>
        <v/>
      </c>
      <c r="E301" s="8">
        <f>IF($A301="","",_xll.BDP($A301&amp;" Corp","INDUSTRY_SECTOR"))</f>
        <v/>
      </c>
      <c r="F301" s="8">
        <f>IF($A301="","",PROPER(_xll.BDP($A301&amp;" Corp","COUNTRY_FULL_NAME")))</f>
        <v/>
      </c>
      <c r="G301" s="8">
        <f>IF($A301="","",_xll.BDP($A301&amp;" Corp","CRNCY"))</f>
        <v/>
      </c>
      <c r="H301" s="8">
        <f>IF($A301="","",IFERROR(INDEX(SYZ_static!$T$2:$T$806,MATCH($A301,SYZ_static!$A$2:$A$806,0)),_xll.BDP($A301&amp;" Corp","RTG_SP")))</f>
        <v/>
      </c>
      <c r="I301" s="8">
        <f>IF($A301="","",IFERROR(INDEX(SYZ_static!$S$2:$S$806,MATCH($A301,SYZ_static!$A$2:$A$806,0)),""))</f>
        <v/>
      </c>
      <c r="J301" s="8">
        <f>IF($A301="","",_xll.BDP($A301&amp;" Corp","PAYMENT_RANK"))</f>
        <v/>
      </c>
      <c r="K301" s="9">
        <f>IF($A301="","",_xll.BDP($A301&amp;" Corp","CPN"))</f>
        <v/>
      </c>
      <c r="L301" s="10">
        <f>IF($A301="","",_xll.BDP($A301&amp;" Corp","MATURITY"))</f>
        <v/>
      </c>
      <c r="M301" s="11">
        <f>IF($A301="","",IFERROR(_xll.BDP($A301&amp;" Corp","MIN_PIECE")/1000,""))</f>
        <v/>
      </c>
      <c r="N301" s="12">
        <f>IF($A301="","",_xll.BDP($A301&amp;" Corp","PX_LAST"))</f>
        <v/>
      </c>
      <c r="O301" s="12">
        <f>IF($A301="","",_xll.BDP($A301&amp;" Corp","YAS_BOND_YLD","YAS_YLD_FLAG=15"))</f>
        <v/>
      </c>
      <c r="P301" s="12">
        <f>IF($A301="","",_xll.BDP($A301&amp;" Corp","YAS_MOD_DUR"))</f>
        <v/>
      </c>
      <c r="Q301" s="13">
        <f>IF($A301="","",_xll.BDP($A301&amp;" Corp","YAS_OAS_SPRD"))</f>
        <v/>
      </c>
      <c r="R301" s="13">
        <f>IF($A301="","",_xll.BDP($A301&amp;" Corp","YAS_OAS_SPRD","SETTLE_DT",$B$2))</f>
        <v/>
      </c>
      <c r="S301" s="14">
        <f>IF($A301="","",IF(OR(NOT(ISNUMBER($Q301)),NOT(ISNUMBER($R301))),"",$Q301-$R301))</f>
        <v/>
      </c>
      <c r="T301" s="12">
        <f>IF($A301="","",_xll.BDP($A301&amp;" Corp","YAS_BOND_YLD","YAS_YLD_FLAG=15","SETTLE_DT",$B$2))</f>
        <v/>
      </c>
      <c r="U301" s="15">
        <f>IF($A301="","",IF(OR(NOT(ISNUMBER($O301)),NOT(ISNUMBER($T301))),"",$O301-$T301))</f>
        <v/>
      </c>
      <c r="V301" s="13">
        <f>IF(NOT(ISNUMBER($S301)),"",COUNTIFS($G$7:$G$850,$G301,$S$7:$S$850,"&gt;"&amp;$S301)+COUNTIFS($G$7:$G301,$G301,$S$7:$S301,$S301))</f>
        <v/>
      </c>
      <c r="W301" s="13">
        <f>IF(NOT(ISNUMBER($S301)),"",COUNTIFS($G$7:$G$850,$G301,$S$7:$S$850,"&lt;"&amp;$S301)+COUNTIFS($G$7:$G301,$G301,$S$7:$S301,$S301))</f>
        <v/>
      </c>
      <c r="X301" s="8">
        <f>IF($V301="","",$G301&amp;"|"&amp;$V301)</f>
        <v/>
      </c>
      <c r="Y301" s="8">
        <f>IF($W301="","",$G301&amp;"|"&amp;$W301)</f>
        <v/>
      </c>
    </row>
    <row r="302">
      <c r="A302" s="16" t="inlineStr">
        <is>
          <t>US46647PDU75</t>
        </is>
      </c>
      <c r="B302" s="17">
        <f>IF($A302="","",PROPER(_xll.BDP($A302&amp;" Corp","NAME")))</f>
        <v/>
      </c>
      <c r="C302" s="17">
        <f>IF($A302="","",IFERROR(INDEX(Company_desc!$B$2:$B$1144,MATCH($A302,Company_desc!$A$2:$A$1144,0)),IFERROR(INDEX(SYZ_static!$Q$2:$Q$806,MATCH($A302,SYZ_static!$A$2:$A$806,0)),"")))</f>
        <v/>
      </c>
      <c r="D302" s="17">
        <f>IF($A302="","",IFERROR(INDEX(SYZ_static!$B$2:$B$806,MATCH($A302,SYZ_static!$A$2:$A$806,0)),""))</f>
        <v/>
      </c>
      <c r="E302" s="17">
        <f>IF($A302="","",_xll.BDP($A302&amp;" Corp","INDUSTRY_SECTOR"))</f>
        <v/>
      </c>
      <c r="F302" s="17">
        <f>IF($A302="","",PROPER(_xll.BDP($A302&amp;" Corp","COUNTRY_FULL_NAME")))</f>
        <v/>
      </c>
      <c r="G302" s="17">
        <f>IF($A302="","",_xll.BDP($A302&amp;" Corp","CRNCY"))</f>
        <v/>
      </c>
      <c r="H302" s="17">
        <f>IF($A302="","",IFERROR(INDEX(SYZ_static!$T$2:$T$806,MATCH($A302,SYZ_static!$A$2:$A$806,0)),_xll.BDP($A302&amp;" Corp","RTG_SP")))</f>
        <v/>
      </c>
      <c r="I302" s="17">
        <f>IF($A302="","",IFERROR(INDEX(SYZ_static!$S$2:$S$806,MATCH($A302,SYZ_static!$A$2:$A$806,0)),""))</f>
        <v/>
      </c>
      <c r="J302" s="17">
        <f>IF($A302="","",_xll.BDP($A302&amp;" Corp","PAYMENT_RANK"))</f>
        <v/>
      </c>
      <c r="K302" s="18">
        <f>IF($A302="","",_xll.BDP($A302&amp;" Corp","CPN"))</f>
        <v/>
      </c>
      <c r="L302" s="19">
        <f>IF($A302="","",_xll.BDP($A302&amp;" Corp","MATURITY"))</f>
        <v/>
      </c>
      <c r="M302" s="20">
        <f>IF($A302="","",IFERROR(_xll.BDP($A302&amp;" Corp","MIN_PIECE")/1000,""))</f>
        <v/>
      </c>
      <c r="N302" s="21">
        <f>IF($A302="","",_xll.BDP($A302&amp;" Corp","PX_LAST"))</f>
        <v/>
      </c>
      <c r="O302" s="21">
        <f>IF($A302="","",_xll.BDP($A302&amp;" Corp","YAS_BOND_YLD","YAS_YLD_FLAG=15"))</f>
        <v/>
      </c>
      <c r="P302" s="21">
        <f>IF($A302="","",_xll.BDP($A302&amp;" Corp","YAS_MOD_DUR"))</f>
        <v/>
      </c>
      <c r="Q302" s="22">
        <f>IF($A302="","",_xll.BDP($A302&amp;" Corp","YAS_OAS_SPRD"))</f>
        <v/>
      </c>
      <c r="R302" s="22">
        <f>IF($A302="","",_xll.BDP($A302&amp;" Corp","YAS_OAS_SPRD","SETTLE_DT",$B$2))</f>
        <v/>
      </c>
      <c r="S302" s="23">
        <f>IF($A302="","",IF(OR(NOT(ISNUMBER($Q302)),NOT(ISNUMBER($R302))),"",$Q302-$R302))</f>
        <v/>
      </c>
      <c r="T302" s="21">
        <f>IF($A302="","",_xll.BDP($A302&amp;" Corp","YAS_BOND_YLD","YAS_YLD_FLAG=15","SETTLE_DT",$B$2))</f>
        <v/>
      </c>
      <c r="U302" s="24">
        <f>IF($A302="","",IF(OR(NOT(ISNUMBER($O302)),NOT(ISNUMBER($T302))),"",$O302-$T302))</f>
        <v/>
      </c>
      <c r="V302" s="22">
        <f>IF(NOT(ISNUMBER($S302)),"",COUNTIFS($G$7:$G$850,$G302,$S$7:$S$850,"&gt;"&amp;$S302)+COUNTIFS($G$7:$G302,$G302,$S$7:$S302,$S302))</f>
        <v/>
      </c>
      <c r="W302" s="22">
        <f>IF(NOT(ISNUMBER($S302)),"",COUNTIFS($G$7:$G$850,$G302,$S$7:$S$850,"&lt;"&amp;$S302)+COUNTIFS($G$7:$G302,$G302,$S$7:$S302,$S302))</f>
        <v/>
      </c>
      <c r="X302" s="17">
        <f>IF($V302="","",$G302&amp;"|"&amp;$V302)</f>
        <v/>
      </c>
      <c r="Y302" s="17">
        <f>IF($W302="","",$G302&amp;"|"&amp;$W302)</f>
        <v/>
      </c>
    </row>
    <row r="303">
      <c r="A303" s="7" t="inlineStr">
        <is>
          <t>XS2592658947</t>
        </is>
      </c>
      <c r="B303" s="8">
        <f>IF($A303="","",PROPER(_xll.BDP($A303&amp;" Corp","NAME")))</f>
        <v/>
      </c>
      <c r="C303" s="8">
        <f>IF($A303="","",IFERROR(INDEX(Company_desc!$B$2:$B$1144,MATCH($A303,Company_desc!$A$2:$A$1144,0)),IFERROR(INDEX(SYZ_static!$Q$2:$Q$806,MATCH($A303,SYZ_static!$A$2:$A$806,0)),"")))</f>
        <v/>
      </c>
      <c r="D303" s="8">
        <f>IF($A303="","",IFERROR(INDEX(SYZ_static!$B$2:$B$806,MATCH($A303,SYZ_static!$A$2:$A$806,0)),""))</f>
        <v/>
      </c>
      <c r="E303" s="8">
        <f>IF($A303="","",_xll.BDP($A303&amp;" Corp","INDUSTRY_SECTOR"))</f>
        <v/>
      </c>
      <c r="F303" s="8">
        <f>IF($A303="","",PROPER(_xll.BDP($A303&amp;" Corp","COUNTRY_FULL_NAME")))</f>
        <v/>
      </c>
      <c r="G303" s="8">
        <f>IF($A303="","",_xll.BDP($A303&amp;" Corp","CRNCY"))</f>
        <v/>
      </c>
      <c r="H303" s="8">
        <f>IF($A303="","",IFERROR(INDEX(SYZ_static!$T$2:$T$806,MATCH($A303,SYZ_static!$A$2:$A$806,0)),_xll.BDP($A303&amp;" Corp","RTG_SP")))</f>
        <v/>
      </c>
      <c r="I303" s="8">
        <f>IF($A303="","",IFERROR(INDEX(SYZ_static!$S$2:$S$806,MATCH($A303,SYZ_static!$A$2:$A$806,0)),""))</f>
        <v/>
      </c>
      <c r="J303" s="8">
        <f>IF($A303="","",_xll.BDP($A303&amp;" Corp","PAYMENT_RANK"))</f>
        <v/>
      </c>
      <c r="K303" s="9">
        <f>IF($A303="","",_xll.BDP($A303&amp;" Corp","CPN"))</f>
        <v/>
      </c>
      <c r="L303" s="10">
        <f>IF($A303="","",_xll.BDP($A303&amp;" Corp","MATURITY"))</f>
        <v/>
      </c>
      <c r="M303" s="11">
        <f>IF($A303="","",IFERROR(_xll.BDP($A303&amp;" Corp","MIN_PIECE")/1000,""))</f>
        <v/>
      </c>
      <c r="N303" s="12">
        <f>IF($A303="","",_xll.BDP($A303&amp;" Corp","PX_LAST"))</f>
        <v/>
      </c>
      <c r="O303" s="12">
        <f>IF($A303="","",_xll.BDP($A303&amp;" Corp","YAS_BOND_YLD","YAS_YLD_FLAG=15"))</f>
        <v/>
      </c>
      <c r="P303" s="12">
        <f>IF($A303="","",_xll.BDP($A303&amp;" Corp","YAS_MOD_DUR"))</f>
        <v/>
      </c>
      <c r="Q303" s="13">
        <f>IF($A303="","",_xll.BDP($A303&amp;" Corp","YAS_OAS_SPRD"))</f>
        <v/>
      </c>
      <c r="R303" s="13">
        <f>IF($A303="","",_xll.BDP($A303&amp;" Corp","YAS_OAS_SPRD","SETTLE_DT",$B$2))</f>
        <v/>
      </c>
      <c r="S303" s="14">
        <f>IF($A303="","",IF(OR(NOT(ISNUMBER($Q303)),NOT(ISNUMBER($R303))),"",$Q303-$R303))</f>
        <v/>
      </c>
      <c r="T303" s="12">
        <f>IF($A303="","",_xll.BDP($A303&amp;" Corp","YAS_BOND_YLD","YAS_YLD_FLAG=15","SETTLE_DT",$B$2))</f>
        <v/>
      </c>
      <c r="U303" s="15">
        <f>IF($A303="","",IF(OR(NOT(ISNUMBER($O303)),NOT(ISNUMBER($T303))),"",$O303-$T303))</f>
        <v/>
      </c>
      <c r="V303" s="13">
        <f>IF(NOT(ISNUMBER($S303)),"",COUNTIFS($G$7:$G$850,$G303,$S$7:$S$850,"&gt;"&amp;$S303)+COUNTIFS($G$7:$G303,$G303,$S$7:$S303,$S303))</f>
        <v/>
      </c>
      <c r="W303" s="13">
        <f>IF(NOT(ISNUMBER($S303)),"",COUNTIFS($G$7:$G$850,$G303,$S$7:$S$850,"&lt;"&amp;$S303)+COUNTIFS($G$7:$G303,$G303,$S$7:$S303,$S303))</f>
        <v/>
      </c>
      <c r="X303" s="8">
        <f>IF($V303="","",$G303&amp;"|"&amp;$V303)</f>
        <v/>
      </c>
      <c r="Y303" s="8">
        <f>IF($W303="","",$G303&amp;"|"&amp;$W303)</f>
        <v/>
      </c>
    </row>
    <row r="304">
      <c r="A304" s="16" t="inlineStr">
        <is>
          <t>US58013MFW91</t>
        </is>
      </c>
      <c r="B304" s="17">
        <f>IF($A304="","",PROPER(_xll.BDP($A304&amp;" Corp","NAME")))</f>
        <v/>
      </c>
      <c r="C304" s="17">
        <f>IF($A304="","",IFERROR(INDEX(Company_desc!$B$2:$B$1144,MATCH($A304,Company_desc!$A$2:$A$1144,0)),IFERROR(INDEX(SYZ_static!$Q$2:$Q$806,MATCH($A304,SYZ_static!$A$2:$A$806,0)),"")))</f>
        <v/>
      </c>
      <c r="D304" s="17">
        <f>IF($A304="","",IFERROR(INDEX(SYZ_static!$B$2:$B$806,MATCH($A304,SYZ_static!$A$2:$A$806,0)),""))</f>
        <v/>
      </c>
      <c r="E304" s="17">
        <f>IF($A304="","",_xll.BDP($A304&amp;" Corp","INDUSTRY_SECTOR"))</f>
        <v/>
      </c>
      <c r="F304" s="17">
        <f>IF($A304="","",PROPER(_xll.BDP($A304&amp;" Corp","COUNTRY_FULL_NAME")))</f>
        <v/>
      </c>
      <c r="G304" s="17">
        <f>IF($A304="","",_xll.BDP($A304&amp;" Corp","CRNCY"))</f>
        <v/>
      </c>
      <c r="H304" s="17">
        <f>IF($A304="","",IFERROR(INDEX(SYZ_static!$T$2:$T$806,MATCH($A304,SYZ_static!$A$2:$A$806,0)),_xll.BDP($A304&amp;" Corp","RTG_SP")))</f>
        <v/>
      </c>
      <c r="I304" s="17">
        <f>IF($A304="","",IFERROR(INDEX(SYZ_static!$S$2:$S$806,MATCH($A304,SYZ_static!$A$2:$A$806,0)),""))</f>
        <v/>
      </c>
      <c r="J304" s="17">
        <f>IF($A304="","",_xll.BDP($A304&amp;" Corp","PAYMENT_RANK"))</f>
        <v/>
      </c>
      <c r="K304" s="18">
        <f>IF($A304="","",_xll.BDP($A304&amp;" Corp","CPN"))</f>
        <v/>
      </c>
      <c r="L304" s="19">
        <f>IF($A304="","",_xll.BDP($A304&amp;" Corp","MATURITY"))</f>
        <v/>
      </c>
      <c r="M304" s="20">
        <f>IF($A304="","",IFERROR(_xll.BDP($A304&amp;" Corp","MIN_PIECE")/1000,""))</f>
        <v/>
      </c>
      <c r="N304" s="21">
        <f>IF($A304="","",_xll.BDP($A304&amp;" Corp","PX_LAST"))</f>
        <v/>
      </c>
      <c r="O304" s="21">
        <f>IF($A304="","",_xll.BDP($A304&amp;" Corp","YAS_BOND_YLD","YAS_YLD_FLAG=15"))</f>
        <v/>
      </c>
      <c r="P304" s="21">
        <f>IF($A304="","",_xll.BDP($A304&amp;" Corp","YAS_MOD_DUR"))</f>
        <v/>
      </c>
      <c r="Q304" s="22">
        <f>IF($A304="","",_xll.BDP($A304&amp;" Corp","YAS_OAS_SPRD"))</f>
        <v/>
      </c>
      <c r="R304" s="22">
        <f>IF($A304="","",_xll.BDP($A304&amp;" Corp","YAS_OAS_SPRD","SETTLE_DT",$B$2))</f>
        <v/>
      </c>
      <c r="S304" s="23">
        <f>IF($A304="","",IF(OR(NOT(ISNUMBER($Q304)),NOT(ISNUMBER($R304))),"",$Q304-$R304))</f>
        <v/>
      </c>
      <c r="T304" s="21">
        <f>IF($A304="","",_xll.BDP($A304&amp;" Corp","YAS_BOND_YLD","YAS_YLD_FLAG=15","SETTLE_DT",$B$2))</f>
        <v/>
      </c>
      <c r="U304" s="24">
        <f>IF($A304="","",IF(OR(NOT(ISNUMBER($O304)),NOT(ISNUMBER($T304))),"",$O304-$T304))</f>
        <v/>
      </c>
      <c r="V304" s="22">
        <f>IF(NOT(ISNUMBER($S304)),"",COUNTIFS($G$7:$G$850,$G304,$S$7:$S$850,"&gt;"&amp;$S304)+COUNTIFS($G$7:$G304,$G304,$S$7:$S304,$S304))</f>
        <v/>
      </c>
      <c r="W304" s="22">
        <f>IF(NOT(ISNUMBER($S304)),"",COUNTIFS($G$7:$G$850,$G304,$S$7:$S$850,"&lt;"&amp;$S304)+COUNTIFS($G$7:$G304,$G304,$S$7:$S304,$S304))</f>
        <v/>
      </c>
      <c r="X304" s="17">
        <f>IF($V304="","",$G304&amp;"|"&amp;$V304)</f>
        <v/>
      </c>
      <c r="Y304" s="17">
        <f>IF($W304="","",$G304&amp;"|"&amp;$W304)</f>
        <v/>
      </c>
    </row>
    <row r="305">
      <c r="A305" s="7" t="inlineStr">
        <is>
          <t>FR001400H0F5</t>
        </is>
      </c>
      <c r="B305" s="8">
        <f>IF($A305="","",PROPER(_xll.BDP($A305&amp;" Corp","NAME")))</f>
        <v/>
      </c>
      <c r="C305" s="8">
        <f>IF($A305="","",IFERROR(INDEX(Company_desc!$B$2:$B$1144,MATCH($A305,Company_desc!$A$2:$A$1144,0)),IFERROR(INDEX(SYZ_static!$Q$2:$Q$806,MATCH($A305,SYZ_static!$A$2:$A$806,0)),"")))</f>
        <v/>
      </c>
      <c r="D305" s="8">
        <f>IF($A305="","",IFERROR(INDEX(SYZ_static!$B$2:$B$806,MATCH($A305,SYZ_static!$A$2:$A$806,0)),""))</f>
        <v/>
      </c>
      <c r="E305" s="8">
        <f>IF($A305="","",_xll.BDP($A305&amp;" Corp","INDUSTRY_SECTOR"))</f>
        <v/>
      </c>
      <c r="F305" s="8">
        <f>IF($A305="","",PROPER(_xll.BDP($A305&amp;" Corp","COUNTRY_FULL_NAME")))</f>
        <v/>
      </c>
      <c r="G305" s="8">
        <f>IF($A305="","",_xll.BDP($A305&amp;" Corp","CRNCY"))</f>
        <v/>
      </c>
      <c r="H305" s="8">
        <f>IF($A305="","",IFERROR(INDEX(SYZ_static!$T$2:$T$806,MATCH($A305,SYZ_static!$A$2:$A$806,0)),_xll.BDP($A305&amp;" Corp","RTG_SP")))</f>
        <v/>
      </c>
      <c r="I305" s="8">
        <f>IF($A305="","",IFERROR(INDEX(SYZ_static!$S$2:$S$806,MATCH($A305,SYZ_static!$A$2:$A$806,0)),""))</f>
        <v/>
      </c>
      <c r="J305" s="8">
        <f>IF($A305="","",_xll.BDP($A305&amp;" Corp","PAYMENT_RANK"))</f>
        <v/>
      </c>
      <c r="K305" s="9">
        <f>IF($A305="","",_xll.BDP($A305&amp;" Corp","CPN"))</f>
        <v/>
      </c>
      <c r="L305" s="10">
        <f>IF($A305="","",_xll.BDP($A305&amp;" Corp","MATURITY"))</f>
        <v/>
      </c>
      <c r="M305" s="11">
        <f>IF($A305="","",IFERROR(_xll.BDP($A305&amp;" Corp","MIN_PIECE")/1000,""))</f>
        <v/>
      </c>
      <c r="N305" s="12">
        <f>IF($A305="","",_xll.BDP($A305&amp;" Corp","PX_LAST"))</f>
        <v/>
      </c>
      <c r="O305" s="12">
        <f>IF($A305="","",_xll.BDP($A305&amp;" Corp","YAS_BOND_YLD","YAS_YLD_FLAG=15"))</f>
        <v/>
      </c>
      <c r="P305" s="12">
        <f>IF($A305="","",_xll.BDP($A305&amp;" Corp","YAS_MOD_DUR"))</f>
        <v/>
      </c>
      <c r="Q305" s="13">
        <f>IF($A305="","",_xll.BDP($A305&amp;" Corp","YAS_OAS_SPRD"))</f>
        <v/>
      </c>
      <c r="R305" s="13">
        <f>IF($A305="","",_xll.BDP($A305&amp;" Corp","YAS_OAS_SPRD","SETTLE_DT",$B$2))</f>
        <v/>
      </c>
      <c r="S305" s="14">
        <f>IF($A305="","",IF(OR(NOT(ISNUMBER($Q305)),NOT(ISNUMBER($R305))),"",$Q305-$R305))</f>
        <v/>
      </c>
      <c r="T305" s="12">
        <f>IF($A305="","",_xll.BDP($A305&amp;" Corp","YAS_BOND_YLD","YAS_YLD_FLAG=15","SETTLE_DT",$B$2))</f>
        <v/>
      </c>
      <c r="U305" s="15">
        <f>IF($A305="","",IF(OR(NOT(ISNUMBER($O305)),NOT(ISNUMBER($T305))),"",$O305-$T305))</f>
        <v/>
      </c>
      <c r="V305" s="13">
        <f>IF(NOT(ISNUMBER($S305)),"",COUNTIFS($G$7:$G$850,$G305,$S$7:$S$850,"&gt;"&amp;$S305)+COUNTIFS($G$7:$G305,$G305,$S$7:$S305,$S305))</f>
        <v/>
      </c>
      <c r="W305" s="13">
        <f>IF(NOT(ISNUMBER($S305)),"",COUNTIFS($G$7:$G$850,$G305,$S$7:$S$850,"&lt;"&amp;$S305)+COUNTIFS($G$7:$G305,$G305,$S$7:$S305,$S305))</f>
        <v/>
      </c>
      <c r="X305" s="8">
        <f>IF($V305="","",$G305&amp;"|"&amp;$V305)</f>
        <v/>
      </c>
      <c r="Y305" s="8">
        <f>IF($W305="","",$G305&amp;"|"&amp;$W305)</f>
        <v/>
      </c>
    </row>
    <row r="306">
      <c r="A306" s="16" t="inlineStr">
        <is>
          <t>XS2783118131</t>
        </is>
      </c>
      <c r="B306" s="17">
        <f>IF($A306="","",PROPER(_xll.BDP($A306&amp;" Corp","NAME")))</f>
        <v/>
      </c>
      <c r="C306" s="17">
        <f>IF($A306="","",IFERROR(INDEX(Company_desc!$B$2:$B$1144,MATCH($A306,Company_desc!$A$2:$A$1144,0)),IFERROR(INDEX(SYZ_static!$Q$2:$Q$806,MATCH($A306,SYZ_static!$A$2:$A$806,0)),"")))</f>
        <v/>
      </c>
      <c r="D306" s="17">
        <f>IF($A306="","",IFERROR(INDEX(SYZ_static!$B$2:$B$806,MATCH($A306,SYZ_static!$A$2:$A$806,0)),""))</f>
        <v/>
      </c>
      <c r="E306" s="17">
        <f>IF($A306="","",_xll.BDP($A306&amp;" Corp","INDUSTRY_SECTOR"))</f>
        <v/>
      </c>
      <c r="F306" s="17">
        <f>IF($A306="","",PROPER(_xll.BDP($A306&amp;" Corp","COUNTRY_FULL_NAME")))</f>
        <v/>
      </c>
      <c r="G306" s="17">
        <f>IF($A306="","",_xll.BDP($A306&amp;" Corp","CRNCY"))</f>
        <v/>
      </c>
      <c r="H306" s="17">
        <f>IF($A306="","",IFERROR(INDEX(SYZ_static!$T$2:$T$806,MATCH($A306,SYZ_static!$A$2:$A$806,0)),_xll.BDP($A306&amp;" Corp","RTG_SP")))</f>
        <v/>
      </c>
      <c r="I306" s="17">
        <f>IF($A306="","",IFERROR(INDEX(SYZ_static!$S$2:$S$806,MATCH($A306,SYZ_static!$A$2:$A$806,0)),""))</f>
        <v/>
      </c>
      <c r="J306" s="17">
        <f>IF($A306="","",_xll.BDP($A306&amp;" Corp","PAYMENT_RANK"))</f>
        <v/>
      </c>
      <c r="K306" s="18">
        <f>IF($A306="","",_xll.BDP($A306&amp;" Corp","CPN"))</f>
        <v/>
      </c>
      <c r="L306" s="19">
        <f>IF($A306="","",_xll.BDP($A306&amp;" Corp","MATURITY"))</f>
        <v/>
      </c>
      <c r="M306" s="20">
        <f>IF($A306="","",IFERROR(_xll.BDP($A306&amp;" Corp","MIN_PIECE")/1000,""))</f>
        <v/>
      </c>
      <c r="N306" s="21">
        <f>IF($A306="","",_xll.BDP($A306&amp;" Corp","PX_LAST"))</f>
        <v/>
      </c>
      <c r="O306" s="21">
        <f>IF($A306="","",_xll.BDP($A306&amp;" Corp","YAS_BOND_YLD","YAS_YLD_FLAG=15"))</f>
        <v/>
      </c>
      <c r="P306" s="21">
        <f>IF($A306="","",_xll.BDP($A306&amp;" Corp","YAS_MOD_DUR"))</f>
        <v/>
      </c>
      <c r="Q306" s="22">
        <f>IF($A306="","",_xll.BDP($A306&amp;" Corp","YAS_OAS_SPRD"))</f>
        <v/>
      </c>
      <c r="R306" s="22">
        <f>IF($A306="","",_xll.BDP($A306&amp;" Corp","YAS_OAS_SPRD","SETTLE_DT",$B$2))</f>
        <v/>
      </c>
      <c r="S306" s="23">
        <f>IF($A306="","",IF(OR(NOT(ISNUMBER($Q306)),NOT(ISNUMBER($R306))),"",$Q306-$R306))</f>
        <v/>
      </c>
      <c r="T306" s="21">
        <f>IF($A306="","",_xll.BDP($A306&amp;" Corp","YAS_BOND_YLD","YAS_YLD_FLAG=15","SETTLE_DT",$B$2))</f>
        <v/>
      </c>
      <c r="U306" s="24">
        <f>IF($A306="","",IF(OR(NOT(ISNUMBER($O306)),NOT(ISNUMBER($T306))),"",$O306-$T306))</f>
        <v/>
      </c>
      <c r="V306" s="22">
        <f>IF(NOT(ISNUMBER($S306)),"",COUNTIFS($G$7:$G$850,$G306,$S$7:$S$850,"&gt;"&amp;$S306)+COUNTIFS($G$7:$G306,$G306,$S$7:$S306,$S306))</f>
        <v/>
      </c>
      <c r="W306" s="22">
        <f>IF(NOT(ISNUMBER($S306)),"",COUNTIFS($G$7:$G$850,$G306,$S$7:$S$850,"&lt;"&amp;$S306)+COUNTIFS($G$7:$G306,$G306,$S$7:$S306,$S306))</f>
        <v/>
      </c>
      <c r="X306" s="17">
        <f>IF($V306="","",$G306&amp;"|"&amp;$V306)</f>
        <v/>
      </c>
      <c r="Y306" s="17">
        <f>IF($W306="","",$G306&amp;"|"&amp;$W306)</f>
        <v/>
      </c>
    </row>
    <row r="307">
      <c r="A307" s="7" t="inlineStr">
        <is>
          <t>US46647PAV85</t>
        </is>
      </c>
      <c r="B307" s="8">
        <f>IF($A307="","",PROPER(_xll.BDP($A307&amp;" Corp","NAME")))</f>
        <v/>
      </c>
      <c r="C307" s="8">
        <f>IF($A307="","",IFERROR(INDEX(Company_desc!$B$2:$B$1144,MATCH($A307,Company_desc!$A$2:$A$1144,0)),IFERROR(INDEX(SYZ_static!$Q$2:$Q$806,MATCH($A307,SYZ_static!$A$2:$A$806,0)),"")))</f>
        <v/>
      </c>
      <c r="D307" s="8">
        <f>IF($A307="","",IFERROR(INDEX(SYZ_static!$B$2:$B$806,MATCH($A307,SYZ_static!$A$2:$A$806,0)),""))</f>
        <v/>
      </c>
      <c r="E307" s="8">
        <f>IF($A307="","",_xll.BDP($A307&amp;" Corp","INDUSTRY_SECTOR"))</f>
        <v/>
      </c>
      <c r="F307" s="8">
        <f>IF($A307="","",PROPER(_xll.BDP($A307&amp;" Corp","COUNTRY_FULL_NAME")))</f>
        <v/>
      </c>
      <c r="G307" s="8">
        <f>IF($A307="","",_xll.BDP($A307&amp;" Corp","CRNCY"))</f>
        <v/>
      </c>
      <c r="H307" s="8">
        <f>IF($A307="","",IFERROR(INDEX(SYZ_static!$T$2:$T$806,MATCH($A307,SYZ_static!$A$2:$A$806,0)),_xll.BDP($A307&amp;" Corp","RTG_SP")))</f>
        <v/>
      </c>
      <c r="I307" s="8">
        <f>IF($A307="","",IFERROR(INDEX(SYZ_static!$S$2:$S$806,MATCH($A307,SYZ_static!$A$2:$A$806,0)),""))</f>
        <v/>
      </c>
      <c r="J307" s="8">
        <f>IF($A307="","",_xll.BDP($A307&amp;" Corp","PAYMENT_RANK"))</f>
        <v/>
      </c>
      <c r="K307" s="9">
        <f>IF($A307="","",_xll.BDP($A307&amp;" Corp","CPN"))</f>
        <v/>
      </c>
      <c r="L307" s="10">
        <f>IF($A307="","",_xll.BDP($A307&amp;" Corp","MATURITY"))</f>
        <v/>
      </c>
      <c r="M307" s="11">
        <f>IF($A307="","",IFERROR(_xll.BDP($A307&amp;" Corp","MIN_PIECE")/1000,""))</f>
        <v/>
      </c>
      <c r="N307" s="12">
        <f>IF($A307="","",_xll.BDP($A307&amp;" Corp","PX_LAST"))</f>
        <v/>
      </c>
      <c r="O307" s="12">
        <f>IF($A307="","",_xll.BDP($A307&amp;" Corp","YAS_BOND_YLD","YAS_YLD_FLAG=15"))</f>
        <v/>
      </c>
      <c r="P307" s="12">
        <f>IF($A307="","",_xll.BDP($A307&amp;" Corp","YAS_MOD_DUR"))</f>
        <v/>
      </c>
      <c r="Q307" s="13">
        <f>IF($A307="","",_xll.BDP($A307&amp;" Corp","YAS_OAS_SPRD"))</f>
        <v/>
      </c>
      <c r="R307" s="13">
        <f>IF($A307="","",_xll.BDP($A307&amp;" Corp","YAS_OAS_SPRD","SETTLE_DT",$B$2))</f>
        <v/>
      </c>
      <c r="S307" s="14">
        <f>IF($A307="","",IF(OR(NOT(ISNUMBER($Q307)),NOT(ISNUMBER($R307))),"",$Q307-$R307))</f>
        <v/>
      </c>
      <c r="T307" s="12">
        <f>IF($A307="","",_xll.BDP($A307&amp;" Corp","YAS_BOND_YLD","YAS_YLD_FLAG=15","SETTLE_DT",$B$2))</f>
        <v/>
      </c>
      <c r="U307" s="15">
        <f>IF($A307="","",IF(OR(NOT(ISNUMBER($O307)),NOT(ISNUMBER($T307))),"",$O307-$T307))</f>
        <v/>
      </c>
      <c r="V307" s="13">
        <f>IF(NOT(ISNUMBER($S307)),"",COUNTIFS($G$7:$G$850,$G307,$S$7:$S$850,"&gt;"&amp;$S307)+COUNTIFS($G$7:$G307,$G307,$S$7:$S307,$S307))</f>
        <v/>
      </c>
      <c r="W307" s="13">
        <f>IF(NOT(ISNUMBER($S307)),"",COUNTIFS($G$7:$G$850,$G307,$S$7:$S$850,"&lt;"&amp;$S307)+COUNTIFS($G$7:$G307,$G307,$S$7:$S307,$S307))</f>
        <v/>
      </c>
      <c r="X307" s="8">
        <f>IF($V307="","",$G307&amp;"|"&amp;$V307)</f>
        <v/>
      </c>
      <c r="Y307" s="8">
        <f>IF($W307="","",$G307&amp;"|"&amp;$W307)</f>
        <v/>
      </c>
    </row>
    <row r="308">
      <c r="A308" s="16" t="inlineStr">
        <is>
          <t>XS2382953789</t>
        </is>
      </c>
      <c r="B308" s="17">
        <f>IF($A308="","",PROPER(_xll.BDP($A308&amp;" Corp","NAME")))</f>
        <v/>
      </c>
      <c r="C308" s="17">
        <f>IF($A308="","",IFERROR(INDEX(Company_desc!$B$2:$B$1144,MATCH($A308,Company_desc!$A$2:$A$1144,0)),IFERROR(INDEX(SYZ_static!$Q$2:$Q$806,MATCH($A308,SYZ_static!$A$2:$A$806,0)),"")))</f>
        <v/>
      </c>
      <c r="D308" s="17">
        <f>IF($A308="","",IFERROR(INDEX(SYZ_static!$B$2:$B$806,MATCH($A308,SYZ_static!$A$2:$A$806,0)),""))</f>
        <v/>
      </c>
      <c r="E308" s="17">
        <f>IF($A308="","",_xll.BDP($A308&amp;" Corp","INDUSTRY_SECTOR"))</f>
        <v/>
      </c>
      <c r="F308" s="17">
        <f>IF($A308="","",PROPER(_xll.BDP($A308&amp;" Corp","COUNTRY_FULL_NAME")))</f>
        <v/>
      </c>
      <c r="G308" s="17">
        <f>IF($A308="","",_xll.BDP($A308&amp;" Corp","CRNCY"))</f>
        <v/>
      </c>
      <c r="H308" s="17">
        <f>IF($A308="","",IFERROR(INDEX(SYZ_static!$T$2:$T$806,MATCH($A308,SYZ_static!$A$2:$A$806,0)),_xll.BDP($A308&amp;" Corp","RTG_SP")))</f>
        <v/>
      </c>
      <c r="I308" s="17">
        <f>IF($A308="","",IFERROR(INDEX(SYZ_static!$S$2:$S$806,MATCH($A308,SYZ_static!$A$2:$A$806,0)),""))</f>
        <v/>
      </c>
      <c r="J308" s="17">
        <f>IF($A308="","",_xll.BDP($A308&amp;" Corp","PAYMENT_RANK"))</f>
        <v/>
      </c>
      <c r="K308" s="18">
        <f>IF($A308="","",_xll.BDP($A308&amp;" Corp","CPN"))</f>
        <v/>
      </c>
      <c r="L308" s="19">
        <f>IF($A308="","",_xll.BDP($A308&amp;" Corp","MATURITY"))</f>
        <v/>
      </c>
      <c r="M308" s="20">
        <f>IF($A308="","",IFERROR(_xll.BDP($A308&amp;" Corp","MIN_PIECE")/1000,""))</f>
        <v/>
      </c>
      <c r="N308" s="21">
        <f>IF($A308="","",_xll.BDP($A308&amp;" Corp","PX_LAST"))</f>
        <v/>
      </c>
      <c r="O308" s="21">
        <f>IF($A308="","",_xll.BDP($A308&amp;" Corp","YAS_BOND_YLD","YAS_YLD_FLAG=15"))</f>
        <v/>
      </c>
      <c r="P308" s="21">
        <f>IF($A308="","",_xll.BDP($A308&amp;" Corp","YAS_MOD_DUR"))</f>
        <v/>
      </c>
      <c r="Q308" s="22">
        <f>IF($A308="","",_xll.BDP($A308&amp;" Corp","YAS_OAS_SPRD"))</f>
        <v/>
      </c>
      <c r="R308" s="22">
        <f>IF($A308="","",_xll.BDP($A308&amp;" Corp","YAS_OAS_SPRD","SETTLE_DT",$B$2))</f>
        <v/>
      </c>
      <c r="S308" s="23">
        <f>IF($A308="","",IF(OR(NOT(ISNUMBER($Q308)),NOT(ISNUMBER($R308))),"",$Q308-$R308))</f>
        <v/>
      </c>
      <c r="T308" s="21">
        <f>IF($A308="","",_xll.BDP($A308&amp;" Corp","YAS_BOND_YLD","YAS_YLD_FLAG=15","SETTLE_DT",$B$2))</f>
        <v/>
      </c>
      <c r="U308" s="24">
        <f>IF($A308="","",IF(OR(NOT(ISNUMBER($O308)),NOT(ISNUMBER($T308))),"",$O308-$T308))</f>
        <v/>
      </c>
      <c r="V308" s="22">
        <f>IF(NOT(ISNUMBER($S308)),"",COUNTIFS($G$7:$G$850,$G308,$S$7:$S$850,"&gt;"&amp;$S308)+COUNTIFS($G$7:$G308,$G308,$S$7:$S308,$S308))</f>
        <v/>
      </c>
      <c r="W308" s="22">
        <f>IF(NOT(ISNUMBER($S308)),"",COUNTIFS($G$7:$G$850,$G308,$S$7:$S$850,"&lt;"&amp;$S308)+COUNTIFS($G$7:$G308,$G308,$S$7:$S308,$S308))</f>
        <v/>
      </c>
      <c r="X308" s="17">
        <f>IF($V308="","",$G308&amp;"|"&amp;$V308)</f>
        <v/>
      </c>
      <c r="Y308" s="17">
        <f>IF($W308="","",$G308&amp;"|"&amp;$W308)</f>
        <v/>
      </c>
    </row>
    <row r="309">
      <c r="A309" s="7" t="inlineStr">
        <is>
          <t>CH1335850322</t>
        </is>
      </c>
      <c r="B309" s="8">
        <f>IF($A309="","",PROPER(_xll.BDP($A309&amp;" Corp","NAME")))</f>
        <v/>
      </c>
      <c r="C309" s="8">
        <f>IF($A309="","",IFERROR(INDEX(Company_desc!$B$2:$B$1144,MATCH($A309,Company_desc!$A$2:$A$1144,0)),IFERROR(INDEX(SYZ_static!$Q$2:$Q$806,MATCH($A309,SYZ_static!$A$2:$A$806,0)),"")))</f>
        <v/>
      </c>
      <c r="D309" s="8">
        <f>IF($A309="","",IFERROR(INDEX(SYZ_static!$B$2:$B$806,MATCH($A309,SYZ_static!$A$2:$A$806,0)),""))</f>
        <v/>
      </c>
      <c r="E309" s="8">
        <f>IF($A309="","",_xll.BDP($A309&amp;" Corp","INDUSTRY_SECTOR"))</f>
        <v/>
      </c>
      <c r="F309" s="8">
        <f>IF($A309="","",PROPER(_xll.BDP($A309&amp;" Corp","COUNTRY_FULL_NAME")))</f>
        <v/>
      </c>
      <c r="G309" s="8">
        <f>IF($A309="","",_xll.BDP($A309&amp;" Corp","CRNCY"))</f>
        <v/>
      </c>
      <c r="H309" s="8">
        <f>IF($A309="","",IFERROR(INDEX(SYZ_static!$T$2:$T$806,MATCH($A309,SYZ_static!$A$2:$A$806,0)),_xll.BDP($A309&amp;" Corp","RTG_SP")))</f>
        <v/>
      </c>
      <c r="I309" s="8">
        <f>IF($A309="","",IFERROR(INDEX(SYZ_static!$S$2:$S$806,MATCH($A309,SYZ_static!$A$2:$A$806,0)),""))</f>
        <v/>
      </c>
      <c r="J309" s="8">
        <f>IF($A309="","",_xll.BDP($A309&amp;" Corp","PAYMENT_RANK"))</f>
        <v/>
      </c>
      <c r="K309" s="9">
        <f>IF($A309="","",_xll.BDP($A309&amp;" Corp","CPN"))</f>
        <v/>
      </c>
      <c r="L309" s="10">
        <f>IF($A309="","",_xll.BDP($A309&amp;" Corp","MATURITY"))</f>
        <v/>
      </c>
      <c r="M309" s="11">
        <f>IF($A309="","",IFERROR(_xll.BDP($A309&amp;" Corp","MIN_PIECE")/1000,""))</f>
        <v/>
      </c>
      <c r="N309" s="12">
        <f>IF($A309="","",_xll.BDP($A309&amp;" Corp","PX_LAST"))</f>
        <v/>
      </c>
      <c r="O309" s="12">
        <f>IF($A309="","",_xll.BDP($A309&amp;" Corp","YAS_BOND_YLD","YAS_YLD_FLAG=15"))</f>
        <v/>
      </c>
      <c r="P309" s="12">
        <f>IF($A309="","",_xll.BDP($A309&amp;" Corp","YAS_MOD_DUR"))</f>
        <v/>
      </c>
      <c r="Q309" s="13">
        <f>IF($A309="","",_xll.BDP($A309&amp;" Corp","YAS_OAS_SPRD"))</f>
        <v/>
      </c>
      <c r="R309" s="13">
        <f>IF($A309="","",_xll.BDP($A309&amp;" Corp","YAS_OAS_SPRD","SETTLE_DT",$B$2))</f>
        <v/>
      </c>
      <c r="S309" s="14">
        <f>IF($A309="","",IF(OR(NOT(ISNUMBER($Q309)),NOT(ISNUMBER($R309))),"",$Q309-$R309))</f>
        <v/>
      </c>
      <c r="T309" s="12">
        <f>IF($A309="","",_xll.BDP($A309&amp;" Corp","YAS_BOND_YLD","YAS_YLD_FLAG=15","SETTLE_DT",$B$2))</f>
        <v/>
      </c>
      <c r="U309" s="15">
        <f>IF($A309="","",IF(OR(NOT(ISNUMBER($O309)),NOT(ISNUMBER($T309))),"",$O309-$T309))</f>
        <v/>
      </c>
      <c r="V309" s="13">
        <f>IF(NOT(ISNUMBER($S309)),"",COUNTIFS($G$7:$G$850,$G309,$S$7:$S$850,"&gt;"&amp;$S309)+COUNTIFS($G$7:$G309,$G309,$S$7:$S309,$S309))</f>
        <v/>
      </c>
      <c r="W309" s="13">
        <f>IF(NOT(ISNUMBER($S309)),"",COUNTIFS($G$7:$G$850,$G309,$S$7:$S$850,"&lt;"&amp;$S309)+COUNTIFS($G$7:$G309,$G309,$S$7:$S309,$S309))</f>
        <v/>
      </c>
      <c r="X309" s="8">
        <f>IF($V309="","",$G309&amp;"|"&amp;$V309)</f>
        <v/>
      </c>
      <c r="Y309" s="8">
        <f>IF($W309="","",$G309&amp;"|"&amp;$W309)</f>
        <v/>
      </c>
    </row>
    <row r="310">
      <c r="A310" s="16" t="inlineStr">
        <is>
          <t>XS1932866079</t>
        </is>
      </c>
      <c r="B310" s="17">
        <f>IF($A310="","",PROPER(_xll.BDP($A310&amp;" Corp","NAME")))</f>
        <v/>
      </c>
      <c r="C310" s="17">
        <f>IF($A310="","",IFERROR(INDEX(Company_desc!$B$2:$B$1144,MATCH($A310,Company_desc!$A$2:$A$1144,0)),IFERROR(INDEX(SYZ_static!$Q$2:$Q$806,MATCH($A310,SYZ_static!$A$2:$A$806,0)),"")))</f>
        <v/>
      </c>
      <c r="D310" s="17">
        <f>IF($A310="","",IFERROR(INDEX(SYZ_static!$B$2:$B$806,MATCH($A310,SYZ_static!$A$2:$A$806,0)),""))</f>
        <v/>
      </c>
      <c r="E310" s="17">
        <f>IF($A310="","",_xll.BDP($A310&amp;" Corp","INDUSTRY_SECTOR"))</f>
        <v/>
      </c>
      <c r="F310" s="17">
        <f>IF($A310="","",PROPER(_xll.BDP($A310&amp;" Corp","COUNTRY_FULL_NAME")))</f>
        <v/>
      </c>
      <c r="G310" s="17">
        <f>IF($A310="","",_xll.BDP($A310&amp;" Corp","CRNCY"))</f>
        <v/>
      </c>
      <c r="H310" s="17">
        <f>IF($A310="","",IFERROR(INDEX(SYZ_static!$T$2:$T$806,MATCH($A310,SYZ_static!$A$2:$A$806,0)),_xll.BDP($A310&amp;" Corp","RTG_SP")))</f>
        <v/>
      </c>
      <c r="I310" s="17">
        <f>IF($A310="","",IFERROR(INDEX(SYZ_static!$S$2:$S$806,MATCH($A310,SYZ_static!$A$2:$A$806,0)),""))</f>
        <v/>
      </c>
      <c r="J310" s="17">
        <f>IF($A310="","",_xll.BDP($A310&amp;" Corp","PAYMENT_RANK"))</f>
        <v/>
      </c>
      <c r="K310" s="18">
        <f>IF($A310="","",_xll.BDP($A310&amp;" Corp","CPN"))</f>
        <v/>
      </c>
      <c r="L310" s="19">
        <f>IF($A310="","",_xll.BDP($A310&amp;" Corp","MATURITY"))</f>
        <v/>
      </c>
      <c r="M310" s="20">
        <f>IF($A310="","",IFERROR(_xll.BDP($A310&amp;" Corp","MIN_PIECE")/1000,""))</f>
        <v/>
      </c>
      <c r="N310" s="21">
        <f>IF($A310="","",_xll.BDP($A310&amp;" Corp","PX_LAST"))</f>
        <v/>
      </c>
      <c r="O310" s="21">
        <f>IF($A310="","",_xll.BDP($A310&amp;" Corp","YAS_BOND_YLD","YAS_YLD_FLAG=15"))</f>
        <v/>
      </c>
      <c r="P310" s="21">
        <f>IF($A310="","",_xll.BDP($A310&amp;" Corp","YAS_MOD_DUR"))</f>
        <v/>
      </c>
      <c r="Q310" s="22">
        <f>IF($A310="","",_xll.BDP($A310&amp;" Corp","YAS_OAS_SPRD"))</f>
        <v/>
      </c>
      <c r="R310" s="22">
        <f>IF($A310="","",_xll.BDP($A310&amp;" Corp","YAS_OAS_SPRD","SETTLE_DT",$B$2))</f>
        <v/>
      </c>
      <c r="S310" s="23">
        <f>IF($A310="","",IF(OR(NOT(ISNUMBER($Q310)),NOT(ISNUMBER($R310))),"",$Q310-$R310))</f>
        <v/>
      </c>
      <c r="T310" s="21">
        <f>IF($A310="","",_xll.BDP($A310&amp;" Corp","YAS_BOND_YLD","YAS_YLD_FLAG=15","SETTLE_DT",$B$2))</f>
        <v/>
      </c>
      <c r="U310" s="24">
        <f>IF($A310="","",IF(OR(NOT(ISNUMBER($O310)),NOT(ISNUMBER($T310))),"",$O310-$T310))</f>
        <v/>
      </c>
      <c r="V310" s="22">
        <f>IF(NOT(ISNUMBER($S310)),"",COUNTIFS($G$7:$G$850,$G310,$S$7:$S$850,"&gt;"&amp;$S310)+COUNTIFS($G$7:$G310,$G310,$S$7:$S310,$S310))</f>
        <v/>
      </c>
      <c r="W310" s="22">
        <f>IF(NOT(ISNUMBER($S310)),"",COUNTIFS($G$7:$G$850,$G310,$S$7:$S$850,"&lt;"&amp;$S310)+COUNTIFS($G$7:$G310,$G310,$S$7:$S310,$S310))</f>
        <v/>
      </c>
      <c r="X310" s="17">
        <f>IF($V310="","",$G310&amp;"|"&amp;$V310)</f>
        <v/>
      </c>
      <c r="Y310" s="17">
        <f>IF($W310="","",$G310&amp;"|"&amp;$W310)</f>
        <v/>
      </c>
    </row>
    <row r="311">
      <c r="A311" s="7" t="inlineStr">
        <is>
          <t>US459200KZ37</t>
        </is>
      </c>
      <c r="B311" s="8">
        <f>IF($A311="","",PROPER(_xll.BDP($A311&amp;" Corp","NAME")))</f>
        <v/>
      </c>
      <c r="C311" s="8">
        <f>IF($A311="","",IFERROR(INDEX(Company_desc!$B$2:$B$1144,MATCH($A311,Company_desc!$A$2:$A$1144,0)),IFERROR(INDEX(SYZ_static!$Q$2:$Q$806,MATCH($A311,SYZ_static!$A$2:$A$806,0)),"")))</f>
        <v/>
      </c>
      <c r="D311" s="8">
        <f>IF($A311="","",IFERROR(INDEX(SYZ_static!$B$2:$B$806,MATCH($A311,SYZ_static!$A$2:$A$806,0)),""))</f>
        <v/>
      </c>
      <c r="E311" s="8">
        <f>IF($A311="","",_xll.BDP($A311&amp;" Corp","INDUSTRY_SECTOR"))</f>
        <v/>
      </c>
      <c r="F311" s="8">
        <f>IF($A311="","",PROPER(_xll.BDP($A311&amp;" Corp","COUNTRY_FULL_NAME")))</f>
        <v/>
      </c>
      <c r="G311" s="8">
        <f>IF($A311="","",_xll.BDP($A311&amp;" Corp","CRNCY"))</f>
        <v/>
      </c>
      <c r="H311" s="8">
        <f>IF($A311="","",IFERROR(INDEX(SYZ_static!$T$2:$T$806,MATCH($A311,SYZ_static!$A$2:$A$806,0)),_xll.BDP($A311&amp;" Corp","RTG_SP")))</f>
        <v/>
      </c>
      <c r="I311" s="8">
        <f>IF($A311="","",IFERROR(INDEX(SYZ_static!$S$2:$S$806,MATCH($A311,SYZ_static!$A$2:$A$806,0)),""))</f>
        <v/>
      </c>
      <c r="J311" s="8">
        <f>IF($A311="","",_xll.BDP($A311&amp;" Corp","PAYMENT_RANK"))</f>
        <v/>
      </c>
      <c r="K311" s="9">
        <f>IF($A311="","",_xll.BDP($A311&amp;" Corp","CPN"))</f>
        <v/>
      </c>
      <c r="L311" s="10">
        <f>IF($A311="","",_xll.BDP($A311&amp;" Corp","MATURITY"))</f>
        <v/>
      </c>
      <c r="M311" s="11">
        <f>IF($A311="","",IFERROR(_xll.BDP($A311&amp;" Corp","MIN_PIECE")/1000,""))</f>
        <v/>
      </c>
      <c r="N311" s="12">
        <f>IF($A311="","",_xll.BDP($A311&amp;" Corp","PX_LAST"))</f>
        <v/>
      </c>
      <c r="O311" s="12">
        <f>IF($A311="","",_xll.BDP($A311&amp;" Corp","YAS_BOND_YLD","YAS_YLD_FLAG=15"))</f>
        <v/>
      </c>
      <c r="P311" s="12">
        <f>IF($A311="","",_xll.BDP($A311&amp;" Corp","YAS_MOD_DUR"))</f>
        <v/>
      </c>
      <c r="Q311" s="13">
        <f>IF($A311="","",_xll.BDP($A311&amp;" Corp","YAS_OAS_SPRD"))</f>
        <v/>
      </c>
      <c r="R311" s="13">
        <f>IF($A311="","",_xll.BDP($A311&amp;" Corp","YAS_OAS_SPRD","SETTLE_DT",$B$2))</f>
        <v/>
      </c>
      <c r="S311" s="14">
        <f>IF($A311="","",IF(OR(NOT(ISNUMBER($Q311)),NOT(ISNUMBER($R311))),"",$Q311-$R311))</f>
        <v/>
      </c>
      <c r="T311" s="12">
        <f>IF($A311="","",_xll.BDP($A311&amp;" Corp","YAS_BOND_YLD","YAS_YLD_FLAG=15","SETTLE_DT",$B$2))</f>
        <v/>
      </c>
      <c r="U311" s="15">
        <f>IF($A311="","",IF(OR(NOT(ISNUMBER($O311)),NOT(ISNUMBER($T311))),"",$O311-$T311))</f>
        <v/>
      </c>
      <c r="V311" s="13">
        <f>IF(NOT(ISNUMBER($S311)),"",COUNTIFS($G$7:$G$850,$G311,$S$7:$S$850,"&gt;"&amp;$S311)+COUNTIFS($G$7:$G311,$G311,$S$7:$S311,$S311))</f>
        <v/>
      </c>
      <c r="W311" s="13">
        <f>IF(NOT(ISNUMBER($S311)),"",COUNTIFS($G$7:$G$850,$G311,$S$7:$S$850,"&lt;"&amp;$S311)+COUNTIFS($G$7:$G311,$G311,$S$7:$S311,$S311))</f>
        <v/>
      </c>
      <c r="X311" s="8">
        <f>IF($V311="","",$G311&amp;"|"&amp;$V311)</f>
        <v/>
      </c>
      <c r="Y311" s="8">
        <f>IF($W311="","",$G311&amp;"|"&amp;$W311)</f>
        <v/>
      </c>
    </row>
    <row r="312">
      <c r="A312" s="16" t="inlineStr">
        <is>
          <t>US45434M2A91</t>
        </is>
      </c>
      <c r="B312" s="17">
        <f>IF($A312="","",PROPER(_xll.BDP($A312&amp;" Corp","NAME")))</f>
        <v/>
      </c>
      <c r="C312" s="17">
        <f>IF($A312="","",IFERROR(INDEX(Company_desc!$B$2:$B$1144,MATCH($A312,Company_desc!$A$2:$A$1144,0)),IFERROR(INDEX(SYZ_static!$Q$2:$Q$806,MATCH($A312,SYZ_static!$A$2:$A$806,0)),"")))</f>
        <v/>
      </c>
      <c r="D312" s="17">
        <f>IF($A312="","",IFERROR(INDEX(SYZ_static!$B$2:$B$806,MATCH($A312,SYZ_static!$A$2:$A$806,0)),""))</f>
        <v/>
      </c>
      <c r="E312" s="17">
        <f>IF($A312="","",_xll.BDP($A312&amp;" Corp","INDUSTRY_SECTOR"))</f>
        <v/>
      </c>
      <c r="F312" s="17">
        <f>IF($A312="","",PROPER(_xll.BDP($A312&amp;" Corp","COUNTRY_FULL_NAME")))</f>
        <v/>
      </c>
      <c r="G312" s="17">
        <f>IF($A312="","",_xll.BDP($A312&amp;" Corp","CRNCY"))</f>
        <v/>
      </c>
      <c r="H312" s="17">
        <f>IF($A312="","",IFERROR(INDEX(SYZ_static!$T$2:$T$806,MATCH($A312,SYZ_static!$A$2:$A$806,0)),_xll.BDP($A312&amp;" Corp","RTG_SP")))</f>
        <v/>
      </c>
      <c r="I312" s="17">
        <f>IF($A312="","",IFERROR(INDEX(SYZ_static!$S$2:$S$806,MATCH($A312,SYZ_static!$A$2:$A$806,0)),""))</f>
        <v/>
      </c>
      <c r="J312" s="17">
        <f>IF($A312="","",_xll.BDP($A312&amp;" Corp","PAYMENT_RANK"))</f>
        <v/>
      </c>
      <c r="K312" s="18">
        <f>IF($A312="","",_xll.BDP($A312&amp;" Corp","CPN"))</f>
        <v/>
      </c>
      <c r="L312" s="19">
        <f>IF($A312="","",_xll.BDP($A312&amp;" Corp","MATURITY"))</f>
        <v/>
      </c>
      <c r="M312" s="20">
        <f>IF($A312="","",IFERROR(_xll.BDP($A312&amp;" Corp","MIN_PIECE")/1000,""))</f>
        <v/>
      </c>
      <c r="N312" s="21">
        <f>IF($A312="","",_xll.BDP($A312&amp;" Corp","PX_LAST"))</f>
        <v/>
      </c>
      <c r="O312" s="21">
        <f>IF($A312="","",_xll.BDP($A312&amp;" Corp","YAS_BOND_YLD","YAS_YLD_FLAG=15"))</f>
        <v/>
      </c>
      <c r="P312" s="21">
        <f>IF($A312="","",_xll.BDP($A312&amp;" Corp","YAS_MOD_DUR"))</f>
        <v/>
      </c>
      <c r="Q312" s="22">
        <f>IF($A312="","",_xll.BDP($A312&amp;" Corp","YAS_OAS_SPRD"))</f>
        <v/>
      </c>
      <c r="R312" s="22">
        <f>IF($A312="","",_xll.BDP($A312&amp;" Corp","YAS_OAS_SPRD","SETTLE_DT",$B$2))</f>
        <v/>
      </c>
      <c r="S312" s="23">
        <f>IF($A312="","",IF(OR(NOT(ISNUMBER($Q312)),NOT(ISNUMBER($R312))),"",$Q312-$R312))</f>
        <v/>
      </c>
      <c r="T312" s="21">
        <f>IF($A312="","",_xll.BDP($A312&amp;" Corp","YAS_BOND_YLD","YAS_YLD_FLAG=15","SETTLE_DT",$B$2))</f>
        <v/>
      </c>
      <c r="U312" s="24">
        <f>IF($A312="","",IF(OR(NOT(ISNUMBER($O312)),NOT(ISNUMBER($T312))),"",$O312-$T312))</f>
        <v/>
      </c>
      <c r="V312" s="22">
        <f>IF(NOT(ISNUMBER($S312)),"",COUNTIFS($G$7:$G$850,$G312,$S$7:$S$850,"&gt;"&amp;$S312)+COUNTIFS($G$7:$G312,$G312,$S$7:$S312,$S312))</f>
        <v/>
      </c>
      <c r="W312" s="22">
        <f>IF(NOT(ISNUMBER($S312)),"",COUNTIFS($G$7:$G$850,$G312,$S$7:$S$850,"&lt;"&amp;$S312)+COUNTIFS($G$7:$G312,$G312,$S$7:$S312,$S312))</f>
        <v/>
      </c>
      <c r="X312" s="17">
        <f>IF($V312="","",$G312&amp;"|"&amp;$V312)</f>
        <v/>
      </c>
      <c r="Y312" s="17">
        <f>IF($W312="","",$G312&amp;"|"&amp;$W312)</f>
        <v/>
      </c>
    </row>
    <row r="313">
      <c r="A313" s="7" t="inlineStr">
        <is>
          <t>FR001400M6M1</t>
        </is>
      </c>
      <c r="B313" s="8">
        <f>IF($A313="","",PROPER(_xll.BDP($A313&amp;" Corp","NAME")))</f>
        <v/>
      </c>
      <c r="C313" s="8">
        <f>IF($A313="","",IFERROR(INDEX(Company_desc!$B$2:$B$1144,MATCH($A313,Company_desc!$A$2:$A$1144,0)),IFERROR(INDEX(SYZ_static!$Q$2:$Q$806,MATCH($A313,SYZ_static!$A$2:$A$806,0)),"")))</f>
        <v/>
      </c>
      <c r="D313" s="8">
        <f>IF($A313="","",IFERROR(INDEX(SYZ_static!$B$2:$B$806,MATCH($A313,SYZ_static!$A$2:$A$806,0)),""))</f>
        <v/>
      </c>
      <c r="E313" s="8">
        <f>IF($A313="","",_xll.BDP($A313&amp;" Corp","INDUSTRY_SECTOR"))</f>
        <v/>
      </c>
      <c r="F313" s="8">
        <f>IF($A313="","",PROPER(_xll.BDP($A313&amp;" Corp","COUNTRY_FULL_NAME")))</f>
        <v/>
      </c>
      <c r="G313" s="8">
        <f>IF($A313="","",_xll.BDP($A313&amp;" Corp","CRNCY"))</f>
        <v/>
      </c>
      <c r="H313" s="8">
        <f>IF($A313="","",IFERROR(INDEX(SYZ_static!$T$2:$T$806,MATCH($A313,SYZ_static!$A$2:$A$806,0)),_xll.BDP($A313&amp;" Corp","RTG_SP")))</f>
        <v/>
      </c>
      <c r="I313" s="8">
        <f>IF($A313="","",IFERROR(INDEX(SYZ_static!$S$2:$S$806,MATCH($A313,SYZ_static!$A$2:$A$806,0)),""))</f>
        <v/>
      </c>
      <c r="J313" s="8">
        <f>IF($A313="","",_xll.BDP($A313&amp;" Corp","PAYMENT_RANK"))</f>
        <v/>
      </c>
      <c r="K313" s="9">
        <f>IF($A313="","",_xll.BDP($A313&amp;" Corp","CPN"))</f>
        <v/>
      </c>
      <c r="L313" s="10">
        <f>IF($A313="","",_xll.BDP($A313&amp;" Corp","MATURITY"))</f>
        <v/>
      </c>
      <c r="M313" s="11">
        <f>IF($A313="","",IFERROR(_xll.BDP($A313&amp;" Corp","MIN_PIECE")/1000,""))</f>
        <v/>
      </c>
      <c r="N313" s="12">
        <f>IF($A313="","",_xll.BDP($A313&amp;" Corp","PX_LAST"))</f>
        <v/>
      </c>
      <c r="O313" s="12">
        <f>IF($A313="","",_xll.BDP($A313&amp;" Corp","YAS_BOND_YLD","YAS_YLD_FLAG=15"))</f>
        <v/>
      </c>
      <c r="P313" s="12">
        <f>IF($A313="","",_xll.BDP($A313&amp;" Corp","YAS_MOD_DUR"))</f>
        <v/>
      </c>
      <c r="Q313" s="13">
        <f>IF($A313="","",_xll.BDP($A313&amp;" Corp","YAS_OAS_SPRD"))</f>
        <v/>
      </c>
      <c r="R313" s="13">
        <f>IF($A313="","",_xll.BDP($A313&amp;" Corp","YAS_OAS_SPRD","SETTLE_DT",$B$2))</f>
        <v/>
      </c>
      <c r="S313" s="14">
        <f>IF($A313="","",IF(OR(NOT(ISNUMBER($Q313)),NOT(ISNUMBER($R313))),"",$Q313-$R313))</f>
        <v/>
      </c>
      <c r="T313" s="12">
        <f>IF($A313="","",_xll.BDP($A313&amp;" Corp","YAS_BOND_YLD","YAS_YLD_FLAG=15","SETTLE_DT",$B$2))</f>
        <v/>
      </c>
      <c r="U313" s="15">
        <f>IF($A313="","",IF(OR(NOT(ISNUMBER($O313)),NOT(ISNUMBER($T313))),"",$O313-$T313))</f>
        <v/>
      </c>
      <c r="V313" s="13">
        <f>IF(NOT(ISNUMBER($S313)),"",COUNTIFS($G$7:$G$850,$G313,$S$7:$S$850,"&gt;"&amp;$S313)+COUNTIFS($G$7:$G313,$G313,$S$7:$S313,$S313))</f>
        <v/>
      </c>
      <c r="W313" s="13">
        <f>IF(NOT(ISNUMBER($S313)),"",COUNTIFS($G$7:$G$850,$G313,$S$7:$S$850,"&lt;"&amp;$S313)+COUNTIFS($G$7:$G313,$G313,$S$7:$S313,$S313))</f>
        <v/>
      </c>
      <c r="X313" s="8">
        <f>IF($V313="","",$G313&amp;"|"&amp;$V313)</f>
        <v/>
      </c>
      <c r="Y313" s="8">
        <f>IF($W313="","",$G313&amp;"|"&amp;$W313)</f>
        <v/>
      </c>
    </row>
    <row r="314">
      <c r="A314" s="16" t="inlineStr">
        <is>
          <t>USU37818BC10</t>
        </is>
      </c>
      <c r="B314" s="17">
        <f>IF($A314="","",PROPER(_xll.BDP($A314&amp;" Corp","NAME")))</f>
        <v/>
      </c>
      <c r="C314" s="17">
        <f>IF($A314="","",IFERROR(INDEX(Company_desc!$B$2:$B$1144,MATCH($A314,Company_desc!$A$2:$A$1144,0)),IFERROR(INDEX(SYZ_static!$Q$2:$Q$806,MATCH($A314,SYZ_static!$A$2:$A$806,0)),"")))</f>
        <v/>
      </c>
      <c r="D314" s="17">
        <f>IF($A314="","",IFERROR(INDEX(SYZ_static!$B$2:$B$806,MATCH($A314,SYZ_static!$A$2:$A$806,0)),""))</f>
        <v/>
      </c>
      <c r="E314" s="17">
        <f>IF($A314="","",_xll.BDP($A314&amp;" Corp","INDUSTRY_SECTOR"))</f>
        <v/>
      </c>
      <c r="F314" s="17">
        <f>IF($A314="","",PROPER(_xll.BDP($A314&amp;" Corp","COUNTRY_FULL_NAME")))</f>
        <v/>
      </c>
      <c r="G314" s="17">
        <f>IF($A314="","",_xll.BDP($A314&amp;" Corp","CRNCY"))</f>
        <v/>
      </c>
      <c r="H314" s="17">
        <f>IF($A314="","",IFERROR(INDEX(SYZ_static!$T$2:$T$806,MATCH($A314,SYZ_static!$A$2:$A$806,0)),_xll.BDP($A314&amp;" Corp","RTG_SP")))</f>
        <v/>
      </c>
      <c r="I314" s="17">
        <f>IF($A314="","",IFERROR(INDEX(SYZ_static!$S$2:$S$806,MATCH($A314,SYZ_static!$A$2:$A$806,0)),""))</f>
        <v/>
      </c>
      <c r="J314" s="17">
        <f>IF($A314="","",_xll.BDP($A314&amp;" Corp","PAYMENT_RANK"))</f>
        <v/>
      </c>
      <c r="K314" s="18">
        <f>IF($A314="","",_xll.BDP($A314&amp;" Corp","CPN"))</f>
        <v/>
      </c>
      <c r="L314" s="19">
        <f>IF($A314="","",_xll.BDP($A314&amp;" Corp","MATURITY"))</f>
        <v/>
      </c>
      <c r="M314" s="20">
        <f>IF($A314="","",IFERROR(_xll.BDP($A314&amp;" Corp","MIN_PIECE")/1000,""))</f>
        <v/>
      </c>
      <c r="N314" s="21">
        <f>IF($A314="","",_xll.BDP($A314&amp;" Corp","PX_LAST"))</f>
        <v/>
      </c>
      <c r="O314" s="21">
        <f>IF($A314="","",_xll.BDP($A314&amp;" Corp","YAS_BOND_YLD","YAS_YLD_FLAG=15"))</f>
        <v/>
      </c>
      <c r="P314" s="21">
        <f>IF($A314="","",_xll.BDP($A314&amp;" Corp","YAS_MOD_DUR"))</f>
        <v/>
      </c>
      <c r="Q314" s="22">
        <f>IF($A314="","",_xll.BDP($A314&amp;" Corp","YAS_OAS_SPRD"))</f>
        <v/>
      </c>
      <c r="R314" s="22">
        <f>IF($A314="","",_xll.BDP($A314&amp;" Corp","YAS_OAS_SPRD","SETTLE_DT",$B$2))</f>
        <v/>
      </c>
      <c r="S314" s="23">
        <f>IF($A314="","",IF(OR(NOT(ISNUMBER($Q314)),NOT(ISNUMBER($R314))),"",$Q314-$R314))</f>
        <v/>
      </c>
      <c r="T314" s="21">
        <f>IF($A314="","",_xll.BDP($A314&amp;" Corp","YAS_BOND_YLD","YAS_YLD_FLAG=15","SETTLE_DT",$B$2))</f>
        <v/>
      </c>
      <c r="U314" s="24">
        <f>IF($A314="","",IF(OR(NOT(ISNUMBER($O314)),NOT(ISNUMBER($T314))),"",$O314-$T314))</f>
        <v/>
      </c>
      <c r="V314" s="22">
        <f>IF(NOT(ISNUMBER($S314)),"",COUNTIFS($G$7:$G$850,$G314,$S$7:$S$850,"&gt;"&amp;$S314)+COUNTIFS($G$7:$G314,$G314,$S$7:$S314,$S314))</f>
        <v/>
      </c>
      <c r="W314" s="22">
        <f>IF(NOT(ISNUMBER($S314)),"",COUNTIFS($G$7:$G$850,$G314,$S$7:$S$850,"&lt;"&amp;$S314)+COUNTIFS($G$7:$G314,$G314,$S$7:$S314,$S314))</f>
        <v/>
      </c>
      <c r="X314" s="17">
        <f>IF($V314="","",$G314&amp;"|"&amp;$V314)</f>
        <v/>
      </c>
      <c r="Y314" s="17">
        <f>IF($W314="","",$G314&amp;"|"&amp;$W314)</f>
        <v/>
      </c>
    </row>
    <row r="315">
      <c r="A315" s="7" t="inlineStr">
        <is>
          <t>XS2491664137</t>
        </is>
      </c>
      <c r="B315" s="8">
        <f>IF($A315="","",PROPER(_xll.BDP($A315&amp;" Corp","NAME")))</f>
        <v/>
      </c>
      <c r="C315" s="8">
        <f>IF($A315="","",IFERROR(INDEX(Company_desc!$B$2:$B$1144,MATCH($A315,Company_desc!$A$2:$A$1144,0)),IFERROR(INDEX(SYZ_static!$Q$2:$Q$806,MATCH($A315,SYZ_static!$A$2:$A$806,0)),"")))</f>
        <v/>
      </c>
      <c r="D315" s="8">
        <f>IF($A315="","",IFERROR(INDEX(SYZ_static!$B$2:$B$806,MATCH($A315,SYZ_static!$A$2:$A$806,0)),""))</f>
        <v/>
      </c>
      <c r="E315" s="8">
        <f>IF($A315="","",_xll.BDP($A315&amp;" Corp","INDUSTRY_SECTOR"))</f>
        <v/>
      </c>
      <c r="F315" s="8">
        <f>IF($A315="","",PROPER(_xll.BDP($A315&amp;" Corp","COUNTRY_FULL_NAME")))</f>
        <v/>
      </c>
      <c r="G315" s="8">
        <f>IF($A315="","",_xll.BDP($A315&amp;" Corp","CRNCY"))</f>
        <v/>
      </c>
      <c r="H315" s="8">
        <f>IF($A315="","",IFERROR(INDEX(SYZ_static!$T$2:$T$806,MATCH($A315,SYZ_static!$A$2:$A$806,0)),_xll.BDP($A315&amp;" Corp","RTG_SP")))</f>
        <v/>
      </c>
      <c r="I315" s="8">
        <f>IF($A315="","",IFERROR(INDEX(SYZ_static!$S$2:$S$806,MATCH($A315,SYZ_static!$A$2:$A$806,0)),""))</f>
        <v/>
      </c>
      <c r="J315" s="8">
        <f>IF($A315="","",_xll.BDP($A315&amp;" Corp","PAYMENT_RANK"))</f>
        <v/>
      </c>
      <c r="K315" s="9">
        <f>IF($A315="","",_xll.BDP($A315&amp;" Corp","CPN"))</f>
        <v/>
      </c>
      <c r="L315" s="10">
        <f>IF($A315="","",_xll.BDP($A315&amp;" Corp","MATURITY"))</f>
        <v/>
      </c>
      <c r="M315" s="11">
        <f>IF($A315="","",IFERROR(_xll.BDP($A315&amp;" Corp","MIN_PIECE")/1000,""))</f>
        <v/>
      </c>
      <c r="N315" s="12">
        <f>IF($A315="","",_xll.BDP($A315&amp;" Corp","PX_LAST"))</f>
        <v/>
      </c>
      <c r="O315" s="12">
        <f>IF($A315="","",_xll.BDP($A315&amp;" Corp","YAS_BOND_YLD","YAS_YLD_FLAG=15"))</f>
        <v/>
      </c>
      <c r="P315" s="12">
        <f>IF($A315="","",_xll.BDP($A315&amp;" Corp","YAS_MOD_DUR"))</f>
        <v/>
      </c>
      <c r="Q315" s="13">
        <f>IF($A315="","",_xll.BDP($A315&amp;" Corp","YAS_OAS_SPRD"))</f>
        <v/>
      </c>
      <c r="R315" s="13">
        <f>IF($A315="","",_xll.BDP($A315&amp;" Corp","YAS_OAS_SPRD","SETTLE_DT",$B$2))</f>
        <v/>
      </c>
      <c r="S315" s="14">
        <f>IF($A315="","",IF(OR(NOT(ISNUMBER($Q315)),NOT(ISNUMBER($R315))),"",$Q315-$R315))</f>
        <v/>
      </c>
      <c r="T315" s="12">
        <f>IF($A315="","",_xll.BDP($A315&amp;" Corp","YAS_BOND_YLD","YAS_YLD_FLAG=15","SETTLE_DT",$B$2))</f>
        <v/>
      </c>
      <c r="U315" s="15">
        <f>IF($A315="","",IF(OR(NOT(ISNUMBER($O315)),NOT(ISNUMBER($T315))),"",$O315-$T315))</f>
        <v/>
      </c>
      <c r="V315" s="13">
        <f>IF(NOT(ISNUMBER($S315)),"",COUNTIFS($G$7:$G$850,$G315,$S$7:$S$850,"&gt;"&amp;$S315)+COUNTIFS($G$7:$G315,$G315,$S$7:$S315,$S315))</f>
        <v/>
      </c>
      <c r="W315" s="13">
        <f>IF(NOT(ISNUMBER($S315)),"",COUNTIFS($G$7:$G$850,$G315,$S$7:$S$850,"&lt;"&amp;$S315)+COUNTIFS($G$7:$G315,$G315,$S$7:$S315,$S315))</f>
        <v/>
      </c>
      <c r="X315" s="8">
        <f>IF($V315="","",$G315&amp;"|"&amp;$V315)</f>
        <v/>
      </c>
      <c r="Y315" s="8">
        <f>IF($W315="","",$G315&amp;"|"&amp;$W315)</f>
        <v/>
      </c>
    </row>
    <row r="316">
      <c r="A316" s="16" t="inlineStr">
        <is>
          <t>CH1376931577</t>
        </is>
      </c>
      <c r="B316" s="17">
        <f>IF($A316="","",PROPER(_xll.BDP($A316&amp;" Corp","NAME")))</f>
        <v/>
      </c>
      <c r="C316" s="17">
        <f>IF($A316="","",IFERROR(INDEX(Company_desc!$B$2:$B$1144,MATCH($A316,Company_desc!$A$2:$A$1144,0)),IFERROR(INDEX(SYZ_static!$Q$2:$Q$806,MATCH($A316,SYZ_static!$A$2:$A$806,0)),"")))</f>
        <v/>
      </c>
      <c r="D316" s="17">
        <f>IF($A316="","",IFERROR(INDEX(SYZ_static!$B$2:$B$806,MATCH($A316,SYZ_static!$A$2:$A$806,0)),""))</f>
        <v/>
      </c>
      <c r="E316" s="17">
        <f>IF($A316="","",_xll.BDP($A316&amp;" Corp","INDUSTRY_SECTOR"))</f>
        <v/>
      </c>
      <c r="F316" s="17">
        <f>IF($A316="","",PROPER(_xll.BDP($A316&amp;" Corp","COUNTRY_FULL_NAME")))</f>
        <v/>
      </c>
      <c r="G316" s="17">
        <f>IF($A316="","",_xll.BDP($A316&amp;" Corp","CRNCY"))</f>
        <v/>
      </c>
      <c r="H316" s="17">
        <f>IF($A316="","",IFERROR(INDEX(SYZ_static!$T$2:$T$806,MATCH($A316,SYZ_static!$A$2:$A$806,0)),_xll.BDP($A316&amp;" Corp","RTG_SP")))</f>
        <v/>
      </c>
      <c r="I316" s="17">
        <f>IF($A316="","",IFERROR(INDEX(SYZ_static!$S$2:$S$806,MATCH($A316,SYZ_static!$A$2:$A$806,0)),""))</f>
        <v/>
      </c>
      <c r="J316" s="17">
        <f>IF($A316="","",_xll.BDP($A316&amp;" Corp","PAYMENT_RANK"))</f>
        <v/>
      </c>
      <c r="K316" s="18">
        <f>IF($A316="","",_xll.BDP($A316&amp;" Corp","CPN"))</f>
        <v/>
      </c>
      <c r="L316" s="19">
        <f>IF($A316="","",_xll.BDP($A316&amp;" Corp","MATURITY"))</f>
        <v/>
      </c>
      <c r="M316" s="20">
        <f>IF($A316="","",IFERROR(_xll.BDP($A316&amp;" Corp","MIN_PIECE")/1000,""))</f>
        <v/>
      </c>
      <c r="N316" s="21">
        <f>IF($A316="","",_xll.BDP($A316&amp;" Corp","PX_LAST"))</f>
        <v/>
      </c>
      <c r="O316" s="21">
        <f>IF($A316="","",_xll.BDP($A316&amp;" Corp","YAS_BOND_YLD","YAS_YLD_FLAG=15"))</f>
        <v/>
      </c>
      <c r="P316" s="21">
        <f>IF($A316="","",_xll.BDP($A316&amp;" Corp","YAS_MOD_DUR"))</f>
        <v/>
      </c>
      <c r="Q316" s="22">
        <f>IF($A316="","",_xll.BDP($A316&amp;" Corp","YAS_OAS_SPRD"))</f>
        <v/>
      </c>
      <c r="R316" s="22">
        <f>IF($A316="","",_xll.BDP($A316&amp;" Corp","YAS_OAS_SPRD","SETTLE_DT",$B$2))</f>
        <v/>
      </c>
      <c r="S316" s="23">
        <f>IF($A316="","",IF(OR(NOT(ISNUMBER($Q316)),NOT(ISNUMBER($R316))),"",$Q316-$R316))</f>
        <v/>
      </c>
      <c r="T316" s="21">
        <f>IF($A316="","",_xll.BDP($A316&amp;" Corp","YAS_BOND_YLD","YAS_YLD_FLAG=15","SETTLE_DT",$B$2))</f>
        <v/>
      </c>
      <c r="U316" s="24">
        <f>IF($A316="","",IF(OR(NOT(ISNUMBER($O316)),NOT(ISNUMBER($T316))),"",$O316-$T316))</f>
        <v/>
      </c>
      <c r="V316" s="22">
        <f>IF(NOT(ISNUMBER($S316)),"",COUNTIFS($G$7:$G$850,$G316,$S$7:$S$850,"&gt;"&amp;$S316)+COUNTIFS($G$7:$G316,$G316,$S$7:$S316,$S316))</f>
        <v/>
      </c>
      <c r="W316" s="22">
        <f>IF(NOT(ISNUMBER($S316)),"",COUNTIFS($G$7:$G$850,$G316,$S$7:$S$850,"&lt;"&amp;$S316)+COUNTIFS($G$7:$G316,$G316,$S$7:$S316,$S316))</f>
        <v/>
      </c>
      <c r="X316" s="17">
        <f>IF($V316="","",$G316&amp;"|"&amp;$V316)</f>
        <v/>
      </c>
      <c r="Y316" s="17">
        <f>IF($W316="","",$G316&amp;"|"&amp;$W316)</f>
        <v/>
      </c>
    </row>
    <row r="317">
      <c r="A317" s="7" t="inlineStr">
        <is>
          <t>DE000A3MQS72</t>
        </is>
      </c>
      <c r="B317" s="8">
        <f>IF($A317="","",PROPER(_xll.BDP($A317&amp;" Corp","NAME")))</f>
        <v/>
      </c>
      <c r="C317" s="8">
        <f>IF($A317="","",IFERROR(INDEX(Company_desc!$B$2:$B$1144,MATCH($A317,Company_desc!$A$2:$A$1144,0)),IFERROR(INDEX(SYZ_static!$Q$2:$Q$806,MATCH($A317,SYZ_static!$A$2:$A$806,0)),"")))</f>
        <v/>
      </c>
      <c r="D317" s="8">
        <f>IF($A317="","",IFERROR(INDEX(SYZ_static!$B$2:$B$806,MATCH($A317,SYZ_static!$A$2:$A$806,0)),""))</f>
        <v/>
      </c>
      <c r="E317" s="8">
        <f>IF($A317="","",_xll.BDP($A317&amp;" Corp","INDUSTRY_SECTOR"))</f>
        <v/>
      </c>
      <c r="F317" s="8">
        <f>IF($A317="","",PROPER(_xll.BDP($A317&amp;" Corp","COUNTRY_FULL_NAME")))</f>
        <v/>
      </c>
      <c r="G317" s="8">
        <f>IF($A317="","",_xll.BDP($A317&amp;" Corp","CRNCY"))</f>
        <v/>
      </c>
      <c r="H317" s="8">
        <f>IF($A317="","",IFERROR(INDEX(SYZ_static!$T$2:$T$806,MATCH($A317,SYZ_static!$A$2:$A$806,0)),_xll.BDP($A317&amp;" Corp","RTG_SP")))</f>
        <v/>
      </c>
      <c r="I317" s="8">
        <f>IF($A317="","",IFERROR(INDEX(SYZ_static!$S$2:$S$806,MATCH($A317,SYZ_static!$A$2:$A$806,0)),""))</f>
        <v/>
      </c>
      <c r="J317" s="8">
        <f>IF($A317="","",_xll.BDP($A317&amp;" Corp","PAYMENT_RANK"))</f>
        <v/>
      </c>
      <c r="K317" s="9">
        <f>IF($A317="","",_xll.BDP($A317&amp;" Corp","CPN"))</f>
        <v/>
      </c>
      <c r="L317" s="10">
        <f>IF($A317="","",_xll.BDP($A317&amp;" Corp","MATURITY"))</f>
        <v/>
      </c>
      <c r="M317" s="11">
        <f>IF($A317="","",IFERROR(_xll.BDP($A317&amp;" Corp","MIN_PIECE")/1000,""))</f>
        <v/>
      </c>
      <c r="N317" s="12">
        <f>IF($A317="","",_xll.BDP($A317&amp;" Corp","PX_LAST"))</f>
        <v/>
      </c>
      <c r="O317" s="12">
        <f>IF($A317="","",_xll.BDP($A317&amp;" Corp","YAS_BOND_YLD","YAS_YLD_FLAG=15"))</f>
        <v/>
      </c>
      <c r="P317" s="12">
        <f>IF($A317="","",_xll.BDP($A317&amp;" Corp","YAS_MOD_DUR"))</f>
        <v/>
      </c>
      <c r="Q317" s="13">
        <f>IF($A317="","",_xll.BDP($A317&amp;" Corp","YAS_OAS_SPRD"))</f>
        <v/>
      </c>
      <c r="R317" s="13">
        <f>IF($A317="","",_xll.BDP($A317&amp;" Corp","YAS_OAS_SPRD","SETTLE_DT",$B$2))</f>
        <v/>
      </c>
      <c r="S317" s="14">
        <f>IF($A317="","",IF(OR(NOT(ISNUMBER($Q317)),NOT(ISNUMBER($R317))),"",$Q317-$R317))</f>
        <v/>
      </c>
      <c r="T317" s="12">
        <f>IF($A317="","",_xll.BDP($A317&amp;" Corp","YAS_BOND_YLD","YAS_YLD_FLAG=15","SETTLE_DT",$B$2))</f>
        <v/>
      </c>
      <c r="U317" s="15">
        <f>IF($A317="","",IF(OR(NOT(ISNUMBER($O317)),NOT(ISNUMBER($T317))),"",$O317-$T317))</f>
        <v/>
      </c>
      <c r="V317" s="13">
        <f>IF(NOT(ISNUMBER($S317)),"",COUNTIFS($G$7:$G$850,$G317,$S$7:$S$850,"&gt;"&amp;$S317)+COUNTIFS($G$7:$G317,$G317,$S$7:$S317,$S317))</f>
        <v/>
      </c>
      <c r="W317" s="13">
        <f>IF(NOT(ISNUMBER($S317)),"",COUNTIFS($G$7:$G$850,$G317,$S$7:$S$850,"&lt;"&amp;$S317)+COUNTIFS($G$7:$G317,$G317,$S$7:$S317,$S317))</f>
        <v/>
      </c>
      <c r="X317" s="8">
        <f>IF($V317="","",$G317&amp;"|"&amp;$V317)</f>
        <v/>
      </c>
      <c r="Y317" s="8">
        <f>IF($W317="","",$G317&amp;"|"&amp;$W317)</f>
        <v/>
      </c>
    </row>
    <row r="318">
      <c r="A318" s="16" t="inlineStr">
        <is>
          <t>XS2847641961</t>
        </is>
      </c>
      <c r="B318" s="17">
        <f>IF($A318="","",PROPER(_xll.BDP($A318&amp;" Corp","NAME")))</f>
        <v/>
      </c>
      <c r="C318" s="17">
        <f>IF($A318="","",IFERROR(INDEX(Company_desc!$B$2:$B$1144,MATCH($A318,Company_desc!$A$2:$A$1144,0)),IFERROR(INDEX(SYZ_static!$Q$2:$Q$806,MATCH($A318,SYZ_static!$A$2:$A$806,0)),"")))</f>
        <v/>
      </c>
      <c r="D318" s="17">
        <f>IF($A318="","",IFERROR(INDEX(SYZ_static!$B$2:$B$806,MATCH($A318,SYZ_static!$A$2:$A$806,0)),""))</f>
        <v/>
      </c>
      <c r="E318" s="17">
        <f>IF($A318="","",_xll.BDP($A318&amp;" Corp","INDUSTRY_SECTOR"))</f>
        <v/>
      </c>
      <c r="F318" s="17">
        <f>IF($A318="","",PROPER(_xll.BDP($A318&amp;" Corp","COUNTRY_FULL_NAME")))</f>
        <v/>
      </c>
      <c r="G318" s="17">
        <f>IF($A318="","",_xll.BDP($A318&amp;" Corp","CRNCY"))</f>
        <v/>
      </c>
      <c r="H318" s="17">
        <f>IF($A318="","",IFERROR(INDEX(SYZ_static!$T$2:$T$806,MATCH($A318,SYZ_static!$A$2:$A$806,0)),_xll.BDP($A318&amp;" Corp","RTG_SP")))</f>
        <v/>
      </c>
      <c r="I318" s="17">
        <f>IF($A318="","",IFERROR(INDEX(SYZ_static!$S$2:$S$806,MATCH($A318,SYZ_static!$A$2:$A$806,0)),""))</f>
        <v/>
      </c>
      <c r="J318" s="17">
        <f>IF($A318="","",_xll.BDP($A318&amp;" Corp","PAYMENT_RANK"))</f>
        <v/>
      </c>
      <c r="K318" s="18">
        <f>IF($A318="","",_xll.BDP($A318&amp;" Corp","CPN"))</f>
        <v/>
      </c>
      <c r="L318" s="19">
        <f>IF($A318="","",_xll.BDP($A318&amp;" Corp","MATURITY"))</f>
        <v/>
      </c>
      <c r="M318" s="20">
        <f>IF($A318="","",IFERROR(_xll.BDP($A318&amp;" Corp","MIN_PIECE")/1000,""))</f>
        <v/>
      </c>
      <c r="N318" s="21">
        <f>IF($A318="","",_xll.BDP($A318&amp;" Corp","PX_LAST"))</f>
        <v/>
      </c>
      <c r="O318" s="21">
        <f>IF($A318="","",_xll.BDP($A318&amp;" Corp","YAS_BOND_YLD","YAS_YLD_FLAG=15"))</f>
        <v/>
      </c>
      <c r="P318" s="21">
        <f>IF($A318="","",_xll.BDP($A318&amp;" Corp","YAS_MOD_DUR"))</f>
        <v/>
      </c>
      <c r="Q318" s="22">
        <f>IF($A318="","",_xll.BDP($A318&amp;" Corp","YAS_OAS_SPRD"))</f>
        <v/>
      </c>
      <c r="R318" s="22">
        <f>IF($A318="","",_xll.BDP($A318&amp;" Corp","YAS_OAS_SPRD","SETTLE_DT",$B$2))</f>
        <v/>
      </c>
      <c r="S318" s="23">
        <f>IF($A318="","",IF(OR(NOT(ISNUMBER($Q318)),NOT(ISNUMBER($R318))),"",$Q318-$R318))</f>
        <v/>
      </c>
      <c r="T318" s="21">
        <f>IF($A318="","",_xll.BDP($A318&amp;" Corp","YAS_BOND_YLD","YAS_YLD_FLAG=15","SETTLE_DT",$B$2))</f>
        <v/>
      </c>
      <c r="U318" s="24">
        <f>IF($A318="","",IF(OR(NOT(ISNUMBER($O318)),NOT(ISNUMBER($T318))),"",$O318-$T318))</f>
        <v/>
      </c>
      <c r="V318" s="22">
        <f>IF(NOT(ISNUMBER($S318)),"",COUNTIFS($G$7:$G$850,$G318,$S$7:$S$850,"&gt;"&amp;$S318)+COUNTIFS($G$7:$G318,$G318,$S$7:$S318,$S318))</f>
        <v/>
      </c>
      <c r="W318" s="22">
        <f>IF(NOT(ISNUMBER($S318)),"",COUNTIFS($G$7:$G$850,$G318,$S$7:$S$850,"&lt;"&amp;$S318)+COUNTIFS($G$7:$G318,$G318,$S$7:$S318,$S318))</f>
        <v/>
      </c>
      <c r="X318" s="17">
        <f>IF($V318="","",$G318&amp;"|"&amp;$V318)</f>
        <v/>
      </c>
      <c r="Y318" s="17">
        <f>IF($W318="","",$G318&amp;"|"&amp;$W318)</f>
        <v/>
      </c>
    </row>
    <row r="319">
      <c r="A319" s="7" t="inlineStr">
        <is>
          <t>US88167AAE10</t>
        </is>
      </c>
      <c r="B319" s="8">
        <f>IF($A319="","",PROPER(_xll.BDP($A319&amp;" Corp","NAME")))</f>
        <v/>
      </c>
      <c r="C319" s="8">
        <f>IF($A319="","",IFERROR(INDEX(Company_desc!$B$2:$B$1144,MATCH($A319,Company_desc!$A$2:$A$1144,0)),IFERROR(INDEX(SYZ_static!$Q$2:$Q$806,MATCH($A319,SYZ_static!$A$2:$A$806,0)),"")))</f>
        <v/>
      </c>
      <c r="D319" s="8">
        <f>IF($A319="","",IFERROR(INDEX(SYZ_static!$B$2:$B$806,MATCH($A319,SYZ_static!$A$2:$A$806,0)),""))</f>
        <v/>
      </c>
      <c r="E319" s="8">
        <f>IF($A319="","",_xll.BDP($A319&amp;" Corp","INDUSTRY_SECTOR"))</f>
        <v/>
      </c>
      <c r="F319" s="8">
        <f>IF($A319="","",PROPER(_xll.BDP($A319&amp;" Corp","COUNTRY_FULL_NAME")))</f>
        <v/>
      </c>
      <c r="G319" s="8">
        <f>IF($A319="","",_xll.BDP($A319&amp;" Corp","CRNCY"))</f>
        <v/>
      </c>
      <c r="H319" s="8">
        <f>IF($A319="","",IFERROR(INDEX(SYZ_static!$T$2:$T$806,MATCH($A319,SYZ_static!$A$2:$A$806,0)),_xll.BDP($A319&amp;" Corp","RTG_SP")))</f>
        <v/>
      </c>
      <c r="I319" s="8">
        <f>IF($A319="","",IFERROR(INDEX(SYZ_static!$S$2:$S$806,MATCH($A319,SYZ_static!$A$2:$A$806,0)),""))</f>
        <v/>
      </c>
      <c r="J319" s="8">
        <f>IF($A319="","",_xll.BDP($A319&amp;" Corp","PAYMENT_RANK"))</f>
        <v/>
      </c>
      <c r="K319" s="9">
        <f>IF($A319="","",_xll.BDP($A319&amp;" Corp","CPN"))</f>
        <v/>
      </c>
      <c r="L319" s="10">
        <f>IF($A319="","",_xll.BDP($A319&amp;" Corp","MATURITY"))</f>
        <v/>
      </c>
      <c r="M319" s="11">
        <f>IF($A319="","",IFERROR(_xll.BDP($A319&amp;" Corp","MIN_PIECE")/1000,""))</f>
        <v/>
      </c>
      <c r="N319" s="12">
        <f>IF($A319="","",_xll.BDP($A319&amp;" Corp","PX_LAST"))</f>
        <v/>
      </c>
      <c r="O319" s="12">
        <f>IF($A319="","",_xll.BDP($A319&amp;" Corp","YAS_BOND_YLD","YAS_YLD_FLAG=15"))</f>
        <v/>
      </c>
      <c r="P319" s="12">
        <f>IF($A319="","",_xll.BDP($A319&amp;" Corp","YAS_MOD_DUR"))</f>
        <v/>
      </c>
      <c r="Q319" s="13">
        <f>IF($A319="","",_xll.BDP($A319&amp;" Corp","YAS_OAS_SPRD"))</f>
        <v/>
      </c>
      <c r="R319" s="13">
        <f>IF($A319="","",_xll.BDP($A319&amp;" Corp","YAS_OAS_SPRD","SETTLE_DT",$B$2))</f>
        <v/>
      </c>
      <c r="S319" s="14">
        <f>IF($A319="","",IF(OR(NOT(ISNUMBER($Q319)),NOT(ISNUMBER($R319))),"",$Q319-$R319))</f>
        <v/>
      </c>
      <c r="T319" s="12">
        <f>IF($A319="","",_xll.BDP($A319&amp;" Corp","YAS_BOND_YLD","YAS_YLD_FLAG=15","SETTLE_DT",$B$2))</f>
        <v/>
      </c>
      <c r="U319" s="15">
        <f>IF($A319="","",IF(OR(NOT(ISNUMBER($O319)),NOT(ISNUMBER($T319))),"",$O319-$T319))</f>
        <v/>
      </c>
      <c r="V319" s="13">
        <f>IF(NOT(ISNUMBER($S319)),"",COUNTIFS($G$7:$G$850,$G319,$S$7:$S$850,"&gt;"&amp;$S319)+COUNTIFS($G$7:$G319,$G319,$S$7:$S319,$S319))</f>
        <v/>
      </c>
      <c r="W319" s="13">
        <f>IF(NOT(ISNUMBER($S319)),"",COUNTIFS($G$7:$G$850,$G319,$S$7:$S$850,"&lt;"&amp;$S319)+COUNTIFS($G$7:$G319,$G319,$S$7:$S319,$S319))</f>
        <v/>
      </c>
      <c r="X319" s="8">
        <f>IF($V319="","",$G319&amp;"|"&amp;$V319)</f>
        <v/>
      </c>
      <c r="Y319" s="8">
        <f>IF($W319="","",$G319&amp;"|"&amp;$W319)</f>
        <v/>
      </c>
    </row>
    <row r="320">
      <c r="A320" s="16" t="inlineStr">
        <is>
          <t>USF2893TAP15</t>
        </is>
      </c>
      <c r="B320" s="17">
        <f>IF($A320="","",PROPER(_xll.BDP($A320&amp;" Corp","NAME")))</f>
        <v/>
      </c>
      <c r="C320" s="17">
        <f>IF($A320="","",IFERROR(INDEX(Company_desc!$B$2:$B$1144,MATCH($A320,Company_desc!$A$2:$A$1144,0)),IFERROR(INDEX(SYZ_static!$Q$2:$Q$806,MATCH($A320,SYZ_static!$A$2:$A$806,0)),"")))</f>
        <v/>
      </c>
      <c r="D320" s="17">
        <f>IF($A320="","",IFERROR(INDEX(SYZ_static!$B$2:$B$806,MATCH($A320,SYZ_static!$A$2:$A$806,0)),""))</f>
        <v/>
      </c>
      <c r="E320" s="17">
        <f>IF($A320="","",_xll.BDP($A320&amp;" Corp","INDUSTRY_SECTOR"))</f>
        <v/>
      </c>
      <c r="F320" s="17">
        <f>IF($A320="","",PROPER(_xll.BDP($A320&amp;" Corp","COUNTRY_FULL_NAME")))</f>
        <v/>
      </c>
      <c r="G320" s="17">
        <f>IF($A320="","",_xll.BDP($A320&amp;" Corp","CRNCY"))</f>
        <v/>
      </c>
      <c r="H320" s="17">
        <f>IF($A320="","",IFERROR(INDEX(SYZ_static!$T$2:$T$806,MATCH($A320,SYZ_static!$A$2:$A$806,0)),_xll.BDP($A320&amp;" Corp","RTG_SP")))</f>
        <v/>
      </c>
      <c r="I320" s="17">
        <f>IF($A320="","",IFERROR(INDEX(SYZ_static!$S$2:$S$806,MATCH($A320,SYZ_static!$A$2:$A$806,0)),""))</f>
        <v/>
      </c>
      <c r="J320" s="17">
        <f>IF($A320="","",_xll.BDP($A320&amp;" Corp","PAYMENT_RANK"))</f>
        <v/>
      </c>
      <c r="K320" s="18">
        <f>IF($A320="","",_xll.BDP($A320&amp;" Corp","CPN"))</f>
        <v/>
      </c>
      <c r="L320" s="19">
        <f>IF($A320="","",_xll.BDP($A320&amp;" Corp","MATURITY"))</f>
        <v/>
      </c>
      <c r="M320" s="20">
        <f>IF($A320="","",IFERROR(_xll.BDP($A320&amp;" Corp","MIN_PIECE")/1000,""))</f>
        <v/>
      </c>
      <c r="N320" s="21">
        <f>IF($A320="","",_xll.BDP($A320&amp;" Corp","PX_LAST"))</f>
        <v/>
      </c>
      <c r="O320" s="21">
        <f>IF($A320="","",_xll.BDP($A320&amp;" Corp","YAS_BOND_YLD","YAS_YLD_FLAG=15"))</f>
        <v/>
      </c>
      <c r="P320" s="21">
        <f>IF($A320="","",_xll.BDP($A320&amp;" Corp","YAS_MOD_DUR"))</f>
        <v/>
      </c>
      <c r="Q320" s="22">
        <f>IF($A320="","",_xll.BDP($A320&amp;" Corp","YAS_OAS_SPRD"))</f>
        <v/>
      </c>
      <c r="R320" s="22">
        <f>IF($A320="","",_xll.BDP($A320&amp;" Corp","YAS_OAS_SPRD","SETTLE_DT",$B$2))</f>
        <v/>
      </c>
      <c r="S320" s="23">
        <f>IF($A320="","",IF(OR(NOT(ISNUMBER($Q320)),NOT(ISNUMBER($R320))),"",$Q320-$R320))</f>
        <v/>
      </c>
      <c r="T320" s="21">
        <f>IF($A320="","",_xll.BDP($A320&amp;" Corp","YAS_BOND_YLD","YAS_YLD_FLAG=15","SETTLE_DT",$B$2))</f>
        <v/>
      </c>
      <c r="U320" s="24">
        <f>IF($A320="","",IF(OR(NOT(ISNUMBER($O320)),NOT(ISNUMBER($T320))),"",$O320-$T320))</f>
        <v/>
      </c>
      <c r="V320" s="22">
        <f>IF(NOT(ISNUMBER($S320)),"",COUNTIFS($G$7:$G$850,$G320,$S$7:$S$850,"&gt;"&amp;$S320)+COUNTIFS($G$7:$G320,$G320,$S$7:$S320,$S320))</f>
        <v/>
      </c>
      <c r="W320" s="22">
        <f>IF(NOT(ISNUMBER($S320)),"",COUNTIFS($G$7:$G$850,$G320,$S$7:$S$850,"&lt;"&amp;$S320)+COUNTIFS($G$7:$G320,$G320,$S$7:$S320,$S320))</f>
        <v/>
      </c>
      <c r="X320" s="17">
        <f>IF($V320="","",$G320&amp;"|"&amp;$V320)</f>
        <v/>
      </c>
      <c r="Y320" s="17">
        <f>IF($W320="","",$G320&amp;"|"&amp;$W320)</f>
        <v/>
      </c>
    </row>
    <row r="321">
      <c r="A321" s="7" t="inlineStr">
        <is>
          <t>XS1997070781</t>
        </is>
      </c>
      <c r="B321" s="8">
        <f>IF($A321="","",PROPER(_xll.BDP($A321&amp;" Corp","NAME")))</f>
        <v/>
      </c>
      <c r="C321" s="8">
        <f>IF($A321="","",IFERROR(INDEX(Company_desc!$B$2:$B$1144,MATCH($A321,Company_desc!$A$2:$A$1144,0)),IFERROR(INDEX(SYZ_static!$Q$2:$Q$806,MATCH($A321,SYZ_static!$A$2:$A$806,0)),"")))</f>
        <v/>
      </c>
      <c r="D321" s="8">
        <f>IF($A321="","",IFERROR(INDEX(SYZ_static!$B$2:$B$806,MATCH($A321,SYZ_static!$A$2:$A$806,0)),""))</f>
        <v/>
      </c>
      <c r="E321" s="8">
        <f>IF($A321="","",_xll.BDP($A321&amp;" Corp","INDUSTRY_SECTOR"))</f>
        <v/>
      </c>
      <c r="F321" s="8">
        <f>IF($A321="","",PROPER(_xll.BDP($A321&amp;" Corp","COUNTRY_FULL_NAME")))</f>
        <v/>
      </c>
      <c r="G321" s="8">
        <f>IF($A321="","",_xll.BDP($A321&amp;" Corp","CRNCY"))</f>
        <v/>
      </c>
      <c r="H321" s="8">
        <f>IF($A321="","",IFERROR(INDEX(SYZ_static!$T$2:$T$806,MATCH($A321,SYZ_static!$A$2:$A$806,0)),_xll.BDP($A321&amp;" Corp","RTG_SP")))</f>
        <v/>
      </c>
      <c r="I321" s="8">
        <f>IF($A321="","",IFERROR(INDEX(SYZ_static!$S$2:$S$806,MATCH($A321,SYZ_static!$A$2:$A$806,0)),""))</f>
        <v/>
      </c>
      <c r="J321" s="8">
        <f>IF($A321="","",_xll.BDP($A321&amp;" Corp","PAYMENT_RANK"))</f>
        <v/>
      </c>
      <c r="K321" s="9">
        <f>IF($A321="","",_xll.BDP($A321&amp;" Corp","CPN"))</f>
        <v/>
      </c>
      <c r="L321" s="10">
        <f>IF($A321="","",_xll.BDP($A321&amp;" Corp","MATURITY"))</f>
        <v/>
      </c>
      <c r="M321" s="11">
        <f>IF($A321="","",IFERROR(_xll.BDP($A321&amp;" Corp","MIN_PIECE")/1000,""))</f>
        <v/>
      </c>
      <c r="N321" s="12">
        <f>IF($A321="","",_xll.BDP($A321&amp;" Corp","PX_LAST"))</f>
        <v/>
      </c>
      <c r="O321" s="12">
        <f>IF($A321="","",_xll.BDP($A321&amp;" Corp","YAS_BOND_YLD","YAS_YLD_FLAG=15"))</f>
        <v/>
      </c>
      <c r="P321" s="12">
        <f>IF($A321="","",_xll.BDP($A321&amp;" Corp","YAS_MOD_DUR"))</f>
        <v/>
      </c>
      <c r="Q321" s="13">
        <f>IF($A321="","",_xll.BDP($A321&amp;" Corp","YAS_OAS_SPRD"))</f>
        <v/>
      </c>
      <c r="R321" s="13">
        <f>IF($A321="","",_xll.BDP($A321&amp;" Corp","YAS_OAS_SPRD","SETTLE_DT",$B$2))</f>
        <v/>
      </c>
      <c r="S321" s="14">
        <f>IF($A321="","",IF(OR(NOT(ISNUMBER($Q321)),NOT(ISNUMBER($R321))),"",$Q321-$R321))</f>
        <v/>
      </c>
      <c r="T321" s="12">
        <f>IF($A321="","",_xll.BDP($A321&amp;" Corp","YAS_BOND_YLD","YAS_YLD_FLAG=15","SETTLE_DT",$B$2))</f>
        <v/>
      </c>
      <c r="U321" s="15">
        <f>IF($A321="","",IF(OR(NOT(ISNUMBER($O321)),NOT(ISNUMBER($T321))),"",$O321-$T321))</f>
        <v/>
      </c>
      <c r="V321" s="13">
        <f>IF(NOT(ISNUMBER($S321)),"",COUNTIFS($G$7:$G$850,$G321,$S$7:$S$850,"&gt;"&amp;$S321)+COUNTIFS($G$7:$G321,$G321,$S$7:$S321,$S321))</f>
        <v/>
      </c>
      <c r="W321" s="13">
        <f>IF(NOT(ISNUMBER($S321)),"",COUNTIFS($G$7:$G$850,$G321,$S$7:$S$850,"&lt;"&amp;$S321)+COUNTIFS($G$7:$G321,$G321,$S$7:$S321,$S321))</f>
        <v/>
      </c>
      <c r="X321" s="8">
        <f>IF($V321="","",$G321&amp;"|"&amp;$V321)</f>
        <v/>
      </c>
      <c r="Y321" s="8">
        <f>IF($W321="","",$G321&amp;"|"&amp;$W321)</f>
        <v/>
      </c>
    </row>
    <row r="322">
      <c r="A322" s="16" t="inlineStr">
        <is>
          <t>US103304BU40</t>
        </is>
      </c>
      <c r="B322" s="17">
        <f>IF($A322="","",PROPER(_xll.BDP($A322&amp;" Corp","NAME")))</f>
        <v/>
      </c>
      <c r="C322" s="17">
        <f>IF($A322="","",IFERROR(INDEX(Company_desc!$B$2:$B$1144,MATCH($A322,Company_desc!$A$2:$A$1144,0)),IFERROR(INDEX(SYZ_static!$Q$2:$Q$806,MATCH($A322,SYZ_static!$A$2:$A$806,0)),"")))</f>
        <v/>
      </c>
      <c r="D322" s="17">
        <f>IF($A322="","",IFERROR(INDEX(SYZ_static!$B$2:$B$806,MATCH($A322,SYZ_static!$A$2:$A$806,0)),""))</f>
        <v/>
      </c>
      <c r="E322" s="17">
        <f>IF($A322="","",_xll.BDP($A322&amp;" Corp","INDUSTRY_SECTOR"))</f>
        <v/>
      </c>
      <c r="F322" s="17">
        <f>IF($A322="","",PROPER(_xll.BDP($A322&amp;" Corp","COUNTRY_FULL_NAME")))</f>
        <v/>
      </c>
      <c r="G322" s="17">
        <f>IF($A322="","",_xll.BDP($A322&amp;" Corp","CRNCY"))</f>
        <v/>
      </c>
      <c r="H322" s="17">
        <f>IF($A322="","",IFERROR(INDEX(SYZ_static!$T$2:$T$806,MATCH($A322,SYZ_static!$A$2:$A$806,0)),_xll.BDP($A322&amp;" Corp","RTG_SP")))</f>
        <v/>
      </c>
      <c r="I322" s="17">
        <f>IF($A322="","",IFERROR(INDEX(SYZ_static!$S$2:$S$806,MATCH($A322,SYZ_static!$A$2:$A$806,0)),""))</f>
        <v/>
      </c>
      <c r="J322" s="17">
        <f>IF($A322="","",_xll.BDP($A322&amp;" Corp","PAYMENT_RANK"))</f>
        <v/>
      </c>
      <c r="K322" s="18">
        <f>IF($A322="","",_xll.BDP($A322&amp;" Corp","CPN"))</f>
        <v/>
      </c>
      <c r="L322" s="19">
        <f>IF($A322="","",_xll.BDP($A322&amp;" Corp","MATURITY"))</f>
        <v/>
      </c>
      <c r="M322" s="20">
        <f>IF($A322="","",IFERROR(_xll.BDP($A322&amp;" Corp","MIN_PIECE")/1000,""))</f>
        <v/>
      </c>
      <c r="N322" s="21">
        <f>IF($A322="","",_xll.BDP($A322&amp;" Corp","PX_LAST"))</f>
        <v/>
      </c>
      <c r="O322" s="21">
        <f>IF($A322="","",_xll.BDP($A322&amp;" Corp","YAS_BOND_YLD","YAS_YLD_FLAG=15"))</f>
        <v/>
      </c>
      <c r="P322" s="21">
        <f>IF($A322="","",_xll.BDP($A322&amp;" Corp","YAS_MOD_DUR"))</f>
        <v/>
      </c>
      <c r="Q322" s="22">
        <f>IF($A322="","",_xll.BDP($A322&amp;" Corp","YAS_OAS_SPRD"))</f>
        <v/>
      </c>
      <c r="R322" s="22">
        <f>IF($A322="","",_xll.BDP($A322&amp;" Corp","YAS_OAS_SPRD","SETTLE_DT",$B$2))</f>
        <v/>
      </c>
      <c r="S322" s="23">
        <f>IF($A322="","",IF(OR(NOT(ISNUMBER($Q322)),NOT(ISNUMBER($R322))),"",$Q322-$R322))</f>
        <v/>
      </c>
      <c r="T322" s="21">
        <f>IF($A322="","",_xll.BDP($A322&amp;" Corp","YAS_BOND_YLD","YAS_YLD_FLAG=15","SETTLE_DT",$B$2))</f>
        <v/>
      </c>
      <c r="U322" s="24">
        <f>IF($A322="","",IF(OR(NOT(ISNUMBER($O322)),NOT(ISNUMBER($T322))),"",$O322-$T322))</f>
        <v/>
      </c>
      <c r="V322" s="22">
        <f>IF(NOT(ISNUMBER($S322)),"",COUNTIFS($G$7:$G$850,$G322,$S$7:$S$850,"&gt;"&amp;$S322)+COUNTIFS($G$7:$G322,$G322,$S$7:$S322,$S322))</f>
        <v/>
      </c>
      <c r="W322" s="22">
        <f>IF(NOT(ISNUMBER($S322)),"",COUNTIFS($G$7:$G$850,$G322,$S$7:$S$850,"&lt;"&amp;$S322)+COUNTIFS($G$7:$G322,$G322,$S$7:$S322,$S322))</f>
        <v/>
      </c>
      <c r="X322" s="17">
        <f>IF($V322="","",$G322&amp;"|"&amp;$V322)</f>
        <v/>
      </c>
      <c r="Y322" s="17">
        <f>IF($W322="","",$G322&amp;"|"&amp;$W322)</f>
        <v/>
      </c>
    </row>
    <row r="323">
      <c r="A323" s="7" t="inlineStr">
        <is>
          <t>US71647NAS80</t>
        </is>
      </c>
      <c r="B323" s="8">
        <f>IF($A323="","",PROPER(_xll.BDP($A323&amp;" Corp","NAME")))</f>
        <v/>
      </c>
      <c r="C323" s="8">
        <f>IF($A323="","",IFERROR(INDEX(Company_desc!$B$2:$B$1144,MATCH($A323,Company_desc!$A$2:$A$1144,0)),IFERROR(INDEX(SYZ_static!$Q$2:$Q$806,MATCH($A323,SYZ_static!$A$2:$A$806,0)),"")))</f>
        <v/>
      </c>
      <c r="D323" s="8">
        <f>IF($A323="","",IFERROR(INDEX(SYZ_static!$B$2:$B$806,MATCH($A323,SYZ_static!$A$2:$A$806,0)),""))</f>
        <v/>
      </c>
      <c r="E323" s="8">
        <f>IF($A323="","",_xll.BDP($A323&amp;" Corp","INDUSTRY_SECTOR"))</f>
        <v/>
      </c>
      <c r="F323" s="8">
        <f>IF($A323="","",PROPER(_xll.BDP($A323&amp;" Corp","COUNTRY_FULL_NAME")))</f>
        <v/>
      </c>
      <c r="G323" s="8">
        <f>IF($A323="","",_xll.BDP($A323&amp;" Corp","CRNCY"))</f>
        <v/>
      </c>
      <c r="H323" s="8">
        <f>IF($A323="","",IFERROR(INDEX(SYZ_static!$T$2:$T$806,MATCH($A323,SYZ_static!$A$2:$A$806,0)),_xll.BDP($A323&amp;" Corp","RTG_SP")))</f>
        <v/>
      </c>
      <c r="I323" s="8">
        <f>IF($A323="","",IFERROR(INDEX(SYZ_static!$S$2:$S$806,MATCH($A323,SYZ_static!$A$2:$A$806,0)),""))</f>
        <v/>
      </c>
      <c r="J323" s="8">
        <f>IF($A323="","",_xll.BDP($A323&amp;" Corp","PAYMENT_RANK"))</f>
        <v/>
      </c>
      <c r="K323" s="9">
        <f>IF($A323="","",_xll.BDP($A323&amp;" Corp","CPN"))</f>
        <v/>
      </c>
      <c r="L323" s="10">
        <f>IF($A323="","",_xll.BDP($A323&amp;" Corp","MATURITY"))</f>
        <v/>
      </c>
      <c r="M323" s="11">
        <f>IF($A323="","",IFERROR(_xll.BDP($A323&amp;" Corp","MIN_PIECE")/1000,""))</f>
        <v/>
      </c>
      <c r="N323" s="12">
        <f>IF($A323="","",_xll.BDP($A323&amp;" Corp","PX_LAST"))</f>
        <v/>
      </c>
      <c r="O323" s="12">
        <f>IF($A323="","",_xll.BDP($A323&amp;" Corp","YAS_BOND_YLD","YAS_YLD_FLAG=15"))</f>
        <v/>
      </c>
      <c r="P323" s="12">
        <f>IF($A323="","",_xll.BDP($A323&amp;" Corp","YAS_MOD_DUR"))</f>
        <v/>
      </c>
      <c r="Q323" s="13">
        <f>IF($A323="","",_xll.BDP($A323&amp;" Corp","YAS_OAS_SPRD"))</f>
        <v/>
      </c>
      <c r="R323" s="13">
        <f>IF($A323="","",_xll.BDP($A323&amp;" Corp","YAS_OAS_SPRD","SETTLE_DT",$B$2))</f>
        <v/>
      </c>
      <c r="S323" s="14">
        <f>IF($A323="","",IF(OR(NOT(ISNUMBER($Q323)),NOT(ISNUMBER($R323))),"",$Q323-$R323))</f>
        <v/>
      </c>
      <c r="T323" s="12">
        <f>IF($A323="","",_xll.BDP($A323&amp;" Corp","YAS_BOND_YLD","YAS_YLD_FLAG=15","SETTLE_DT",$B$2))</f>
        <v/>
      </c>
      <c r="U323" s="15">
        <f>IF($A323="","",IF(OR(NOT(ISNUMBER($O323)),NOT(ISNUMBER($T323))),"",$O323-$T323))</f>
        <v/>
      </c>
      <c r="V323" s="13">
        <f>IF(NOT(ISNUMBER($S323)),"",COUNTIFS($G$7:$G$850,$G323,$S$7:$S$850,"&gt;"&amp;$S323)+COUNTIFS($G$7:$G323,$G323,$S$7:$S323,$S323))</f>
        <v/>
      </c>
      <c r="W323" s="13">
        <f>IF(NOT(ISNUMBER($S323)),"",COUNTIFS($G$7:$G$850,$G323,$S$7:$S$850,"&lt;"&amp;$S323)+COUNTIFS($G$7:$G323,$G323,$S$7:$S323,$S323))</f>
        <v/>
      </c>
      <c r="X323" s="8">
        <f>IF($V323="","",$G323&amp;"|"&amp;$V323)</f>
        <v/>
      </c>
      <c r="Y323" s="8">
        <f>IF($W323="","",$G323&amp;"|"&amp;$W323)</f>
        <v/>
      </c>
    </row>
    <row r="324">
      <c r="A324" s="16" t="inlineStr">
        <is>
          <t>FR001400WKF1</t>
        </is>
      </c>
      <c r="B324" s="17">
        <f>IF($A324="","",PROPER(_xll.BDP($A324&amp;" Corp","NAME")))</f>
        <v/>
      </c>
      <c r="C324" s="17">
        <f>IF($A324="","",IFERROR(INDEX(Company_desc!$B$2:$B$1144,MATCH($A324,Company_desc!$A$2:$A$1144,0)),IFERROR(INDEX(SYZ_static!$Q$2:$Q$806,MATCH($A324,SYZ_static!$A$2:$A$806,0)),"")))</f>
        <v/>
      </c>
      <c r="D324" s="17">
        <f>IF($A324="","",IFERROR(INDEX(SYZ_static!$B$2:$B$806,MATCH($A324,SYZ_static!$A$2:$A$806,0)),""))</f>
        <v/>
      </c>
      <c r="E324" s="17">
        <f>IF($A324="","",_xll.BDP($A324&amp;" Corp","INDUSTRY_SECTOR"))</f>
        <v/>
      </c>
      <c r="F324" s="17">
        <f>IF($A324="","",PROPER(_xll.BDP($A324&amp;" Corp","COUNTRY_FULL_NAME")))</f>
        <v/>
      </c>
      <c r="G324" s="17">
        <f>IF($A324="","",_xll.BDP($A324&amp;" Corp","CRNCY"))</f>
        <v/>
      </c>
      <c r="H324" s="17">
        <f>IF($A324="","",IFERROR(INDEX(SYZ_static!$T$2:$T$806,MATCH($A324,SYZ_static!$A$2:$A$806,0)),_xll.BDP($A324&amp;" Corp","RTG_SP")))</f>
        <v/>
      </c>
      <c r="I324" s="17">
        <f>IF($A324="","",IFERROR(INDEX(SYZ_static!$S$2:$S$806,MATCH($A324,SYZ_static!$A$2:$A$806,0)),""))</f>
        <v/>
      </c>
      <c r="J324" s="17">
        <f>IF($A324="","",_xll.BDP($A324&amp;" Corp","PAYMENT_RANK"))</f>
        <v/>
      </c>
      <c r="K324" s="18">
        <f>IF($A324="","",_xll.BDP($A324&amp;" Corp","CPN"))</f>
        <v/>
      </c>
      <c r="L324" s="19">
        <f>IF($A324="","",_xll.BDP($A324&amp;" Corp","MATURITY"))</f>
        <v/>
      </c>
      <c r="M324" s="20">
        <f>IF($A324="","",IFERROR(_xll.BDP($A324&amp;" Corp","MIN_PIECE")/1000,""))</f>
        <v/>
      </c>
      <c r="N324" s="21">
        <f>IF($A324="","",_xll.BDP($A324&amp;" Corp","PX_LAST"))</f>
        <v/>
      </c>
      <c r="O324" s="21">
        <f>IF($A324="","",_xll.BDP($A324&amp;" Corp","YAS_BOND_YLD","YAS_YLD_FLAG=15"))</f>
        <v/>
      </c>
      <c r="P324" s="21">
        <f>IF($A324="","",_xll.BDP($A324&amp;" Corp","YAS_MOD_DUR"))</f>
        <v/>
      </c>
      <c r="Q324" s="22">
        <f>IF($A324="","",_xll.BDP($A324&amp;" Corp","YAS_OAS_SPRD"))</f>
        <v/>
      </c>
      <c r="R324" s="22">
        <f>IF($A324="","",_xll.BDP($A324&amp;" Corp","YAS_OAS_SPRD","SETTLE_DT",$B$2))</f>
        <v/>
      </c>
      <c r="S324" s="23">
        <f>IF($A324="","",IF(OR(NOT(ISNUMBER($Q324)),NOT(ISNUMBER($R324))),"",$Q324-$R324))</f>
        <v/>
      </c>
      <c r="T324" s="21">
        <f>IF($A324="","",_xll.BDP($A324&amp;" Corp","YAS_BOND_YLD","YAS_YLD_FLAG=15","SETTLE_DT",$B$2))</f>
        <v/>
      </c>
      <c r="U324" s="24">
        <f>IF($A324="","",IF(OR(NOT(ISNUMBER($O324)),NOT(ISNUMBER($T324))),"",$O324-$T324))</f>
        <v/>
      </c>
      <c r="V324" s="22">
        <f>IF(NOT(ISNUMBER($S324)),"",COUNTIFS($G$7:$G$850,$G324,$S$7:$S$850,"&gt;"&amp;$S324)+COUNTIFS($G$7:$G324,$G324,$S$7:$S324,$S324))</f>
        <v/>
      </c>
      <c r="W324" s="22">
        <f>IF(NOT(ISNUMBER($S324)),"",COUNTIFS($G$7:$G$850,$G324,$S$7:$S$850,"&lt;"&amp;$S324)+COUNTIFS($G$7:$G324,$G324,$S$7:$S324,$S324))</f>
        <v/>
      </c>
      <c r="X324" s="17">
        <f>IF($V324="","",$G324&amp;"|"&amp;$V324)</f>
        <v/>
      </c>
      <c r="Y324" s="17">
        <f>IF($W324="","",$G324&amp;"|"&amp;$W324)</f>
        <v/>
      </c>
    </row>
    <row r="325">
      <c r="A325" s="7" t="inlineStr">
        <is>
          <t>FR0013447166</t>
        </is>
      </c>
      <c r="B325" s="8">
        <f>IF($A325="","",PROPER(_xll.BDP($A325&amp;" Corp","NAME")))</f>
        <v/>
      </c>
      <c r="C325" s="8">
        <f>IF($A325="","",IFERROR(INDEX(Company_desc!$B$2:$B$1144,MATCH($A325,Company_desc!$A$2:$A$1144,0)),IFERROR(INDEX(SYZ_static!$Q$2:$Q$806,MATCH($A325,SYZ_static!$A$2:$A$806,0)),"")))</f>
        <v/>
      </c>
      <c r="D325" s="8">
        <f>IF($A325="","",IFERROR(INDEX(SYZ_static!$B$2:$B$806,MATCH($A325,SYZ_static!$A$2:$A$806,0)),""))</f>
        <v/>
      </c>
      <c r="E325" s="8">
        <f>IF($A325="","",_xll.BDP($A325&amp;" Corp","INDUSTRY_SECTOR"))</f>
        <v/>
      </c>
      <c r="F325" s="8">
        <f>IF($A325="","",PROPER(_xll.BDP($A325&amp;" Corp","COUNTRY_FULL_NAME")))</f>
        <v/>
      </c>
      <c r="G325" s="8">
        <f>IF($A325="","",_xll.BDP($A325&amp;" Corp","CRNCY"))</f>
        <v/>
      </c>
      <c r="H325" s="8">
        <f>IF($A325="","",IFERROR(INDEX(SYZ_static!$T$2:$T$806,MATCH($A325,SYZ_static!$A$2:$A$806,0)),_xll.BDP($A325&amp;" Corp","RTG_SP")))</f>
        <v/>
      </c>
      <c r="I325" s="8">
        <f>IF($A325="","",IFERROR(INDEX(SYZ_static!$S$2:$S$806,MATCH($A325,SYZ_static!$A$2:$A$806,0)),""))</f>
        <v/>
      </c>
      <c r="J325" s="8">
        <f>IF($A325="","",_xll.BDP($A325&amp;" Corp","PAYMENT_RANK"))</f>
        <v/>
      </c>
      <c r="K325" s="9">
        <f>IF($A325="","",_xll.BDP($A325&amp;" Corp","CPN"))</f>
        <v/>
      </c>
      <c r="L325" s="10">
        <f>IF($A325="","",_xll.BDP($A325&amp;" Corp","MATURITY"))</f>
        <v/>
      </c>
      <c r="M325" s="11">
        <f>IF($A325="","",IFERROR(_xll.BDP($A325&amp;" Corp","MIN_PIECE")/1000,""))</f>
        <v/>
      </c>
      <c r="N325" s="12">
        <f>IF($A325="","",_xll.BDP($A325&amp;" Corp","PX_LAST"))</f>
        <v/>
      </c>
      <c r="O325" s="12">
        <f>IF($A325="","",_xll.BDP($A325&amp;" Corp","YAS_BOND_YLD","YAS_YLD_FLAG=15"))</f>
        <v/>
      </c>
      <c r="P325" s="12">
        <f>IF($A325="","",_xll.BDP($A325&amp;" Corp","YAS_MOD_DUR"))</f>
        <v/>
      </c>
      <c r="Q325" s="13">
        <f>IF($A325="","",_xll.BDP($A325&amp;" Corp","YAS_OAS_SPRD"))</f>
        <v/>
      </c>
      <c r="R325" s="13">
        <f>IF($A325="","",_xll.BDP($A325&amp;" Corp","YAS_OAS_SPRD","SETTLE_DT",$B$2))</f>
        <v/>
      </c>
      <c r="S325" s="14">
        <f>IF($A325="","",IF(OR(NOT(ISNUMBER($Q325)),NOT(ISNUMBER($R325))),"",$Q325-$R325))</f>
        <v/>
      </c>
      <c r="T325" s="12">
        <f>IF($A325="","",_xll.BDP($A325&amp;" Corp","YAS_BOND_YLD","YAS_YLD_FLAG=15","SETTLE_DT",$B$2))</f>
        <v/>
      </c>
      <c r="U325" s="15">
        <f>IF($A325="","",IF(OR(NOT(ISNUMBER($O325)),NOT(ISNUMBER($T325))),"",$O325-$T325))</f>
        <v/>
      </c>
      <c r="V325" s="13">
        <f>IF(NOT(ISNUMBER($S325)),"",COUNTIFS($G$7:$G$850,$G325,$S$7:$S$850,"&gt;"&amp;$S325)+COUNTIFS($G$7:$G325,$G325,$S$7:$S325,$S325))</f>
        <v/>
      </c>
      <c r="W325" s="13">
        <f>IF(NOT(ISNUMBER($S325)),"",COUNTIFS($G$7:$G$850,$G325,$S$7:$S$850,"&lt;"&amp;$S325)+COUNTIFS($G$7:$G325,$G325,$S$7:$S325,$S325))</f>
        <v/>
      </c>
      <c r="X325" s="8">
        <f>IF($V325="","",$G325&amp;"|"&amp;$V325)</f>
        <v/>
      </c>
      <c r="Y325" s="8">
        <f>IF($W325="","",$G325&amp;"|"&amp;$W325)</f>
        <v/>
      </c>
    </row>
    <row r="326">
      <c r="A326" s="16" t="inlineStr">
        <is>
          <t>USU09513JX89</t>
        </is>
      </c>
      <c r="B326" s="17">
        <f>IF($A326="","",PROPER(_xll.BDP($A326&amp;" Corp","NAME")))</f>
        <v/>
      </c>
      <c r="C326" s="17">
        <f>IF($A326="","",IFERROR(INDEX(Company_desc!$B$2:$B$1144,MATCH($A326,Company_desc!$A$2:$A$1144,0)),IFERROR(INDEX(SYZ_static!$Q$2:$Q$806,MATCH($A326,SYZ_static!$A$2:$A$806,0)),"")))</f>
        <v/>
      </c>
      <c r="D326" s="17">
        <f>IF($A326="","",IFERROR(INDEX(SYZ_static!$B$2:$B$806,MATCH($A326,SYZ_static!$A$2:$A$806,0)),""))</f>
        <v/>
      </c>
      <c r="E326" s="17">
        <f>IF($A326="","",_xll.BDP($A326&amp;" Corp","INDUSTRY_SECTOR"))</f>
        <v/>
      </c>
      <c r="F326" s="17">
        <f>IF($A326="","",PROPER(_xll.BDP($A326&amp;" Corp","COUNTRY_FULL_NAME")))</f>
        <v/>
      </c>
      <c r="G326" s="17">
        <f>IF($A326="","",_xll.BDP($A326&amp;" Corp","CRNCY"))</f>
        <v/>
      </c>
      <c r="H326" s="17">
        <f>IF($A326="","",IFERROR(INDEX(SYZ_static!$T$2:$T$806,MATCH($A326,SYZ_static!$A$2:$A$806,0)),_xll.BDP($A326&amp;" Corp","RTG_SP")))</f>
        <v/>
      </c>
      <c r="I326" s="17">
        <f>IF($A326="","",IFERROR(INDEX(SYZ_static!$S$2:$S$806,MATCH($A326,SYZ_static!$A$2:$A$806,0)),""))</f>
        <v/>
      </c>
      <c r="J326" s="17">
        <f>IF($A326="","",_xll.BDP($A326&amp;" Corp","PAYMENT_RANK"))</f>
        <v/>
      </c>
      <c r="K326" s="18">
        <f>IF($A326="","",_xll.BDP($A326&amp;" Corp","CPN"))</f>
        <v/>
      </c>
      <c r="L326" s="19">
        <f>IF($A326="","",_xll.BDP($A326&amp;" Corp","MATURITY"))</f>
        <v/>
      </c>
      <c r="M326" s="20">
        <f>IF($A326="","",IFERROR(_xll.BDP($A326&amp;" Corp","MIN_PIECE")/1000,""))</f>
        <v/>
      </c>
      <c r="N326" s="21">
        <f>IF($A326="","",_xll.BDP($A326&amp;" Corp","PX_LAST"))</f>
        <v/>
      </c>
      <c r="O326" s="21">
        <f>IF($A326="","",_xll.BDP($A326&amp;" Corp","YAS_BOND_YLD","YAS_YLD_FLAG=15"))</f>
        <v/>
      </c>
      <c r="P326" s="21">
        <f>IF($A326="","",_xll.BDP($A326&amp;" Corp","YAS_MOD_DUR"))</f>
        <v/>
      </c>
      <c r="Q326" s="22">
        <f>IF($A326="","",_xll.BDP($A326&amp;" Corp","YAS_OAS_SPRD"))</f>
        <v/>
      </c>
      <c r="R326" s="22">
        <f>IF($A326="","",_xll.BDP($A326&amp;" Corp","YAS_OAS_SPRD","SETTLE_DT",$B$2))</f>
        <v/>
      </c>
      <c r="S326" s="23">
        <f>IF($A326="","",IF(OR(NOT(ISNUMBER($Q326)),NOT(ISNUMBER($R326))),"",$Q326-$R326))</f>
        <v/>
      </c>
      <c r="T326" s="21">
        <f>IF($A326="","",_xll.BDP($A326&amp;" Corp","YAS_BOND_YLD","YAS_YLD_FLAG=15","SETTLE_DT",$B$2))</f>
        <v/>
      </c>
      <c r="U326" s="24">
        <f>IF($A326="","",IF(OR(NOT(ISNUMBER($O326)),NOT(ISNUMBER($T326))),"",$O326-$T326))</f>
        <v/>
      </c>
      <c r="V326" s="22">
        <f>IF(NOT(ISNUMBER($S326)),"",COUNTIFS($G$7:$G$850,$G326,$S$7:$S$850,"&gt;"&amp;$S326)+COUNTIFS($G$7:$G326,$G326,$S$7:$S326,$S326))</f>
        <v/>
      </c>
      <c r="W326" s="22">
        <f>IF(NOT(ISNUMBER($S326)),"",COUNTIFS($G$7:$G$850,$G326,$S$7:$S$850,"&lt;"&amp;$S326)+COUNTIFS($G$7:$G326,$G326,$S$7:$S326,$S326))</f>
        <v/>
      </c>
      <c r="X326" s="17">
        <f>IF($V326="","",$G326&amp;"|"&amp;$V326)</f>
        <v/>
      </c>
      <c r="Y326" s="17">
        <f>IF($W326="","",$G326&amp;"|"&amp;$W326)</f>
        <v/>
      </c>
    </row>
    <row r="327">
      <c r="A327" s="7" t="inlineStr">
        <is>
          <t>US911312CA23</t>
        </is>
      </c>
      <c r="B327" s="8">
        <f>IF($A327="","",PROPER(_xll.BDP($A327&amp;" Corp","NAME")))</f>
        <v/>
      </c>
      <c r="C327" s="8">
        <f>IF($A327="","",IFERROR(INDEX(Company_desc!$B$2:$B$1144,MATCH($A327,Company_desc!$A$2:$A$1144,0)),IFERROR(INDEX(SYZ_static!$Q$2:$Q$806,MATCH($A327,SYZ_static!$A$2:$A$806,0)),"")))</f>
        <v/>
      </c>
      <c r="D327" s="8">
        <f>IF($A327="","",IFERROR(INDEX(SYZ_static!$B$2:$B$806,MATCH($A327,SYZ_static!$A$2:$A$806,0)),""))</f>
        <v/>
      </c>
      <c r="E327" s="8">
        <f>IF($A327="","",_xll.BDP($A327&amp;" Corp","INDUSTRY_SECTOR"))</f>
        <v/>
      </c>
      <c r="F327" s="8">
        <f>IF($A327="","",PROPER(_xll.BDP($A327&amp;" Corp","COUNTRY_FULL_NAME")))</f>
        <v/>
      </c>
      <c r="G327" s="8">
        <f>IF($A327="","",_xll.BDP($A327&amp;" Corp","CRNCY"))</f>
        <v/>
      </c>
      <c r="H327" s="8">
        <f>IF($A327="","",IFERROR(INDEX(SYZ_static!$T$2:$T$806,MATCH($A327,SYZ_static!$A$2:$A$806,0)),_xll.BDP($A327&amp;" Corp","RTG_SP")))</f>
        <v/>
      </c>
      <c r="I327" s="8">
        <f>IF($A327="","",IFERROR(INDEX(SYZ_static!$S$2:$S$806,MATCH($A327,SYZ_static!$A$2:$A$806,0)),""))</f>
        <v/>
      </c>
      <c r="J327" s="8">
        <f>IF($A327="","",_xll.BDP($A327&amp;" Corp","PAYMENT_RANK"))</f>
        <v/>
      </c>
      <c r="K327" s="9">
        <f>IF($A327="","",_xll.BDP($A327&amp;" Corp","CPN"))</f>
        <v/>
      </c>
      <c r="L327" s="10">
        <f>IF($A327="","",_xll.BDP($A327&amp;" Corp","MATURITY"))</f>
        <v/>
      </c>
      <c r="M327" s="11">
        <f>IF($A327="","",IFERROR(_xll.BDP($A327&amp;" Corp","MIN_PIECE")/1000,""))</f>
        <v/>
      </c>
      <c r="N327" s="12">
        <f>IF($A327="","",_xll.BDP($A327&amp;" Corp","PX_LAST"))</f>
        <v/>
      </c>
      <c r="O327" s="12">
        <f>IF($A327="","",_xll.BDP($A327&amp;" Corp","YAS_BOND_YLD","YAS_YLD_FLAG=15"))</f>
        <v/>
      </c>
      <c r="P327" s="12">
        <f>IF($A327="","",_xll.BDP($A327&amp;" Corp","YAS_MOD_DUR"))</f>
        <v/>
      </c>
      <c r="Q327" s="13">
        <f>IF($A327="","",_xll.BDP($A327&amp;" Corp","YAS_OAS_SPRD"))</f>
        <v/>
      </c>
      <c r="R327" s="13">
        <f>IF($A327="","",_xll.BDP($A327&amp;" Corp","YAS_OAS_SPRD","SETTLE_DT",$B$2))</f>
        <v/>
      </c>
      <c r="S327" s="14">
        <f>IF($A327="","",IF(OR(NOT(ISNUMBER($Q327)),NOT(ISNUMBER($R327))),"",$Q327-$R327))</f>
        <v/>
      </c>
      <c r="T327" s="12">
        <f>IF($A327="","",_xll.BDP($A327&amp;" Corp","YAS_BOND_YLD","YAS_YLD_FLAG=15","SETTLE_DT",$B$2))</f>
        <v/>
      </c>
      <c r="U327" s="15">
        <f>IF($A327="","",IF(OR(NOT(ISNUMBER($O327)),NOT(ISNUMBER($T327))),"",$O327-$T327))</f>
        <v/>
      </c>
      <c r="V327" s="13">
        <f>IF(NOT(ISNUMBER($S327)),"",COUNTIFS($G$7:$G$850,$G327,$S$7:$S$850,"&gt;"&amp;$S327)+COUNTIFS($G$7:$G327,$G327,$S$7:$S327,$S327))</f>
        <v/>
      </c>
      <c r="W327" s="13">
        <f>IF(NOT(ISNUMBER($S327)),"",COUNTIFS($G$7:$G$850,$G327,$S$7:$S$850,"&lt;"&amp;$S327)+COUNTIFS($G$7:$G327,$G327,$S$7:$S327,$S327))</f>
        <v/>
      </c>
      <c r="X327" s="8">
        <f>IF($V327="","",$G327&amp;"|"&amp;$V327)</f>
        <v/>
      </c>
      <c r="Y327" s="8">
        <f>IF($W327="","",$G327&amp;"|"&amp;$W327)</f>
        <v/>
      </c>
    </row>
    <row r="328">
      <c r="A328" s="16" t="inlineStr">
        <is>
          <t>US30303M8R66</t>
        </is>
      </c>
      <c r="B328" s="17">
        <f>IF($A328="","",PROPER(_xll.BDP($A328&amp;" Corp","NAME")))</f>
        <v/>
      </c>
      <c r="C328" s="17">
        <f>IF($A328="","",IFERROR(INDEX(Company_desc!$B$2:$B$1144,MATCH($A328,Company_desc!$A$2:$A$1144,0)),IFERROR(INDEX(SYZ_static!$Q$2:$Q$806,MATCH($A328,SYZ_static!$A$2:$A$806,0)),"")))</f>
        <v/>
      </c>
      <c r="D328" s="17">
        <f>IF($A328="","",IFERROR(INDEX(SYZ_static!$B$2:$B$806,MATCH($A328,SYZ_static!$A$2:$A$806,0)),""))</f>
        <v/>
      </c>
      <c r="E328" s="17">
        <f>IF($A328="","",_xll.BDP($A328&amp;" Corp","INDUSTRY_SECTOR"))</f>
        <v/>
      </c>
      <c r="F328" s="17">
        <f>IF($A328="","",PROPER(_xll.BDP($A328&amp;" Corp","COUNTRY_FULL_NAME")))</f>
        <v/>
      </c>
      <c r="G328" s="17">
        <f>IF($A328="","",_xll.BDP($A328&amp;" Corp","CRNCY"))</f>
        <v/>
      </c>
      <c r="H328" s="17">
        <f>IF($A328="","",IFERROR(INDEX(SYZ_static!$T$2:$T$806,MATCH($A328,SYZ_static!$A$2:$A$806,0)),_xll.BDP($A328&amp;" Corp","RTG_SP")))</f>
        <v/>
      </c>
      <c r="I328" s="17">
        <f>IF($A328="","",IFERROR(INDEX(SYZ_static!$S$2:$S$806,MATCH($A328,SYZ_static!$A$2:$A$806,0)),""))</f>
        <v/>
      </c>
      <c r="J328" s="17">
        <f>IF($A328="","",_xll.BDP($A328&amp;" Corp","PAYMENT_RANK"))</f>
        <v/>
      </c>
      <c r="K328" s="18">
        <f>IF($A328="","",_xll.BDP($A328&amp;" Corp","CPN"))</f>
        <v/>
      </c>
      <c r="L328" s="19">
        <f>IF($A328="","",_xll.BDP($A328&amp;" Corp","MATURITY"))</f>
        <v/>
      </c>
      <c r="M328" s="20">
        <f>IF($A328="","",IFERROR(_xll.BDP($A328&amp;" Corp","MIN_PIECE")/1000,""))</f>
        <v/>
      </c>
      <c r="N328" s="21">
        <f>IF($A328="","",_xll.BDP($A328&amp;" Corp","PX_LAST"))</f>
        <v/>
      </c>
      <c r="O328" s="21">
        <f>IF($A328="","",_xll.BDP($A328&amp;" Corp","YAS_BOND_YLD","YAS_YLD_FLAG=15"))</f>
        <v/>
      </c>
      <c r="P328" s="21">
        <f>IF($A328="","",_xll.BDP($A328&amp;" Corp","YAS_MOD_DUR"))</f>
        <v/>
      </c>
      <c r="Q328" s="22">
        <f>IF($A328="","",_xll.BDP($A328&amp;" Corp","YAS_OAS_SPRD"))</f>
        <v/>
      </c>
      <c r="R328" s="22">
        <f>IF($A328="","",_xll.BDP($A328&amp;" Corp","YAS_OAS_SPRD","SETTLE_DT",$B$2))</f>
        <v/>
      </c>
      <c r="S328" s="23">
        <f>IF($A328="","",IF(OR(NOT(ISNUMBER($Q328)),NOT(ISNUMBER($R328))),"",$Q328-$R328))</f>
        <v/>
      </c>
      <c r="T328" s="21">
        <f>IF($A328="","",_xll.BDP($A328&amp;" Corp","YAS_BOND_YLD","YAS_YLD_FLAG=15","SETTLE_DT",$B$2))</f>
        <v/>
      </c>
      <c r="U328" s="24">
        <f>IF($A328="","",IF(OR(NOT(ISNUMBER($O328)),NOT(ISNUMBER($T328))),"",$O328-$T328))</f>
        <v/>
      </c>
      <c r="V328" s="22">
        <f>IF(NOT(ISNUMBER($S328)),"",COUNTIFS($G$7:$G$850,$G328,$S$7:$S$850,"&gt;"&amp;$S328)+COUNTIFS($G$7:$G328,$G328,$S$7:$S328,$S328))</f>
        <v/>
      </c>
      <c r="W328" s="22">
        <f>IF(NOT(ISNUMBER($S328)),"",COUNTIFS($G$7:$G$850,$G328,$S$7:$S$850,"&lt;"&amp;$S328)+COUNTIFS($G$7:$G328,$G328,$S$7:$S328,$S328))</f>
        <v/>
      </c>
      <c r="X328" s="17">
        <f>IF($V328="","",$G328&amp;"|"&amp;$V328)</f>
        <v/>
      </c>
      <c r="Y328" s="17">
        <f>IF($W328="","",$G328&amp;"|"&amp;$W328)</f>
        <v/>
      </c>
    </row>
    <row r="329">
      <c r="A329" s="7" t="inlineStr">
        <is>
          <t>XS2430704655</t>
        </is>
      </c>
      <c r="B329" s="8">
        <f>IF($A329="","",PROPER(_xll.BDP($A329&amp;" Corp","NAME")))</f>
        <v/>
      </c>
      <c r="C329" s="8">
        <f>IF($A329="","",IFERROR(INDEX(Company_desc!$B$2:$B$1144,MATCH($A329,Company_desc!$A$2:$A$1144,0)),IFERROR(INDEX(SYZ_static!$Q$2:$Q$806,MATCH($A329,SYZ_static!$A$2:$A$806,0)),"")))</f>
        <v/>
      </c>
      <c r="D329" s="8">
        <f>IF($A329="","",IFERROR(INDEX(SYZ_static!$B$2:$B$806,MATCH($A329,SYZ_static!$A$2:$A$806,0)),""))</f>
        <v/>
      </c>
      <c r="E329" s="8">
        <f>IF($A329="","",_xll.BDP($A329&amp;" Corp","INDUSTRY_SECTOR"))</f>
        <v/>
      </c>
      <c r="F329" s="8">
        <f>IF($A329="","",PROPER(_xll.BDP($A329&amp;" Corp","COUNTRY_FULL_NAME")))</f>
        <v/>
      </c>
      <c r="G329" s="8">
        <f>IF($A329="","",_xll.BDP($A329&amp;" Corp","CRNCY"))</f>
        <v/>
      </c>
      <c r="H329" s="8">
        <f>IF($A329="","",IFERROR(INDEX(SYZ_static!$T$2:$T$806,MATCH($A329,SYZ_static!$A$2:$A$806,0)),_xll.BDP($A329&amp;" Corp","RTG_SP")))</f>
        <v/>
      </c>
      <c r="I329" s="8">
        <f>IF($A329="","",IFERROR(INDEX(SYZ_static!$S$2:$S$806,MATCH($A329,SYZ_static!$A$2:$A$806,0)),""))</f>
        <v/>
      </c>
      <c r="J329" s="8">
        <f>IF($A329="","",_xll.BDP($A329&amp;" Corp","PAYMENT_RANK"))</f>
        <v/>
      </c>
      <c r="K329" s="9">
        <f>IF($A329="","",_xll.BDP($A329&amp;" Corp","CPN"))</f>
        <v/>
      </c>
      <c r="L329" s="10">
        <f>IF($A329="","",_xll.BDP($A329&amp;" Corp","MATURITY"))</f>
        <v/>
      </c>
      <c r="M329" s="11">
        <f>IF($A329="","",IFERROR(_xll.BDP($A329&amp;" Corp","MIN_PIECE")/1000,""))</f>
        <v/>
      </c>
      <c r="N329" s="12">
        <f>IF($A329="","",_xll.BDP($A329&amp;" Corp","PX_LAST"))</f>
        <v/>
      </c>
      <c r="O329" s="12">
        <f>IF($A329="","",_xll.BDP($A329&amp;" Corp","YAS_BOND_YLD","YAS_YLD_FLAG=15"))</f>
        <v/>
      </c>
      <c r="P329" s="12">
        <f>IF($A329="","",_xll.BDP($A329&amp;" Corp","YAS_MOD_DUR"))</f>
        <v/>
      </c>
      <c r="Q329" s="13">
        <f>IF($A329="","",_xll.BDP($A329&amp;" Corp","YAS_OAS_SPRD"))</f>
        <v/>
      </c>
      <c r="R329" s="13">
        <f>IF($A329="","",_xll.BDP($A329&amp;" Corp","YAS_OAS_SPRD","SETTLE_DT",$B$2))</f>
        <v/>
      </c>
      <c r="S329" s="14">
        <f>IF($A329="","",IF(OR(NOT(ISNUMBER($Q329)),NOT(ISNUMBER($R329))),"",$Q329-$R329))</f>
        <v/>
      </c>
      <c r="T329" s="12">
        <f>IF($A329="","",_xll.BDP($A329&amp;" Corp","YAS_BOND_YLD","YAS_YLD_FLAG=15","SETTLE_DT",$B$2))</f>
        <v/>
      </c>
      <c r="U329" s="15">
        <f>IF($A329="","",IF(OR(NOT(ISNUMBER($O329)),NOT(ISNUMBER($T329))),"",$O329-$T329))</f>
        <v/>
      </c>
      <c r="V329" s="13">
        <f>IF(NOT(ISNUMBER($S329)),"",COUNTIFS($G$7:$G$850,$G329,$S$7:$S$850,"&gt;"&amp;$S329)+COUNTIFS($G$7:$G329,$G329,$S$7:$S329,$S329))</f>
        <v/>
      </c>
      <c r="W329" s="13">
        <f>IF(NOT(ISNUMBER($S329)),"",COUNTIFS($G$7:$G$850,$G329,$S$7:$S$850,"&lt;"&amp;$S329)+COUNTIFS($G$7:$G329,$G329,$S$7:$S329,$S329))</f>
        <v/>
      </c>
      <c r="X329" s="8">
        <f>IF($V329="","",$G329&amp;"|"&amp;$V329)</f>
        <v/>
      </c>
      <c r="Y329" s="8">
        <f>IF($W329="","",$G329&amp;"|"&amp;$W329)</f>
        <v/>
      </c>
    </row>
    <row r="330">
      <c r="A330" s="16" t="inlineStr">
        <is>
          <t>XS2721465271</t>
        </is>
      </c>
      <c r="B330" s="17">
        <f>IF($A330="","",PROPER(_xll.BDP($A330&amp;" Corp","NAME")))</f>
        <v/>
      </c>
      <c r="C330" s="17">
        <f>IF($A330="","",IFERROR(INDEX(Company_desc!$B$2:$B$1144,MATCH($A330,Company_desc!$A$2:$A$1144,0)),IFERROR(INDEX(SYZ_static!$Q$2:$Q$806,MATCH($A330,SYZ_static!$A$2:$A$806,0)),"")))</f>
        <v/>
      </c>
      <c r="D330" s="17">
        <f>IF($A330="","",IFERROR(INDEX(SYZ_static!$B$2:$B$806,MATCH($A330,SYZ_static!$A$2:$A$806,0)),""))</f>
        <v/>
      </c>
      <c r="E330" s="17">
        <f>IF($A330="","",_xll.BDP($A330&amp;" Corp","INDUSTRY_SECTOR"))</f>
        <v/>
      </c>
      <c r="F330" s="17">
        <f>IF($A330="","",PROPER(_xll.BDP($A330&amp;" Corp","COUNTRY_FULL_NAME")))</f>
        <v/>
      </c>
      <c r="G330" s="17">
        <f>IF($A330="","",_xll.BDP($A330&amp;" Corp","CRNCY"))</f>
        <v/>
      </c>
      <c r="H330" s="17">
        <f>IF($A330="","",IFERROR(INDEX(SYZ_static!$T$2:$T$806,MATCH($A330,SYZ_static!$A$2:$A$806,0)),_xll.BDP($A330&amp;" Corp","RTG_SP")))</f>
        <v/>
      </c>
      <c r="I330" s="17">
        <f>IF($A330="","",IFERROR(INDEX(SYZ_static!$S$2:$S$806,MATCH($A330,SYZ_static!$A$2:$A$806,0)),""))</f>
        <v/>
      </c>
      <c r="J330" s="17">
        <f>IF($A330="","",_xll.BDP($A330&amp;" Corp","PAYMENT_RANK"))</f>
        <v/>
      </c>
      <c r="K330" s="18">
        <f>IF($A330="","",_xll.BDP($A330&amp;" Corp","CPN"))</f>
        <v/>
      </c>
      <c r="L330" s="19">
        <f>IF($A330="","",_xll.BDP($A330&amp;" Corp","MATURITY"))</f>
        <v/>
      </c>
      <c r="M330" s="20">
        <f>IF($A330="","",IFERROR(_xll.BDP($A330&amp;" Corp","MIN_PIECE")/1000,""))</f>
        <v/>
      </c>
      <c r="N330" s="21">
        <f>IF($A330="","",_xll.BDP($A330&amp;" Corp","PX_LAST"))</f>
        <v/>
      </c>
      <c r="O330" s="21">
        <f>IF($A330="","",_xll.BDP($A330&amp;" Corp","YAS_BOND_YLD","YAS_YLD_FLAG=15"))</f>
        <v/>
      </c>
      <c r="P330" s="21">
        <f>IF($A330="","",_xll.BDP($A330&amp;" Corp","YAS_MOD_DUR"))</f>
        <v/>
      </c>
      <c r="Q330" s="22">
        <f>IF($A330="","",_xll.BDP($A330&amp;" Corp","YAS_OAS_SPRD"))</f>
        <v/>
      </c>
      <c r="R330" s="22">
        <f>IF($A330="","",_xll.BDP($A330&amp;" Corp","YAS_OAS_SPRD","SETTLE_DT",$B$2))</f>
        <v/>
      </c>
      <c r="S330" s="23">
        <f>IF($A330="","",IF(OR(NOT(ISNUMBER($Q330)),NOT(ISNUMBER($R330))),"",$Q330-$R330))</f>
        <v/>
      </c>
      <c r="T330" s="21">
        <f>IF($A330="","",_xll.BDP($A330&amp;" Corp","YAS_BOND_YLD","YAS_YLD_FLAG=15","SETTLE_DT",$B$2))</f>
        <v/>
      </c>
      <c r="U330" s="24">
        <f>IF($A330="","",IF(OR(NOT(ISNUMBER($O330)),NOT(ISNUMBER($T330))),"",$O330-$T330))</f>
        <v/>
      </c>
      <c r="V330" s="22">
        <f>IF(NOT(ISNUMBER($S330)),"",COUNTIFS($G$7:$G$850,$G330,$S$7:$S$850,"&gt;"&amp;$S330)+COUNTIFS($G$7:$G330,$G330,$S$7:$S330,$S330))</f>
        <v/>
      </c>
      <c r="W330" s="22">
        <f>IF(NOT(ISNUMBER($S330)),"",COUNTIFS($G$7:$G$850,$G330,$S$7:$S$850,"&lt;"&amp;$S330)+COUNTIFS($G$7:$G330,$G330,$S$7:$S330,$S330))</f>
        <v/>
      </c>
      <c r="X330" s="17">
        <f>IF($V330="","",$G330&amp;"|"&amp;$V330)</f>
        <v/>
      </c>
      <c r="Y330" s="17">
        <f>IF($W330="","",$G330&amp;"|"&amp;$W330)</f>
        <v/>
      </c>
    </row>
    <row r="331">
      <c r="A331" s="7" t="inlineStr">
        <is>
          <t>XS2583743047</t>
        </is>
      </c>
      <c r="B331" s="8">
        <f>IF($A331="","",PROPER(_xll.BDP($A331&amp;" Corp","NAME")))</f>
        <v/>
      </c>
      <c r="C331" s="8">
        <f>IF($A331="","",IFERROR(INDEX(Company_desc!$B$2:$B$1144,MATCH($A331,Company_desc!$A$2:$A$1144,0)),IFERROR(INDEX(SYZ_static!$Q$2:$Q$806,MATCH($A331,SYZ_static!$A$2:$A$806,0)),"")))</f>
        <v/>
      </c>
      <c r="D331" s="8">
        <f>IF($A331="","",IFERROR(INDEX(SYZ_static!$B$2:$B$806,MATCH($A331,SYZ_static!$A$2:$A$806,0)),""))</f>
        <v/>
      </c>
      <c r="E331" s="8">
        <f>IF($A331="","",_xll.BDP($A331&amp;" Corp","INDUSTRY_SECTOR"))</f>
        <v/>
      </c>
      <c r="F331" s="8">
        <f>IF($A331="","",PROPER(_xll.BDP($A331&amp;" Corp","COUNTRY_FULL_NAME")))</f>
        <v/>
      </c>
      <c r="G331" s="8">
        <f>IF($A331="","",_xll.BDP($A331&amp;" Corp","CRNCY"))</f>
        <v/>
      </c>
      <c r="H331" s="8">
        <f>IF($A331="","",IFERROR(INDEX(SYZ_static!$T$2:$T$806,MATCH($A331,SYZ_static!$A$2:$A$806,0)),_xll.BDP($A331&amp;" Corp","RTG_SP")))</f>
        <v/>
      </c>
      <c r="I331" s="8">
        <f>IF($A331="","",IFERROR(INDEX(SYZ_static!$S$2:$S$806,MATCH($A331,SYZ_static!$A$2:$A$806,0)),""))</f>
        <v/>
      </c>
      <c r="J331" s="8">
        <f>IF($A331="","",_xll.BDP($A331&amp;" Corp","PAYMENT_RANK"))</f>
        <v/>
      </c>
      <c r="K331" s="9">
        <f>IF($A331="","",_xll.BDP($A331&amp;" Corp","CPN"))</f>
        <v/>
      </c>
      <c r="L331" s="10">
        <f>IF($A331="","",_xll.BDP($A331&amp;" Corp","MATURITY"))</f>
        <v/>
      </c>
      <c r="M331" s="11">
        <f>IF($A331="","",IFERROR(_xll.BDP($A331&amp;" Corp","MIN_PIECE")/1000,""))</f>
        <v/>
      </c>
      <c r="N331" s="12">
        <f>IF($A331="","",_xll.BDP($A331&amp;" Corp","PX_LAST"))</f>
        <v/>
      </c>
      <c r="O331" s="12">
        <f>IF($A331="","",_xll.BDP($A331&amp;" Corp","YAS_BOND_YLD","YAS_YLD_FLAG=15"))</f>
        <v/>
      </c>
      <c r="P331" s="12">
        <f>IF($A331="","",_xll.BDP($A331&amp;" Corp","YAS_MOD_DUR"))</f>
        <v/>
      </c>
      <c r="Q331" s="13">
        <f>IF($A331="","",_xll.BDP($A331&amp;" Corp","YAS_OAS_SPRD"))</f>
        <v/>
      </c>
      <c r="R331" s="13">
        <f>IF($A331="","",_xll.BDP($A331&amp;" Corp","YAS_OAS_SPRD","SETTLE_DT",$B$2))</f>
        <v/>
      </c>
      <c r="S331" s="14">
        <f>IF($A331="","",IF(OR(NOT(ISNUMBER($Q331)),NOT(ISNUMBER($R331))),"",$Q331-$R331))</f>
        <v/>
      </c>
      <c r="T331" s="12">
        <f>IF($A331="","",_xll.BDP($A331&amp;" Corp","YAS_BOND_YLD","YAS_YLD_FLAG=15","SETTLE_DT",$B$2))</f>
        <v/>
      </c>
      <c r="U331" s="15">
        <f>IF($A331="","",IF(OR(NOT(ISNUMBER($O331)),NOT(ISNUMBER($T331))),"",$O331-$T331))</f>
        <v/>
      </c>
      <c r="V331" s="13">
        <f>IF(NOT(ISNUMBER($S331)),"",COUNTIFS($G$7:$G$850,$G331,$S$7:$S$850,"&gt;"&amp;$S331)+COUNTIFS($G$7:$G331,$G331,$S$7:$S331,$S331))</f>
        <v/>
      </c>
      <c r="W331" s="13">
        <f>IF(NOT(ISNUMBER($S331)),"",COUNTIFS($G$7:$G$850,$G331,$S$7:$S$850,"&lt;"&amp;$S331)+COUNTIFS($G$7:$G331,$G331,$S$7:$S331,$S331))</f>
        <v/>
      </c>
      <c r="X331" s="8">
        <f>IF($V331="","",$G331&amp;"|"&amp;$V331)</f>
        <v/>
      </c>
      <c r="Y331" s="8">
        <f>IF($W331="","",$G331&amp;"|"&amp;$W331)</f>
        <v/>
      </c>
    </row>
    <row r="332">
      <c r="A332" s="16" t="inlineStr">
        <is>
          <t>CH0494734376</t>
        </is>
      </c>
      <c r="B332" s="17">
        <f>IF($A332="","",PROPER(_xll.BDP($A332&amp;" Corp","NAME")))</f>
        <v/>
      </c>
      <c r="C332" s="17">
        <f>IF($A332="","",IFERROR(INDEX(Company_desc!$B$2:$B$1144,MATCH($A332,Company_desc!$A$2:$A$1144,0)),IFERROR(INDEX(SYZ_static!$Q$2:$Q$806,MATCH($A332,SYZ_static!$A$2:$A$806,0)),"")))</f>
        <v/>
      </c>
      <c r="D332" s="17">
        <f>IF($A332="","",IFERROR(INDEX(SYZ_static!$B$2:$B$806,MATCH($A332,SYZ_static!$A$2:$A$806,0)),""))</f>
        <v/>
      </c>
      <c r="E332" s="17">
        <f>IF($A332="","",_xll.BDP($A332&amp;" Corp","INDUSTRY_SECTOR"))</f>
        <v/>
      </c>
      <c r="F332" s="17">
        <f>IF($A332="","",PROPER(_xll.BDP($A332&amp;" Corp","COUNTRY_FULL_NAME")))</f>
        <v/>
      </c>
      <c r="G332" s="17">
        <f>IF($A332="","",_xll.BDP($A332&amp;" Corp","CRNCY"))</f>
        <v/>
      </c>
      <c r="H332" s="17">
        <f>IF($A332="","",IFERROR(INDEX(SYZ_static!$T$2:$T$806,MATCH($A332,SYZ_static!$A$2:$A$806,0)),_xll.BDP($A332&amp;" Corp","RTG_SP")))</f>
        <v/>
      </c>
      <c r="I332" s="17">
        <f>IF($A332="","",IFERROR(INDEX(SYZ_static!$S$2:$S$806,MATCH($A332,SYZ_static!$A$2:$A$806,0)),""))</f>
        <v/>
      </c>
      <c r="J332" s="17">
        <f>IF($A332="","",_xll.BDP($A332&amp;" Corp","PAYMENT_RANK"))</f>
        <v/>
      </c>
      <c r="K332" s="18">
        <f>IF($A332="","",_xll.BDP($A332&amp;" Corp","CPN"))</f>
        <v/>
      </c>
      <c r="L332" s="19">
        <f>IF($A332="","",_xll.BDP($A332&amp;" Corp","MATURITY"))</f>
        <v/>
      </c>
      <c r="M332" s="20">
        <f>IF($A332="","",IFERROR(_xll.BDP($A332&amp;" Corp","MIN_PIECE")/1000,""))</f>
        <v/>
      </c>
      <c r="N332" s="21">
        <f>IF($A332="","",_xll.BDP($A332&amp;" Corp","PX_LAST"))</f>
        <v/>
      </c>
      <c r="O332" s="21">
        <f>IF($A332="","",_xll.BDP($A332&amp;" Corp","YAS_BOND_YLD","YAS_YLD_FLAG=15"))</f>
        <v/>
      </c>
      <c r="P332" s="21">
        <f>IF($A332="","",_xll.BDP($A332&amp;" Corp","YAS_MOD_DUR"))</f>
        <v/>
      </c>
      <c r="Q332" s="22">
        <f>IF($A332="","",_xll.BDP($A332&amp;" Corp","YAS_OAS_SPRD"))</f>
        <v/>
      </c>
      <c r="R332" s="22">
        <f>IF($A332="","",_xll.BDP($A332&amp;" Corp","YAS_OAS_SPRD","SETTLE_DT",$B$2))</f>
        <v/>
      </c>
      <c r="S332" s="23">
        <f>IF($A332="","",IF(OR(NOT(ISNUMBER($Q332)),NOT(ISNUMBER($R332))),"",$Q332-$R332))</f>
        <v/>
      </c>
      <c r="T332" s="21">
        <f>IF($A332="","",_xll.BDP($A332&amp;" Corp","YAS_BOND_YLD","YAS_YLD_FLAG=15","SETTLE_DT",$B$2))</f>
        <v/>
      </c>
      <c r="U332" s="24">
        <f>IF($A332="","",IF(OR(NOT(ISNUMBER($O332)),NOT(ISNUMBER($T332))),"",$O332-$T332))</f>
        <v/>
      </c>
      <c r="V332" s="22">
        <f>IF(NOT(ISNUMBER($S332)),"",COUNTIFS($G$7:$G$850,$G332,$S$7:$S$850,"&gt;"&amp;$S332)+COUNTIFS($G$7:$G332,$G332,$S$7:$S332,$S332))</f>
        <v/>
      </c>
      <c r="W332" s="22">
        <f>IF(NOT(ISNUMBER($S332)),"",COUNTIFS($G$7:$G$850,$G332,$S$7:$S$850,"&lt;"&amp;$S332)+COUNTIFS($G$7:$G332,$G332,$S$7:$S332,$S332))</f>
        <v/>
      </c>
      <c r="X332" s="17">
        <f>IF($V332="","",$G332&amp;"|"&amp;$V332)</f>
        <v/>
      </c>
      <c r="Y332" s="17">
        <f>IF($W332="","",$G332&amp;"|"&amp;$W332)</f>
        <v/>
      </c>
    </row>
    <row r="333">
      <c r="A333" s="7" t="inlineStr">
        <is>
          <t>US37045XEB82</t>
        </is>
      </c>
      <c r="B333" s="8">
        <f>IF($A333="","",PROPER(_xll.BDP($A333&amp;" Corp","NAME")))</f>
        <v/>
      </c>
      <c r="C333" s="8">
        <f>IF($A333="","",IFERROR(INDEX(Company_desc!$B$2:$B$1144,MATCH($A333,Company_desc!$A$2:$A$1144,0)),IFERROR(INDEX(SYZ_static!$Q$2:$Q$806,MATCH($A333,SYZ_static!$A$2:$A$806,0)),"")))</f>
        <v/>
      </c>
      <c r="D333" s="8">
        <f>IF($A333="","",IFERROR(INDEX(SYZ_static!$B$2:$B$806,MATCH($A333,SYZ_static!$A$2:$A$806,0)),""))</f>
        <v/>
      </c>
      <c r="E333" s="8">
        <f>IF($A333="","",_xll.BDP($A333&amp;" Corp","INDUSTRY_SECTOR"))</f>
        <v/>
      </c>
      <c r="F333" s="8">
        <f>IF($A333="","",PROPER(_xll.BDP($A333&amp;" Corp","COUNTRY_FULL_NAME")))</f>
        <v/>
      </c>
      <c r="G333" s="8">
        <f>IF($A333="","",_xll.BDP($A333&amp;" Corp","CRNCY"))</f>
        <v/>
      </c>
      <c r="H333" s="8">
        <f>IF($A333="","",IFERROR(INDEX(SYZ_static!$T$2:$T$806,MATCH($A333,SYZ_static!$A$2:$A$806,0)),_xll.BDP($A333&amp;" Corp","RTG_SP")))</f>
        <v/>
      </c>
      <c r="I333" s="8">
        <f>IF($A333="","",IFERROR(INDEX(SYZ_static!$S$2:$S$806,MATCH($A333,SYZ_static!$A$2:$A$806,0)),""))</f>
        <v/>
      </c>
      <c r="J333" s="8">
        <f>IF($A333="","",_xll.BDP($A333&amp;" Corp","PAYMENT_RANK"))</f>
        <v/>
      </c>
      <c r="K333" s="9">
        <f>IF($A333="","",_xll.BDP($A333&amp;" Corp","CPN"))</f>
        <v/>
      </c>
      <c r="L333" s="10">
        <f>IF($A333="","",_xll.BDP($A333&amp;" Corp","MATURITY"))</f>
        <v/>
      </c>
      <c r="M333" s="11">
        <f>IF($A333="","",IFERROR(_xll.BDP($A333&amp;" Corp","MIN_PIECE")/1000,""))</f>
        <v/>
      </c>
      <c r="N333" s="12">
        <f>IF($A333="","",_xll.BDP($A333&amp;" Corp","PX_LAST"))</f>
        <v/>
      </c>
      <c r="O333" s="12">
        <f>IF($A333="","",_xll.BDP($A333&amp;" Corp","YAS_BOND_YLD","YAS_YLD_FLAG=15"))</f>
        <v/>
      </c>
      <c r="P333" s="12">
        <f>IF($A333="","",_xll.BDP($A333&amp;" Corp","YAS_MOD_DUR"))</f>
        <v/>
      </c>
      <c r="Q333" s="13">
        <f>IF($A333="","",_xll.BDP($A333&amp;" Corp","YAS_OAS_SPRD"))</f>
        <v/>
      </c>
      <c r="R333" s="13">
        <f>IF($A333="","",_xll.BDP($A333&amp;" Corp","YAS_OAS_SPRD","SETTLE_DT",$B$2))</f>
        <v/>
      </c>
      <c r="S333" s="14">
        <f>IF($A333="","",IF(OR(NOT(ISNUMBER($Q333)),NOT(ISNUMBER($R333))),"",$Q333-$R333))</f>
        <v/>
      </c>
      <c r="T333" s="12">
        <f>IF($A333="","",_xll.BDP($A333&amp;" Corp","YAS_BOND_YLD","YAS_YLD_FLAG=15","SETTLE_DT",$B$2))</f>
        <v/>
      </c>
      <c r="U333" s="15">
        <f>IF($A333="","",IF(OR(NOT(ISNUMBER($O333)),NOT(ISNUMBER($T333))),"",$O333-$T333))</f>
        <v/>
      </c>
      <c r="V333" s="13">
        <f>IF(NOT(ISNUMBER($S333)),"",COUNTIFS($G$7:$G$850,$G333,$S$7:$S$850,"&gt;"&amp;$S333)+COUNTIFS($G$7:$G333,$G333,$S$7:$S333,$S333))</f>
        <v/>
      </c>
      <c r="W333" s="13">
        <f>IF(NOT(ISNUMBER($S333)),"",COUNTIFS($G$7:$G$850,$G333,$S$7:$S$850,"&lt;"&amp;$S333)+COUNTIFS($G$7:$G333,$G333,$S$7:$S333,$S333))</f>
        <v/>
      </c>
      <c r="X333" s="8">
        <f>IF($V333="","",$G333&amp;"|"&amp;$V333)</f>
        <v/>
      </c>
      <c r="Y333" s="8">
        <f>IF($W333="","",$G333&amp;"|"&amp;$W333)</f>
        <v/>
      </c>
    </row>
    <row r="334">
      <c r="A334" s="16" t="inlineStr">
        <is>
          <t>XS1891174424</t>
        </is>
      </c>
      <c r="B334" s="17">
        <f>IF($A334="","",PROPER(_xll.BDP($A334&amp;" Corp","NAME")))</f>
        <v/>
      </c>
      <c r="C334" s="17">
        <f>IF($A334="","",IFERROR(INDEX(Company_desc!$B$2:$B$1144,MATCH($A334,Company_desc!$A$2:$A$1144,0)),IFERROR(INDEX(SYZ_static!$Q$2:$Q$806,MATCH($A334,SYZ_static!$A$2:$A$806,0)),"")))</f>
        <v/>
      </c>
      <c r="D334" s="17">
        <f>IF($A334="","",IFERROR(INDEX(SYZ_static!$B$2:$B$806,MATCH($A334,SYZ_static!$A$2:$A$806,0)),""))</f>
        <v/>
      </c>
      <c r="E334" s="17">
        <f>IF($A334="","",_xll.BDP($A334&amp;" Corp","INDUSTRY_SECTOR"))</f>
        <v/>
      </c>
      <c r="F334" s="17">
        <f>IF($A334="","",PROPER(_xll.BDP($A334&amp;" Corp","COUNTRY_FULL_NAME")))</f>
        <v/>
      </c>
      <c r="G334" s="17">
        <f>IF($A334="","",_xll.BDP($A334&amp;" Corp","CRNCY"))</f>
        <v/>
      </c>
      <c r="H334" s="17">
        <f>IF($A334="","",IFERROR(INDEX(SYZ_static!$T$2:$T$806,MATCH($A334,SYZ_static!$A$2:$A$806,0)),_xll.BDP($A334&amp;" Corp","RTG_SP")))</f>
        <v/>
      </c>
      <c r="I334" s="17">
        <f>IF($A334="","",IFERROR(INDEX(SYZ_static!$S$2:$S$806,MATCH($A334,SYZ_static!$A$2:$A$806,0)),""))</f>
        <v/>
      </c>
      <c r="J334" s="17">
        <f>IF($A334="","",_xll.BDP($A334&amp;" Corp","PAYMENT_RANK"))</f>
        <v/>
      </c>
      <c r="K334" s="18">
        <f>IF($A334="","",_xll.BDP($A334&amp;" Corp","CPN"))</f>
        <v/>
      </c>
      <c r="L334" s="19">
        <f>IF($A334="","",_xll.BDP($A334&amp;" Corp","MATURITY"))</f>
        <v/>
      </c>
      <c r="M334" s="20">
        <f>IF($A334="","",IFERROR(_xll.BDP($A334&amp;" Corp","MIN_PIECE")/1000,""))</f>
        <v/>
      </c>
      <c r="N334" s="21">
        <f>IF($A334="","",_xll.BDP($A334&amp;" Corp","PX_LAST"))</f>
        <v/>
      </c>
      <c r="O334" s="21">
        <f>IF($A334="","",_xll.BDP($A334&amp;" Corp","YAS_BOND_YLD","YAS_YLD_FLAG=15"))</f>
        <v/>
      </c>
      <c r="P334" s="21">
        <f>IF($A334="","",_xll.BDP($A334&amp;" Corp","YAS_MOD_DUR"))</f>
        <v/>
      </c>
      <c r="Q334" s="22">
        <f>IF($A334="","",_xll.BDP($A334&amp;" Corp","YAS_OAS_SPRD"))</f>
        <v/>
      </c>
      <c r="R334" s="22">
        <f>IF($A334="","",_xll.BDP($A334&amp;" Corp","YAS_OAS_SPRD","SETTLE_DT",$B$2))</f>
        <v/>
      </c>
      <c r="S334" s="23">
        <f>IF($A334="","",IF(OR(NOT(ISNUMBER($Q334)),NOT(ISNUMBER($R334))),"",$Q334-$R334))</f>
        <v/>
      </c>
      <c r="T334" s="21">
        <f>IF($A334="","",_xll.BDP($A334&amp;" Corp","YAS_BOND_YLD","YAS_YLD_FLAG=15","SETTLE_DT",$B$2))</f>
        <v/>
      </c>
      <c r="U334" s="24">
        <f>IF($A334="","",IF(OR(NOT(ISNUMBER($O334)),NOT(ISNUMBER($T334))),"",$O334-$T334))</f>
        <v/>
      </c>
      <c r="V334" s="22">
        <f>IF(NOT(ISNUMBER($S334)),"",COUNTIFS($G$7:$G$850,$G334,$S$7:$S$850,"&gt;"&amp;$S334)+COUNTIFS($G$7:$G334,$G334,$S$7:$S334,$S334))</f>
        <v/>
      </c>
      <c r="W334" s="22">
        <f>IF(NOT(ISNUMBER($S334)),"",COUNTIFS($G$7:$G$850,$G334,$S$7:$S$850,"&lt;"&amp;$S334)+COUNTIFS($G$7:$G334,$G334,$S$7:$S334,$S334))</f>
        <v/>
      </c>
      <c r="X334" s="17">
        <f>IF($V334="","",$G334&amp;"|"&amp;$V334)</f>
        <v/>
      </c>
      <c r="Y334" s="17">
        <f>IF($W334="","",$G334&amp;"|"&amp;$W334)</f>
        <v/>
      </c>
    </row>
    <row r="335">
      <c r="A335" s="7" t="inlineStr">
        <is>
          <t>FR001400MLN4</t>
        </is>
      </c>
      <c r="B335" s="8">
        <f>IF($A335="","",PROPER(_xll.BDP($A335&amp;" Corp","NAME")))</f>
        <v/>
      </c>
      <c r="C335" s="8">
        <f>IF($A335="","",IFERROR(INDEX(Company_desc!$B$2:$B$1144,MATCH($A335,Company_desc!$A$2:$A$1144,0)),IFERROR(INDEX(SYZ_static!$Q$2:$Q$806,MATCH($A335,SYZ_static!$A$2:$A$806,0)),"")))</f>
        <v/>
      </c>
      <c r="D335" s="8">
        <f>IF($A335="","",IFERROR(INDEX(SYZ_static!$B$2:$B$806,MATCH($A335,SYZ_static!$A$2:$A$806,0)),""))</f>
        <v/>
      </c>
      <c r="E335" s="8">
        <f>IF($A335="","",_xll.BDP($A335&amp;" Corp","INDUSTRY_SECTOR"))</f>
        <v/>
      </c>
      <c r="F335" s="8">
        <f>IF($A335="","",PROPER(_xll.BDP($A335&amp;" Corp","COUNTRY_FULL_NAME")))</f>
        <v/>
      </c>
      <c r="G335" s="8">
        <f>IF($A335="","",_xll.BDP($A335&amp;" Corp","CRNCY"))</f>
        <v/>
      </c>
      <c r="H335" s="8">
        <f>IF($A335="","",IFERROR(INDEX(SYZ_static!$T$2:$T$806,MATCH($A335,SYZ_static!$A$2:$A$806,0)),_xll.BDP($A335&amp;" Corp","RTG_SP")))</f>
        <v/>
      </c>
      <c r="I335" s="8">
        <f>IF($A335="","",IFERROR(INDEX(SYZ_static!$S$2:$S$806,MATCH($A335,SYZ_static!$A$2:$A$806,0)),""))</f>
        <v/>
      </c>
      <c r="J335" s="8">
        <f>IF($A335="","",_xll.BDP($A335&amp;" Corp","PAYMENT_RANK"))</f>
        <v/>
      </c>
      <c r="K335" s="9">
        <f>IF($A335="","",_xll.BDP($A335&amp;" Corp","CPN"))</f>
        <v/>
      </c>
      <c r="L335" s="10">
        <f>IF($A335="","",_xll.BDP($A335&amp;" Corp","MATURITY"))</f>
        <v/>
      </c>
      <c r="M335" s="11">
        <f>IF($A335="","",IFERROR(_xll.BDP($A335&amp;" Corp","MIN_PIECE")/1000,""))</f>
        <v/>
      </c>
      <c r="N335" s="12">
        <f>IF($A335="","",_xll.BDP($A335&amp;" Corp","PX_LAST"))</f>
        <v/>
      </c>
      <c r="O335" s="12">
        <f>IF($A335="","",_xll.BDP($A335&amp;" Corp","YAS_BOND_YLD","YAS_YLD_FLAG=15"))</f>
        <v/>
      </c>
      <c r="P335" s="12">
        <f>IF($A335="","",_xll.BDP($A335&amp;" Corp","YAS_MOD_DUR"))</f>
        <v/>
      </c>
      <c r="Q335" s="13">
        <f>IF($A335="","",_xll.BDP($A335&amp;" Corp","YAS_OAS_SPRD"))</f>
        <v/>
      </c>
      <c r="R335" s="13">
        <f>IF($A335="","",_xll.BDP($A335&amp;" Corp","YAS_OAS_SPRD","SETTLE_DT",$B$2))</f>
        <v/>
      </c>
      <c r="S335" s="14">
        <f>IF($A335="","",IF(OR(NOT(ISNUMBER($Q335)),NOT(ISNUMBER($R335))),"",$Q335-$R335))</f>
        <v/>
      </c>
      <c r="T335" s="12">
        <f>IF($A335="","",_xll.BDP($A335&amp;" Corp","YAS_BOND_YLD","YAS_YLD_FLAG=15","SETTLE_DT",$B$2))</f>
        <v/>
      </c>
      <c r="U335" s="15">
        <f>IF($A335="","",IF(OR(NOT(ISNUMBER($O335)),NOT(ISNUMBER($T335))),"",$O335-$T335))</f>
        <v/>
      </c>
      <c r="V335" s="13">
        <f>IF(NOT(ISNUMBER($S335)),"",COUNTIFS($G$7:$G$850,$G335,$S$7:$S$850,"&gt;"&amp;$S335)+COUNTIFS($G$7:$G335,$G335,$S$7:$S335,$S335))</f>
        <v/>
      </c>
      <c r="W335" s="13">
        <f>IF(NOT(ISNUMBER($S335)),"",COUNTIFS($G$7:$G$850,$G335,$S$7:$S$850,"&lt;"&amp;$S335)+COUNTIFS($G$7:$G335,$G335,$S$7:$S335,$S335))</f>
        <v/>
      </c>
      <c r="X335" s="8">
        <f>IF($V335="","",$G335&amp;"|"&amp;$V335)</f>
        <v/>
      </c>
      <c r="Y335" s="8">
        <f>IF($W335="","",$G335&amp;"|"&amp;$W335)</f>
        <v/>
      </c>
    </row>
    <row r="336">
      <c r="A336" s="16" t="inlineStr">
        <is>
          <t>USG59669AC89</t>
        </is>
      </c>
      <c r="B336" s="17">
        <f>IF($A336="","",PROPER(_xll.BDP($A336&amp;" Corp","NAME")))</f>
        <v/>
      </c>
      <c r="C336" s="17">
        <f>IF($A336="","",IFERROR(INDEX(Company_desc!$B$2:$B$1144,MATCH($A336,Company_desc!$A$2:$A$1144,0)),IFERROR(INDEX(SYZ_static!$Q$2:$Q$806,MATCH($A336,SYZ_static!$A$2:$A$806,0)),"")))</f>
        <v/>
      </c>
      <c r="D336" s="17">
        <f>IF($A336="","",IFERROR(INDEX(SYZ_static!$B$2:$B$806,MATCH($A336,SYZ_static!$A$2:$A$806,0)),""))</f>
        <v/>
      </c>
      <c r="E336" s="17">
        <f>IF($A336="","",_xll.BDP($A336&amp;" Corp","INDUSTRY_SECTOR"))</f>
        <v/>
      </c>
      <c r="F336" s="17">
        <f>IF($A336="","",PROPER(_xll.BDP($A336&amp;" Corp","COUNTRY_FULL_NAME")))</f>
        <v/>
      </c>
      <c r="G336" s="17">
        <f>IF($A336="","",_xll.BDP($A336&amp;" Corp","CRNCY"))</f>
        <v/>
      </c>
      <c r="H336" s="17">
        <f>IF($A336="","",IFERROR(INDEX(SYZ_static!$T$2:$T$806,MATCH($A336,SYZ_static!$A$2:$A$806,0)),_xll.BDP($A336&amp;" Corp","RTG_SP")))</f>
        <v/>
      </c>
      <c r="I336" s="17">
        <f>IF($A336="","",IFERROR(INDEX(SYZ_static!$S$2:$S$806,MATCH($A336,SYZ_static!$A$2:$A$806,0)),""))</f>
        <v/>
      </c>
      <c r="J336" s="17">
        <f>IF($A336="","",_xll.BDP($A336&amp;" Corp","PAYMENT_RANK"))</f>
        <v/>
      </c>
      <c r="K336" s="18">
        <f>IF($A336="","",_xll.BDP($A336&amp;" Corp","CPN"))</f>
        <v/>
      </c>
      <c r="L336" s="19">
        <f>IF($A336="","",_xll.BDP($A336&amp;" Corp","MATURITY"))</f>
        <v/>
      </c>
      <c r="M336" s="20">
        <f>IF($A336="","",IFERROR(_xll.BDP($A336&amp;" Corp","MIN_PIECE")/1000,""))</f>
        <v/>
      </c>
      <c r="N336" s="21">
        <f>IF($A336="","",_xll.BDP($A336&amp;" Corp","PX_LAST"))</f>
        <v/>
      </c>
      <c r="O336" s="21">
        <f>IF($A336="","",_xll.BDP($A336&amp;" Corp","YAS_BOND_YLD","YAS_YLD_FLAG=15"))</f>
        <v/>
      </c>
      <c r="P336" s="21">
        <f>IF($A336="","",_xll.BDP($A336&amp;" Corp","YAS_MOD_DUR"))</f>
        <v/>
      </c>
      <c r="Q336" s="22">
        <f>IF($A336="","",_xll.BDP($A336&amp;" Corp","YAS_OAS_SPRD"))</f>
        <v/>
      </c>
      <c r="R336" s="22">
        <f>IF($A336="","",_xll.BDP($A336&amp;" Corp","YAS_OAS_SPRD","SETTLE_DT",$B$2))</f>
        <v/>
      </c>
      <c r="S336" s="23">
        <f>IF($A336="","",IF(OR(NOT(ISNUMBER($Q336)),NOT(ISNUMBER($R336))),"",$Q336-$R336))</f>
        <v/>
      </c>
      <c r="T336" s="21">
        <f>IF($A336="","",_xll.BDP($A336&amp;" Corp","YAS_BOND_YLD","YAS_YLD_FLAG=15","SETTLE_DT",$B$2))</f>
        <v/>
      </c>
      <c r="U336" s="24">
        <f>IF($A336="","",IF(OR(NOT(ISNUMBER($O336)),NOT(ISNUMBER($T336))),"",$O336-$T336))</f>
        <v/>
      </c>
      <c r="V336" s="22">
        <f>IF(NOT(ISNUMBER($S336)),"",COUNTIFS($G$7:$G$850,$G336,$S$7:$S$850,"&gt;"&amp;$S336)+COUNTIFS($G$7:$G336,$G336,$S$7:$S336,$S336))</f>
        <v/>
      </c>
      <c r="W336" s="22">
        <f>IF(NOT(ISNUMBER($S336)),"",COUNTIFS($G$7:$G$850,$G336,$S$7:$S$850,"&lt;"&amp;$S336)+COUNTIFS($G$7:$G336,$G336,$S$7:$S336,$S336))</f>
        <v/>
      </c>
      <c r="X336" s="17">
        <f>IF($V336="","",$G336&amp;"|"&amp;$V336)</f>
        <v/>
      </c>
      <c r="Y336" s="17">
        <f>IF($W336="","",$G336&amp;"|"&amp;$W336)</f>
        <v/>
      </c>
    </row>
    <row r="337">
      <c r="A337" s="7" t="inlineStr">
        <is>
          <t>CH1325807886</t>
        </is>
      </c>
      <c r="B337" s="8">
        <f>IF($A337="","",PROPER(_xll.BDP($A337&amp;" Corp","NAME")))</f>
        <v/>
      </c>
      <c r="C337" s="8">
        <f>IF($A337="","",IFERROR(INDEX(Company_desc!$B$2:$B$1144,MATCH($A337,Company_desc!$A$2:$A$1144,0)),IFERROR(INDEX(SYZ_static!$Q$2:$Q$806,MATCH($A337,SYZ_static!$A$2:$A$806,0)),"")))</f>
        <v/>
      </c>
      <c r="D337" s="8">
        <f>IF($A337="","",IFERROR(INDEX(SYZ_static!$B$2:$B$806,MATCH($A337,SYZ_static!$A$2:$A$806,0)),""))</f>
        <v/>
      </c>
      <c r="E337" s="8">
        <f>IF($A337="","",_xll.BDP($A337&amp;" Corp","INDUSTRY_SECTOR"))</f>
        <v/>
      </c>
      <c r="F337" s="8">
        <f>IF($A337="","",PROPER(_xll.BDP($A337&amp;" Corp","COUNTRY_FULL_NAME")))</f>
        <v/>
      </c>
      <c r="G337" s="8">
        <f>IF($A337="","",_xll.BDP($A337&amp;" Corp","CRNCY"))</f>
        <v/>
      </c>
      <c r="H337" s="8">
        <f>IF($A337="","",IFERROR(INDEX(SYZ_static!$T$2:$T$806,MATCH($A337,SYZ_static!$A$2:$A$806,0)),_xll.BDP($A337&amp;" Corp","RTG_SP")))</f>
        <v/>
      </c>
      <c r="I337" s="8">
        <f>IF($A337="","",IFERROR(INDEX(SYZ_static!$S$2:$S$806,MATCH($A337,SYZ_static!$A$2:$A$806,0)),""))</f>
        <v/>
      </c>
      <c r="J337" s="8">
        <f>IF($A337="","",_xll.BDP($A337&amp;" Corp","PAYMENT_RANK"))</f>
        <v/>
      </c>
      <c r="K337" s="9">
        <f>IF($A337="","",_xll.BDP($A337&amp;" Corp","CPN"))</f>
        <v/>
      </c>
      <c r="L337" s="10">
        <f>IF($A337="","",_xll.BDP($A337&amp;" Corp","MATURITY"))</f>
        <v/>
      </c>
      <c r="M337" s="11">
        <f>IF($A337="","",IFERROR(_xll.BDP($A337&amp;" Corp","MIN_PIECE")/1000,""))</f>
        <v/>
      </c>
      <c r="N337" s="12">
        <f>IF($A337="","",_xll.BDP($A337&amp;" Corp","PX_LAST"))</f>
        <v/>
      </c>
      <c r="O337" s="12">
        <f>IF($A337="","",_xll.BDP($A337&amp;" Corp","YAS_BOND_YLD","YAS_YLD_FLAG=15"))</f>
        <v/>
      </c>
      <c r="P337" s="12">
        <f>IF($A337="","",_xll.BDP($A337&amp;" Corp","YAS_MOD_DUR"))</f>
        <v/>
      </c>
      <c r="Q337" s="13">
        <f>IF($A337="","",_xll.BDP($A337&amp;" Corp","YAS_OAS_SPRD"))</f>
        <v/>
      </c>
      <c r="R337" s="13">
        <f>IF($A337="","",_xll.BDP($A337&amp;" Corp","YAS_OAS_SPRD","SETTLE_DT",$B$2))</f>
        <v/>
      </c>
      <c r="S337" s="14">
        <f>IF($A337="","",IF(OR(NOT(ISNUMBER($Q337)),NOT(ISNUMBER($R337))),"",$Q337-$R337))</f>
        <v/>
      </c>
      <c r="T337" s="12">
        <f>IF($A337="","",_xll.BDP($A337&amp;" Corp","YAS_BOND_YLD","YAS_YLD_FLAG=15","SETTLE_DT",$B$2))</f>
        <v/>
      </c>
      <c r="U337" s="15">
        <f>IF($A337="","",IF(OR(NOT(ISNUMBER($O337)),NOT(ISNUMBER($T337))),"",$O337-$T337))</f>
        <v/>
      </c>
      <c r="V337" s="13">
        <f>IF(NOT(ISNUMBER($S337)),"",COUNTIFS($G$7:$G$850,$G337,$S$7:$S$850,"&gt;"&amp;$S337)+COUNTIFS($G$7:$G337,$G337,$S$7:$S337,$S337))</f>
        <v/>
      </c>
      <c r="W337" s="13">
        <f>IF(NOT(ISNUMBER($S337)),"",COUNTIFS($G$7:$G$850,$G337,$S$7:$S$850,"&lt;"&amp;$S337)+COUNTIFS($G$7:$G337,$G337,$S$7:$S337,$S337))</f>
        <v/>
      </c>
      <c r="X337" s="8">
        <f>IF($V337="","",$G337&amp;"|"&amp;$V337)</f>
        <v/>
      </c>
      <c r="Y337" s="8">
        <f>IF($W337="","",$G337&amp;"|"&amp;$W337)</f>
        <v/>
      </c>
    </row>
    <row r="338">
      <c r="A338" s="16" t="inlineStr">
        <is>
          <t>XS1991188548</t>
        </is>
      </c>
      <c r="B338" s="17">
        <f>IF($A338="","",PROPER(_xll.BDP($A338&amp;" Corp","NAME")))</f>
        <v/>
      </c>
      <c r="C338" s="17">
        <f>IF($A338="","",IFERROR(INDEX(Company_desc!$B$2:$B$1144,MATCH($A338,Company_desc!$A$2:$A$1144,0)),IFERROR(INDEX(SYZ_static!$Q$2:$Q$806,MATCH($A338,SYZ_static!$A$2:$A$806,0)),"")))</f>
        <v/>
      </c>
      <c r="D338" s="17">
        <f>IF($A338="","",IFERROR(INDEX(SYZ_static!$B$2:$B$806,MATCH($A338,SYZ_static!$A$2:$A$806,0)),""))</f>
        <v/>
      </c>
      <c r="E338" s="17">
        <f>IF($A338="","",_xll.BDP($A338&amp;" Corp","INDUSTRY_SECTOR"))</f>
        <v/>
      </c>
      <c r="F338" s="17">
        <f>IF($A338="","",PROPER(_xll.BDP($A338&amp;" Corp","COUNTRY_FULL_NAME")))</f>
        <v/>
      </c>
      <c r="G338" s="17">
        <f>IF($A338="","",_xll.BDP($A338&amp;" Corp","CRNCY"))</f>
        <v/>
      </c>
      <c r="H338" s="17">
        <f>IF($A338="","",IFERROR(INDEX(SYZ_static!$T$2:$T$806,MATCH($A338,SYZ_static!$A$2:$A$806,0)),_xll.BDP($A338&amp;" Corp","RTG_SP")))</f>
        <v/>
      </c>
      <c r="I338" s="17">
        <f>IF($A338="","",IFERROR(INDEX(SYZ_static!$S$2:$S$806,MATCH($A338,SYZ_static!$A$2:$A$806,0)),""))</f>
        <v/>
      </c>
      <c r="J338" s="17">
        <f>IF($A338="","",_xll.BDP($A338&amp;" Corp","PAYMENT_RANK"))</f>
        <v/>
      </c>
      <c r="K338" s="18">
        <f>IF($A338="","",_xll.BDP($A338&amp;" Corp","CPN"))</f>
        <v/>
      </c>
      <c r="L338" s="19">
        <f>IF($A338="","",_xll.BDP($A338&amp;" Corp","MATURITY"))</f>
        <v/>
      </c>
      <c r="M338" s="20">
        <f>IF($A338="","",IFERROR(_xll.BDP($A338&amp;" Corp","MIN_PIECE")/1000,""))</f>
        <v/>
      </c>
      <c r="N338" s="21">
        <f>IF($A338="","",_xll.BDP($A338&amp;" Corp","PX_LAST"))</f>
        <v/>
      </c>
      <c r="O338" s="21">
        <f>IF($A338="","",_xll.BDP($A338&amp;" Corp","YAS_BOND_YLD","YAS_YLD_FLAG=15"))</f>
        <v/>
      </c>
      <c r="P338" s="21">
        <f>IF($A338="","",_xll.BDP($A338&amp;" Corp","YAS_MOD_DUR"))</f>
        <v/>
      </c>
      <c r="Q338" s="22">
        <f>IF($A338="","",_xll.BDP($A338&amp;" Corp","YAS_OAS_SPRD"))</f>
        <v/>
      </c>
      <c r="R338" s="22">
        <f>IF($A338="","",_xll.BDP($A338&amp;" Corp","YAS_OAS_SPRD","SETTLE_DT",$B$2))</f>
        <v/>
      </c>
      <c r="S338" s="23">
        <f>IF($A338="","",IF(OR(NOT(ISNUMBER($Q338)),NOT(ISNUMBER($R338))),"",$Q338-$R338))</f>
        <v/>
      </c>
      <c r="T338" s="21">
        <f>IF($A338="","",_xll.BDP($A338&amp;" Corp","YAS_BOND_YLD","YAS_YLD_FLAG=15","SETTLE_DT",$B$2))</f>
        <v/>
      </c>
      <c r="U338" s="24">
        <f>IF($A338="","",IF(OR(NOT(ISNUMBER($O338)),NOT(ISNUMBER($T338))),"",$O338-$T338))</f>
        <v/>
      </c>
      <c r="V338" s="22">
        <f>IF(NOT(ISNUMBER($S338)),"",COUNTIFS($G$7:$G$850,$G338,$S$7:$S$850,"&gt;"&amp;$S338)+COUNTIFS($G$7:$G338,$G338,$S$7:$S338,$S338))</f>
        <v/>
      </c>
      <c r="W338" s="22">
        <f>IF(NOT(ISNUMBER($S338)),"",COUNTIFS($G$7:$G$850,$G338,$S$7:$S$850,"&lt;"&amp;$S338)+COUNTIFS($G$7:$G338,$G338,$S$7:$S338,$S338))</f>
        <v/>
      </c>
      <c r="X338" s="17">
        <f>IF($V338="","",$G338&amp;"|"&amp;$V338)</f>
        <v/>
      </c>
      <c r="Y338" s="17">
        <f>IF($W338="","",$G338&amp;"|"&amp;$W338)</f>
        <v/>
      </c>
    </row>
    <row r="339">
      <c r="A339" s="7" t="inlineStr">
        <is>
          <t>CH1251998220</t>
        </is>
      </c>
      <c r="B339" s="8">
        <f>IF($A339="","",PROPER(_xll.BDP($A339&amp;" Corp","NAME")))</f>
        <v/>
      </c>
      <c r="C339" s="8">
        <f>IF($A339="","",IFERROR(INDEX(Company_desc!$B$2:$B$1144,MATCH($A339,Company_desc!$A$2:$A$1144,0)),IFERROR(INDEX(SYZ_static!$Q$2:$Q$806,MATCH($A339,SYZ_static!$A$2:$A$806,0)),"")))</f>
        <v/>
      </c>
      <c r="D339" s="8">
        <f>IF($A339="","",IFERROR(INDEX(SYZ_static!$B$2:$B$806,MATCH($A339,SYZ_static!$A$2:$A$806,0)),""))</f>
        <v/>
      </c>
      <c r="E339" s="8">
        <f>IF($A339="","",_xll.BDP($A339&amp;" Corp","INDUSTRY_SECTOR"))</f>
        <v/>
      </c>
      <c r="F339" s="8">
        <f>IF($A339="","",PROPER(_xll.BDP($A339&amp;" Corp","COUNTRY_FULL_NAME")))</f>
        <v/>
      </c>
      <c r="G339" s="8">
        <f>IF($A339="","",_xll.BDP($A339&amp;" Corp","CRNCY"))</f>
        <v/>
      </c>
      <c r="H339" s="8">
        <f>IF($A339="","",IFERROR(INDEX(SYZ_static!$T$2:$T$806,MATCH($A339,SYZ_static!$A$2:$A$806,0)),_xll.BDP($A339&amp;" Corp","RTG_SP")))</f>
        <v/>
      </c>
      <c r="I339" s="8">
        <f>IF($A339="","",IFERROR(INDEX(SYZ_static!$S$2:$S$806,MATCH($A339,SYZ_static!$A$2:$A$806,0)),""))</f>
        <v/>
      </c>
      <c r="J339" s="8">
        <f>IF($A339="","",_xll.BDP($A339&amp;" Corp","PAYMENT_RANK"))</f>
        <v/>
      </c>
      <c r="K339" s="9">
        <f>IF($A339="","",_xll.BDP($A339&amp;" Corp","CPN"))</f>
        <v/>
      </c>
      <c r="L339" s="10">
        <f>IF($A339="","",_xll.BDP($A339&amp;" Corp","MATURITY"))</f>
        <v/>
      </c>
      <c r="M339" s="11">
        <f>IF($A339="","",IFERROR(_xll.BDP($A339&amp;" Corp","MIN_PIECE")/1000,""))</f>
        <v/>
      </c>
      <c r="N339" s="12">
        <f>IF($A339="","",_xll.BDP($A339&amp;" Corp","PX_LAST"))</f>
        <v/>
      </c>
      <c r="O339" s="12">
        <f>IF($A339="","",_xll.BDP($A339&amp;" Corp","YAS_BOND_YLD","YAS_YLD_FLAG=15"))</f>
        <v/>
      </c>
      <c r="P339" s="12">
        <f>IF($A339="","",_xll.BDP($A339&amp;" Corp","YAS_MOD_DUR"))</f>
        <v/>
      </c>
      <c r="Q339" s="13">
        <f>IF($A339="","",_xll.BDP($A339&amp;" Corp","YAS_OAS_SPRD"))</f>
        <v/>
      </c>
      <c r="R339" s="13">
        <f>IF($A339="","",_xll.BDP($A339&amp;" Corp","YAS_OAS_SPRD","SETTLE_DT",$B$2))</f>
        <v/>
      </c>
      <c r="S339" s="14">
        <f>IF($A339="","",IF(OR(NOT(ISNUMBER($Q339)),NOT(ISNUMBER($R339))),"",$Q339-$R339))</f>
        <v/>
      </c>
      <c r="T339" s="12">
        <f>IF($A339="","",_xll.BDP($A339&amp;" Corp","YAS_BOND_YLD","YAS_YLD_FLAG=15","SETTLE_DT",$B$2))</f>
        <v/>
      </c>
      <c r="U339" s="15">
        <f>IF($A339="","",IF(OR(NOT(ISNUMBER($O339)),NOT(ISNUMBER($T339))),"",$O339-$T339))</f>
        <v/>
      </c>
      <c r="V339" s="13">
        <f>IF(NOT(ISNUMBER($S339)),"",COUNTIFS($G$7:$G$850,$G339,$S$7:$S$850,"&gt;"&amp;$S339)+COUNTIFS($G$7:$G339,$G339,$S$7:$S339,$S339))</f>
        <v/>
      </c>
      <c r="W339" s="13">
        <f>IF(NOT(ISNUMBER($S339)),"",COUNTIFS($G$7:$G$850,$G339,$S$7:$S$850,"&lt;"&amp;$S339)+COUNTIFS($G$7:$G339,$G339,$S$7:$S339,$S339))</f>
        <v/>
      </c>
      <c r="X339" s="8">
        <f>IF($V339="","",$G339&amp;"|"&amp;$V339)</f>
        <v/>
      </c>
      <c r="Y339" s="8">
        <f>IF($W339="","",$G339&amp;"|"&amp;$W339)</f>
        <v/>
      </c>
    </row>
    <row r="340">
      <c r="A340" s="16" t="inlineStr">
        <is>
          <t>FR0014004EF7</t>
        </is>
      </c>
      <c r="B340" s="17">
        <f>IF($A340="","",PROPER(_xll.BDP($A340&amp;" Corp","NAME")))</f>
        <v/>
      </c>
      <c r="C340" s="17">
        <f>IF($A340="","",IFERROR(INDEX(Company_desc!$B$2:$B$1144,MATCH($A340,Company_desc!$A$2:$A$1144,0)),IFERROR(INDEX(SYZ_static!$Q$2:$Q$806,MATCH($A340,SYZ_static!$A$2:$A$806,0)),"")))</f>
        <v/>
      </c>
      <c r="D340" s="17">
        <f>IF($A340="","",IFERROR(INDEX(SYZ_static!$B$2:$B$806,MATCH($A340,SYZ_static!$A$2:$A$806,0)),""))</f>
        <v/>
      </c>
      <c r="E340" s="17">
        <f>IF($A340="","",_xll.BDP($A340&amp;" Corp","INDUSTRY_SECTOR"))</f>
        <v/>
      </c>
      <c r="F340" s="17">
        <f>IF($A340="","",PROPER(_xll.BDP($A340&amp;" Corp","COUNTRY_FULL_NAME")))</f>
        <v/>
      </c>
      <c r="G340" s="17">
        <f>IF($A340="","",_xll.BDP($A340&amp;" Corp","CRNCY"))</f>
        <v/>
      </c>
      <c r="H340" s="17">
        <f>IF($A340="","",IFERROR(INDEX(SYZ_static!$T$2:$T$806,MATCH($A340,SYZ_static!$A$2:$A$806,0)),_xll.BDP($A340&amp;" Corp","RTG_SP")))</f>
        <v/>
      </c>
      <c r="I340" s="17">
        <f>IF($A340="","",IFERROR(INDEX(SYZ_static!$S$2:$S$806,MATCH($A340,SYZ_static!$A$2:$A$806,0)),""))</f>
        <v/>
      </c>
      <c r="J340" s="17">
        <f>IF($A340="","",_xll.BDP($A340&amp;" Corp","PAYMENT_RANK"))</f>
        <v/>
      </c>
      <c r="K340" s="18">
        <f>IF($A340="","",_xll.BDP($A340&amp;" Corp","CPN"))</f>
        <v/>
      </c>
      <c r="L340" s="19">
        <f>IF($A340="","",_xll.BDP($A340&amp;" Corp","MATURITY"))</f>
        <v/>
      </c>
      <c r="M340" s="20">
        <f>IF($A340="","",IFERROR(_xll.BDP($A340&amp;" Corp","MIN_PIECE")/1000,""))</f>
        <v/>
      </c>
      <c r="N340" s="21">
        <f>IF($A340="","",_xll.BDP($A340&amp;" Corp","PX_LAST"))</f>
        <v/>
      </c>
      <c r="O340" s="21">
        <f>IF($A340="","",_xll.BDP($A340&amp;" Corp","YAS_BOND_YLD","YAS_YLD_FLAG=15"))</f>
        <v/>
      </c>
      <c r="P340" s="21">
        <f>IF($A340="","",_xll.BDP($A340&amp;" Corp","YAS_MOD_DUR"))</f>
        <v/>
      </c>
      <c r="Q340" s="22">
        <f>IF($A340="","",_xll.BDP($A340&amp;" Corp","YAS_OAS_SPRD"))</f>
        <v/>
      </c>
      <c r="R340" s="22">
        <f>IF($A340="","",_xll.BDP($A340&amp;" Corp","YAS_OAS_SPRD","SETTLE_DT",$B$2))</f>
        <v/>
      </c>
      <c r="S340" s="23">
        <f>IF($A340="","",IF(OR(NOT(ISNUMBER($Q340)),NOT(ISNUMBER($R340))),"",$Q340-$R340))</f>
        <v/>
      </c>
      <c r="T340" s="21">
        <f>IF($A340="","",_xll.BDP($A340&amp;" Corp","YAS_BOND_YLD","YAS_YLD_FLAG=15","SETTLE_DT",$B$2))</f>
        <v/>
      </c>
      <c r="U340" s="24">
        <f>IF($A340="","",IF(OR(NOT(ISNUMBER($O340)),NOT(ISNUMBER($T340))),"",$O340-$T340))</f>
        <v/>
      </c>
      <c r="V340" s="22">
        <f>IF(NOT(ISNUMBER($S340)),"",COUNTIFS($G$7:$G$850,$G340,$S$7:$S$850,"&gt;"&amp;$S340)+COUNTIFS($G$7:$G340,$G340,$S$7:$S340,$S340))</f>
        <v/>
      </c>
      <c r="W340" s="22">
        <f>IF(NOT(ISNUMBER($S340)),"",COUNTIFS($G$7:$G$850,$G340,$S$7:$S$850,"&lt;"&amp;$S340)+COUNTIFS($G$7:$G340,$G340,$S$7:$S340,$S340))</f>
        <v/>
      </c>
      <c r="X340" s="17">
        <f>IF($V340="","",$G340&amp;"|"&amp;$V340)</f>
        <v/>
      </c>
      <c r="Y340" s="17">
        <f>IF($W340="","",$G340&amp;"|"&amp;$W340)</f>
        <v/>
      </c>
    </row>
    <row r="341">
      <c r="A341" s="7" t="inlineStr">
        <is>
          <t>CH1242301286</t>
        </is>
      </c>
      <c r="B341" s="8">
        <f>IF($A341="","",PROPER(_xll.BDP($A341&amp;" Corp","NAME")))</f>
        <v/>
      </c>
      <c r="C341" s="8">
        <f>IF($A341="","",IFERROR(INDEX(Company_desc!$B$2:$B$1144,MATCH($A341,Company_desc!$A$2:$A$1144,0)),IFERROR(INDEX(SYZ_static!$Q$2:$Q$806,MATCH($A341,SYZ_static!$A$2:$A$806,0)),"")))</f>
        <v/>
      </c>
      <c r="D341" s="8">
        <f>IF($A341="","",IFERROR(INDEX(SYZ_static!$B$2:$B$806,MATCH($A341,SYZ_static!$A$2:$A$806,0)),""))</f>
        <v/>
      </c>
      <c r="E341" s="8">
        <f>IF($A341="","",_xll.BDP($A341&amp;" Corp","INDUSTRY_SECTOR"))</f>
        <v/>
      </c>
      <c r="F341" s="8">
        <f>IF($A341="","",PROPER(_xll.BDP($A341&amp;" Corp","COUNTRY_FULL_NAME")))</f>
        <v/>
      </c>
      <c r="G341" s="8">
        <f>IF($A341="","",_xll.BDP($A341&amp;" Corp","CRNCY"))</f>
        <v/>
      </c>
      <c r="H341" s="8">
        <f>IF($A341="","",IFERROR(INDEX(SYZ_static!$T$2:$T$806,MATCH($A341,SYZ_static!$A$2:$A$806,0)),_xll.BDP($A341&amp;" Corp","RTG_SP")))</f>
        <v/>
      </c>
      <c r="I341" s="8">
        <f>IF($A341="","",IFERROR(INDEX(SYZ_static!$S$2:$S$806,MATCH($A341,SYZ_static!$A$2:$A$806,0)),""))</f>
        <v/>
      </c>
      <c r="J341" s="8">
        <f>IF($A341="","",_xll.BDP($A341&amp;" Corp","PAYMENT_RANK"))</f>
        <v/>
      </c>
      <c r="K341" s="9">
        <f>IF($A341="","",_xll.BDP($A341&amp;" Corp","CPN"))</f>
        <v/>
      </c>
      <c r="L341" s="10">
        <f>IF($A341="","",_xll.BDP($A341&amp;" Corp","MATURITY"))</f>
        <v/>
      </c>
      <c r="M341" s="11">
        <f>IF($A341="","",IFERROR(_xll.BDP($A341&amp;" Corp","MIN_PIECE")/1000,""))</f>
        <v/>
      </c>
      <c r="N341" s="12">
        <f>IF($A341="","",_xll.BDP($A341&amp;" Corp","PX_LAST"))</f>
        <v/>
      </c>
      <c r="O341" s="12">
        <f>IF($A341="","",_xll.BDP($A341&amp;" Corp","YAS_BOND_YLD","YAS_YLD_FLAG=15"))</f>
        <v/>
      </c>
      <c r="P341" s="12">
        <f>IF($A341="","",_xll.BDP($A341&amp;" Corp","YAS_MOD_DUR"))</f>
        <v/>
      </c>
      <c r="Q341" s="13">
        <f>IF($A341="","",_xll.BDP($A341&amp;" Corp","YAS_OAS_SPRD"))</f>
        <v/>
      </c>
      <c r="R341" s="13">
        <f>IF($A341="","",_xll.BDP($A341&amp;" Corp","YAS_OAS_SPRD","SETTLE_DT",$B$2))</f>
        <v/>
      </c>
      <c r="S341" s="14">
        <f>IF($A341="","",IF(OR(NOT(ISNUMBER($Q341)),NOT(ISNUMBER($R341))),"",$Q341-$R341))</f>
        <v/>
      </c>
      <c r="T341" s="12">
        <f>IF($A341="","",_xll.BDP($A341&amp;" Corp","YAS_BOND_YLD","YAS_YLD_FLAG=15","SETTLE_DT",$B$2))</f>
        <v/>
      </c>
      <c r="U341" s="15">
        <f>IF($A341="","",IF(OR(NOT(ISNUMBER($O341)),NOT(ISNUMBER($T341))),"",$O341-$T341))</f>
        <v/>
      </c>
      <c r="V341" s="13">
        <f>IF(NOT(ISNUMBER($S341)),"",COUNTIFS($G$7:$G$850,$G341,$S$7:$S$850,"&gt;"&amp;$S341)+COUNTIFS($G$7:$G341,$G341,$S$7:$S341,$S341))</f>
        <v/>
      </c>
      <c r="W341" s="13">
        <f>IF(NOT(ISNUMBER($S341)),"",COUNTIFS($G$7:$G$850,$G341,$S$7:$S$850,"&lt;"&amp;$S341)+COUNTIFS($G$7:$G341,$G341,$S$7:$S341,$S341))</f>
        <v/>
      </c>
      <c r="X341" s="8">
        <f>IF($V341="","",$G341&amp;"|"&amp;$V341)</f>
        <v/>
      </c>
      <c r="Y341" s="8">
        <f>IF($W341="","",$G341&amp;"|"&amp;$W341)</f>
        <v/>
      </c>
    </row>
    <row r="342">
      <c r="A342" s="16" t="inlineStr">
        <is>
          <t>XS2328823104</t>
        </is>
      </c>
      <c r="B342" s="17">
        <f>IF($A342="","",PROPER(_xll.BDP($A342&amp;" Corp","NAME")))</f>
        <v/>
      </c>
      <c r="C342" s="17">
        <f>IF($A342="","",IFERROR(INDEX(Company_desc!$B$2:$B$1144,MATCH($A342,Company_desc!$A$2:$A$1144,0)),IFERROR(INDEX(SYZ_static!$Q$2:$Q$806,MATCH($A342,SYZ_static!$A$2:$A$806,0)),"")))</f>
        <v/>
      </c>
      <c r="D342" s="17">
        <f>IF($A342="","",IFERROR(INDEX(SYZ_static!$B$2:$B$806,MATCH($A342,SYZ_static!$A$2:$A$806,0)),""))</f>
        <v/>
      </c>
      <c r="E342" s="17">
        <f>IF($A342="","",_xll.BDP($A342&amp;" Corp","INDUSTRY_SECTOR"))</f>
        <v/>
      </c>
      <c r="F342" s="17">
        <f>IF($A342="","",PROPER(_xll.BDP($A342&amp;" Corp","COUNTRY_FULL_NAME")))</f>
        <v/>
      </c>
      <c r="G342" s="17">
        <f>IF($A342="","",_xll.BDP($A342&amp;" Corp","CRNCY"))</f>
        <v/>
      </c>
      <c r="H342" s="17">
        <f>IF($A342="","",IFERROR(INDEX(SYZ_static!$T$2:$T$806,MATCH($A342,SYZ_static!$A$2:$A$806,0)),_xll.BDP($A342&amp;" Corp","RTG_SP")))</f>
        <v/>
      </c>
      <c r="I342" s="17">
        <f>IF($A342="","",IFERROR(INDEX(SYZ_static!$S$2:$S$806,MATCH($A342,SYZ_static!$A$2:$A$806,0)),""))</f>
        <v/>
      </c>
      <c r="J342" s="17">
        <f>IF($A342="","",_xll.BDP($A342&amp;" Corp","PAYMENT_RANK"))</f>
        <v/>
      </c>
      <c r="K342" s="18">
        <f>IF($A342="","",_xll.BDP($A342&amp;" Corp","CPN"))</f>
        <v/>
      </c>
      <c r="L342" s="19">
        <f>IF($A342="","",_xll.BDP($A342&amp;" Corp","MATURITY"))</f>
        <v/>
      </c>
      <c r="M342" s="20">
        <f>IF($A342="","",IFERROR(_xll.BDP($A342&amp;" Corp","MIN_PIECE")/1000,""))</f>
        <v/>
      </c>
      <c r="N342" s="21">
        <f>IF($A342="","",_xll.BDP($A342&amp;" Corp","PX_LAST"))</f>
        <v/>
      </c>
      <c r="O342" s="21">
        <f>IF($A342="","",_xll.BDP($A342&amp;" Corp","YAS_BOND_YLD","YAS_YLD_FLAG=15"))</f>
        <v/>
      </c>
      <c r="P342" s="21">
        <f>IF($A342="","",_xll.BDP($A342&amp;" Corp","YAS_MOD_DUR"))</f>
        <v/>
      </c>
      <c r="Q342" s="22">
        <f>IF($A342="","",_xll.BDP($A342&amp;" Corp","YAS_OAS_SPRD"))</f>
        <v/>
      </c>
      <c r="R342" s="22">
        <f>IF($A342="","",_xll.BDP($A342&amp;" Corp","YAS_OAS_SPRD","SETTLE_DT",$B$2))</f>
        <v/>
      </c>
      <c r="S342" s="23">
        <f>IF($A342="","",IF(OR(NOT(ISNUMBER($Q342)),NOT(ISNUMBER($R342))),"",$Q342-$R342))</f>
        <v/>
      </c>
      <c r="T342" s="21">
        <f>IF($A342="","",_xll.BDP($A342&amp;" Corp","YAS_BOND_YLD","YAS_YLD_FLAG=15","SETTLE_DT",$B$2))</f>
        <v/>
      </c>
      <c r="U342" s="24">
        <f>IF($A342="","",IF(OR(NOT(ISNUMBER($O342)),NOT(ISNUMBER($T342))),"",$O342-$T342))</f>
        <v/>
      </c>
      <c r="V342" s="22">
        <f>IF(NOT(ISNUMBER($S342)),"",COUNTIFS($G$7:$G$850,$G342,$S$7:$S$850,"&gt;"&amp;$S342)+COUNTIFS($G$7:$G342,$G342,$S$7:$S342,$S342))</f>
        <v/>
      </c>
      <c r="W342" s="22">
        <f>IF(NOT(ISNUMBER($S342)),"",COUNTIFS($G$7:$G$850,$G342,$S$7:$S$850,"&lt;"&amp;$S342)+COUNTIFS($G$7:$G342,$G342,$S$7:$S342,$S342))</f>
        <v/>
      </c>
      <c r="X342" s="17">
        <f>IF($V342="","",$G342&amp;"|"&amp;$V342)</f>
        <v/>
      </c>
      <c r="Y342" s="17">
        <f>IF($W342="","",$G342&amp;"|"&amp;$W342)</f>
        <v/>
      </c>
    </row>
    <row r="343">
      <c r="A343" s="7" t="inlineStr">
        <is>
          <t>US37045XEH52</t>
        </is>
      </c>
      <c r="B343" s="8">
        <f>IF($A343="","",PROPER(_xll.BDP($A343&amp;" Corp","NAME")))</f>
        <v/>
      </c>
      <c r="C343" s="8">
        <f>IF($A343="","",IFERROR(INDEX(Company_desc!$B$2:$B$1144,MATCH($A343,Company_desc!$A$2:$A$1144,0)),IFERROR(INDEX(SYZ_static!$Q$2:$Q$806,MATCH($A343,SYZ_static!$A$2:$A$806,0)),"")))</f>
        <v/>
      </c>
      <c r="D343" s="8">
        <f>IF($A343="","",IFERROR(INDEX(SYZ_static!$B$2:$B$806,MATCH($A343,SYZ_static!$A$2:$A$806,0)),""))</f>
        <v/>
      </c>
      <c r="E343" s="8">
        <f>IF($A343="","",_xll.BDP($A343&amp;" Corp","INDUSTRY_SECTOR"))</f>
        <v/>
      </c>
      <c r="F343" s="8">
        <f>IF($A343="","",PROPER(_xll.BDP($A343&amp;" Corp","COUNTRY_FULL_NAME")))</f>
        <v/>
      </c>
      <c r="G343" s="8">
        <f>IF($A343="","",_xll.BDP($A343&amp;" Corp","CRNCY"))</f>
        <v/>
      </c>
      <c r="H343" s="8">
        <f>IF($A343="","",IFERROR(INDEX(SYZ_static!$T$2:$T$806,MATCH($A343,SYZ_static!$A$2:$A$806,0)),_xll.BDP($A343&amp;" Corp","RTG_SP")))</f>
        <v/>
      </c>
      <c r="I343" s="8">
        <f>IF($A343="","",IFERROR(INDEX(SYZ_static!$S$2:$S$806,MATCH($A343,SYZ_static!$A$2:$A$806,0)),""))</f>
        <v/>
      </c>
      <c r="J343" s="8">
        <f>IF($A343="","",_xll.BDP($A343&amp;" Corp","PAYMENT_RANK"))</f>
        <v/>
      </c>
      <c r="K343" s="9">
        <f>IF($A343="","",_xll.BDP($A343&amp;" Corp","CPN"))</f>
        <v/>
      </c>
      <c r="L343" s="10">
        <f>IF($A343="","",_xll.BDP($A343&amp;" Corp","MATURITY"))</f>
        <v/>
      </c>
      <c r="M343" s="11">
        <f>IF($A343="","",IFERROR(_xll.BDP($A343&amp;" Corp","MIN_PIECE")/1000,""))</f>
        <v/>
      </c>
      <c r="N343" s="12">
        <f>IF($A343="","",_xll.BDP($A343&amp;" Corp","PX_LAST"))</f>
        <v/>
      </c>
      <c r="O343" s="12">
        <f>IF($A343="","",_xll.BDP($A343&amp;" Corp","YAS_BOND_YLD","YAS_YLD_FLAG=15"))</f>
        <v/>
      </c>
      <c r="P343" s="12">
        <f>IF($A343="","",_xll.BDP($A343&amp;" Corp","YAS_MOD_DUR"))</f>
        <v/>
      </c>
      <c r="Q343" s="13">
        <f>IF($A343="","",_xll.BDP($A343&amp;" Corp","YAS_OAS_SPRD"))</f>
        <v/>
      </c>
      <c r="R343" s="13">
        <f>IF($A343="","",_xll.BDP($A343&amp;" Corp","YAS_OAS_SPRD","SETTLE_DT",$B$2))</f>
        <v/>
      </c>
      <c r="S343" s="14">
        <f>IF($A343="","",IF(OR(NOT(ISNUMBER($Q343)),NOT(ISNUMBER($R343))),"",$Q343-$R343))</f>
        <v/>
      </c>
      <c r="T343" s="12">
        <f>IF($A343="","",_xll.BDP($A343&amp;" Corp","YAS_BOND_YLD","YAS_YLD_FLAG=15","SETTLE_DT",$B$2))</f>
        <v/>
      </c>
      <c r="U343" s="15">
        <f>IF($A343="","",IF(OR(NOT(ISNUMBER($O343)),NOT(ISNUMBER($T343))),"",$O343-$T343))</f>
        <v/>
      </c>
      <c r="V343" s="13">
        <f>IF(NOT(ISNUMBER($S343)),"",COUNTIFS($G$7:$G$850,$G343,$S$7:$S$850,"&gt;"&amp;$S343)+COUNTIFS($G$7:$G343,$G343,$S$7:$S343,$S343))</f>
        <v/>
      </c>
      <c r="W343" s="13">
        <f>IF(NOT(ISNUMBER($S343)),"",COUNTIFS($G$7:$G$850,$G343,$S$7:$S$850,"&lt;"&amp;$S343)+COUNTIFS($G$7:$G343,$G343,$S$7:$S343,$S343))</f>
        <v/>
      </c>
      <c r="X343" s="8">
        <f>IF($V343="","",$G343&amp;"|"&amp;$V343)</f>
        <v/>
      </c>
      <c r="Y343" s="8">
        <f>IF($W343="","",$G343&amp;"|"&amp;$W343)</f>
        <v/>
      </c>
    </row>
    <row r="344">
      <c r="A344" s="16" t="inlineStr">
        <is>
          <t>CH0469273541</t>
        </is>
      </c>
      <c r="B344" s="17">
        <f>IF($A344="","",PROPER(_xll.BDP($A344&amp;" Corp","NAME")))</f>
        <v/>
      </c>
      <c r="C344" s="17">
        <f>IF($A344="","",IFERROR(INDEX(Company_desc!$B$2:$B$1144,MATCH($A344,Company_desc!$A$2:$A$1144,0)),IFERROR(INDEX(SYZ_static!$Q$2:$Q$806,MATCH($A344,SYZ_static!$A$2:$A$806,0)),"")))</f>
        <v/>
      </c>
      <c r="D344" s="17">
        <f>IF($A344="","",IFERROR(INDEX(SYZ_static!$B$2:$B$806,MATCH($A344,SYZ_static!$A$2:$A$806,0)),""))</f>
        <v/>
      </c>
      <c r="E344" s="17">
        <f>IF($A344="","",_xll.BDP($A344&amp;" Corp","INDUSTRY_SECTOR"))</f>
        <v/>
      </c>
      <c r="F344" s="17">
        <f>IF($A344="","",PROPER(_xll.BDP($A344&amp;" Corp","COUNTRY_FULL_NAME")))</f>
        <v/>
      </c>
      <c r="G344" s="17">
        <f>IF($A344="","",_xll.BDP($A344&amp;" Corp","CRNCY"))</f>
        <v/>
      </c>
      <c r="H344" s="17">
        <f>IF($A344="","",IFERROR(INDEX(SYZ_static!$T$2:$T$806,MATCH($A344,SYZ_static!$A$2:$A$806,0)),_xll.BDP($A344&amp;" Corp","RTG_SP")))</f>
        <v/>
      </c>
      <c r="I344" s="17">
        <f>IF($A344="","",IFERROR(INDEX(SYZ_static!$S$2:$S$806,MATCH($A344,SYZ_static!$A$2:$A$806,0)),""))</f>
        <v/>
      </c>
      <c r="J344" s="17">
        <f>IF($A344="","",_xll.BDP($A344&amp;" Corp","PAYMENT_RANK"))</f>
        <v/>
      </c>
      <c r="K344" s="18">
        <f>IF($A344="","",_xll.BDP($A344&amp;" Corp","CPN"))</f>
        <v/>
      </c>
      <c r="L344" s="19">
        <f>IF($A344="","",_xll.BDP($A344&amp;" Corp","MATURITY"))</f>
        <v/>
      </c>
      <c r="M344" s="20">
        <f>IF($A344="","",IFERROR(_xll.BDP($A344&amp;" Corp","MIN_PIECE")/1000,""))</f>
        <v/>
      </c>
      <c r="N344" s="21">
        <f>IF($A344="","",_xll.BDP($A344&amp;" Corp","PX_LAST"))</f>
        <v/>
      </c>
      <c r="O344" s="21">
        <f>IF($A344="","",_xll.BDP($A344&amp;" Corp","YAS_BOND_YLD","YAS_YLD_FLAG=15"))</f>
        <v/>
      </c>
      <c r="P344" s="21">
        <f>IF($A344="","",_xll.BDP($A344&amp;" Corp","YAS_MOD_DUR"))</f>
        <v/>
      </c>
      <c r="Q344" s="22">
        <f>IF($A344="","",_xll.BDP($A344&amp;" Corp","YAS_OAS_SPRD"))</f>
        <v/>
      </c>
      <c r="R344" s="22">
        <f>IF($A344="","",_xll.BDP($A344&amp;" Corp","YAS_OAS_SPRD","SETTLE_DT",$B$2))</f>
        <v/>
      </c>
      <c r="S344" s="23">
        <f>IF($A344="","",IF(OR(NOT(ISNUMBER($Q344)),NOT(ISNUMBER($R344))),"",$Q344-$R344))</f>
        <v/>
      </c>
      <c r="T344" s="21">
        <f>IF($A344="","",_xll.BDP($A344&amp;" Corp","YAS_BOND_YLD","YAS_YLD_FLAG=15","SETTLE_DT",$B$2))</f>
        <v/>
      </c>
      <c r="U344" s="24">
        <f>IF($A344="","",IF(OR(NOT(ISNUMBER($O344)),NOT(ISNUMBER($T344))),"",$O344-$T344))</f>
        <v/>
      </c>
      <c r="V344" s="22">
        <f>IF(NOT(ISNUMBER($S344)),"",COUNTIFS($G$7:$G$850,$G344,$S$7:$S$850,"&gt;"&amp;$S344)+COUNTIFS($G$7:$G344,$G344,$S$7:$S344,$S344))</f>
        <v/>
      </c>
      <c r="W344" s="22">
        <f>IF(NOT(ISNUMBER($S344)),"",COUNTIFS($G$7:$G$850,$G344,$S$7:$S$850,"&lt;"&amp;$S344)+COUNTIFS($G$7:$G344,$G344,$S$7:$S344,$S344))</f>
        <v/>
      </c>
      <c r="X344" s="17">
        <f>IF($V344="","",$G344&amp;"|"&amp;$V344)</f>
        <v/>
      </c>
      <c r="Y344" s="17">
        <f>IF($W344="","",$G344&amp;"|"&amp;$W344)</f>
        <v/>
      </c>
    </row>
    <row r="345">
      <c r="A345" s="7" t="inlineStr">
        <is>
          <t>CH1251030123</t>
        </is>
      </c>
      <c r="B345" s="8">
        <f>IF($A345="","",PROPER(_xll.BDP($A345&amp;" Corp","NAME")))</f>
        <v/>
      </c>
      <c r="C345" s="8">
        <f>IF($A345="","",IFERROR(INDEX(Company_desc!$B$2:$B$1144,MATCH($A345,Company_desc!$A$2:$A$1144,0)),IFERROR(INDEX(SYZ_static!$Q$2:$Q$806,MATCH($A345,SYZ_static!$A$2:$A$806,0)),"")))</f>
        <v/>
      </c>
      <c r="D345" s="8">
        <f>IF($A345="","",IFERROR(INDEX(SYZ_static!$B$2:$B$806,MATCH($A345,SYZ_static!$A$2:$A$806,0)),""))</f>
        <v/>
      </c>
      <c r="E345" s="8">
        <f>IF($A345="","",_xll.BDP($A345&amp;" Corp","INDUSTRY_SECTOR"))</f>
        <v/>
      </c>
      <c r="F345" s="8">
        <f>IF($A345="","",PROPER(_xll.BDP($A345&amp;" Corp","COUNTRY_FULL_NAME")))</f>
        <v/>
      </c>
      <c r="G345" s="8">
        <f>IF($A345="","",_xll.BDP($A345&amp;" Corp","CRNCY"))</f>
        <v/>
      </c>
      <c r="H345" s="8">
        <f>IF($A345="","",IFERROR(INDEX(SYZ_static!$T$2:$T$806,MATCH($A345,SYZ_static!$A$2:$A$806,0)),_xll.BDP($A345&amp;" Corp","RTG_SP")))</f>
        <v/>
      </c>
      <c r="I345" s="8">
        <f>IF($A345="","",IFERROR(INDEX(SYZ_static!$S$2:$S$806,MATCH($A345,SYZ_static!$A$2:$A$806,0)),""))</f>
        <v/>
      </c>
      <c r="J345" s="8">
        <f>IF($A345="","",_xll.BDP($A345&amp;" Corp","PAYMENT_RANK"))</f>
        <v/>
      </c>
      <c r="K345" s="9">
        <f>IF($A345="","",_xll.BDP($A345&amp;" Corp","CPN"))</f>
        <v/>
      </c>
      <c r="L345" s="10">
        <f>IF($A345="","",_xll.BDP($A345&amp;" Corp","MATURITY"))</f>
        <v/>
      </c>
      <c r="M345" s="11">
        <f>IF($A345="","",IFERROR(_xll.BDP($A345&amp;" Corp","MIN_PIECE")/1000,""))</f>
        <v/>
      </c>
      <c r="N345" s="12">
        <f>IF($A345="","",_xll.BDP($A345&amp;" Corp","PX_LAST"))</f>
        <v/>
      </c>
      <c r="O345" s="12">
        <f>IF($A345="","",_xll.BDP($A345&amp;" Corp","YAS_BOND_YLD","YAS_YLD_FLAG=15"))</f>
        <v/>
      </c>
      <c r="P345" s="12">
        <f>IF($A345="","",_xll.BDP($A345&amp;" Corp","YAS_MOD_DUR"))</f>
        <v/>
      </c>
      <c r="Q345" s="13">
        <f>IF($A345="","",_xll.BDP($A345&amp;" Corp","YAS_OAS_SPRD"))</f>
        <v/>
      </c>
      <c r="R345" s="13">
        <f>IF($A345="","",_xll.BDP($A345&amp;" Corp","YAS_OAS_SPRD","SETTLE_DT",$B$2))</f>
        <v/>
      </c>
      <c r="S345" s="14">
        <f>IF($A345="","",IF(OR(NOT(ISNUMBER($Q345)),NOT(ISNUMBER($R345))),"",$Q345-$R345))</f>
        <v/>
      </c>
      <c r="T345" s="12">
        <f>IF($A345="","",_xll.BDP($A345&amp;" Corp","YAS_BOND_YLD","YAS_YLD_FLAG=15","SETTLE_DT",$B$2))</f>
        <v/>
      </c>
      <c r="U345" s="15">
        <f>IF($A345="","",IF(OR(NOT(ISNUMBER($O345)),NOT(ISNUMBER($T345))),"",$O345-$T345))</f>
        <v/>
      </c>
      <c r="V345" s="13">
        <f>IF(NOT(ISNUMBER($S345)),"",COUNTIFS($G$7:$G$850,$G345,$S$7:$S$850,"&gt;"&amp;$S345)+COUNTIFS($G$7:$G345,$G345,$S$7:$S345,$S345))</f>
        <v/>
      </c>
      <c r="W345" s="13">
        <f>IF(NOT(ISNUMBER($S345)),"",COUNTIFS($G$7:$G$850,$G345,$S$7:$S$850,"&lt;"&amp;$S345)+COUNTIFS($G$7:$G345,$G345,$S$7:$S345,$S345))</f>
        <v/>
      </c>
      <c r="X345" s="8">
        <f>IF($V345="","",$G345&amp;"|"&amp;$V345)</f>
        <v/>
      </c>
      <c r="Y345" s="8">
        <f>IF($W345="","",$G345&amp;"|"&amp;$W345)</f>
        <v/>
      </c>
    </row>
    <row r="346">
      <c r="A346" s="16" t="inlineStr">
        <is>
          <t>US30216KAF93</t>
        </is>
      </c>
      <c r="B346" s="17">
        <f>IF($A346="","",PROPER(_xll.BDP($A346&amp;" Corp","NAME")))</f>
        <v/>
      </c>
      <c r="C346" s="17">
        <f>IF($A346="","",IFERROR(INDEX(Company_desc!$B$2:$B$1144,MATCH($A346,Company_desc!$A$2:$A$1144,0)),IFERROR(INDEX(SYZ_static!$Q$2:$Q$806,MATCH($A346,SYZ_static!$A$2:$A$806,0)),"")))</f>
        <v/>
      </c>
      <c r="D346" s="17">
        <f>IF($A346="","",IFERROR(INDEX(SYZ_static!$B$2:$B$806,MATCH($A346,SYZ_static!$A$2:$A$806,0)),""))</f>
        <v/>
      </c>
      <c r="E346" s="17">
        <f>IF($A346="","",_xll.BDP($A346&amp;" Corp","INDUSTRY_SECTOR"))</f>
        <v/>
      </c>
      <c r="F346" s="17">
        <f>IF($A346="","",PROPER(_xll.BDP($A346&amp;" Corp","COUNTRY_FULL_NAME")))</f>
        <v/>
      </c>
      <c r="G346" s="17">
        <f>IF($A346="","",_xll.BDP($A346&amp;" Corp","CRNCY"))</f>
        <v/>
      </c>
      <c r="H346" s="17">
        <f>IF($A346="","",IFERROR(INDEX(SYZ_static!$T$2:$T$806,MATCH($A346,SYZ_static!$A$2:$A$806,0)),_xll.BDP($A346&amp;" Corp","RTG_SP")))</f>
        <v/>
      </c>
      <c r="I346" s="17">
        <f>IF($A346="","",IFERROR(INDEX(SYZ_static!$S$2:$S$806,MATCH($A346,SYZ_static!$A$2:$A$806,0)),""))</f>
        <v/>
      </c>
      <c r="J346" s="17">
        <f>IF($A346="","",_xll.BDP($A346&amp;" Corp","PAYMENT_RANK"))</f>
        <v/>
      </c>
      <c r="K346" s="18">
        <f>IF($A346="","",_xll.BDP($A346&amp;" Corp","CPN"))</f>
        <v/>
      </c>
      <c r="L346" s="19">
        <f>IF($A346="","",_xll.BDP($A346&amp;" Corp","MATURITY"))</f>
        <v/>
      </c>
      <c r="M346" s="20">
        <f>IF($A346="","",IFERROR(_xll.BDP($A346&amp;" Corp","MIN_PIECE")/1000,""))</f>
        <v/>
      </c>
      <c r="N346" s="21">
        <f>IF($A346="","",_xll.BDP($A346&amp;" Corp","PX_LAST"))</f>
        <v/>
      </c>
      <c r="O346" s="21">
        <f>IF($A346="","",_xll.BDP($A346&amp;" Corp","YAS_BOND_YLD","YAS_YLD_FLAG=15"))</f>
        <v/>
      </c>
      <c r="P346" s="21">
        <f>IF($A346="","",_xll.BDP($A346&amp;" Corp","YAS_MOD_DUR"))</f>
        <v/>
      </c>
      <c r="Q346" s="22">
        <f>IF($A346="","",_xll.BDP($A346&amp;" Corp","YAS_OAS_SPRD"))</f>
        <v/>
      </c>
      <c r="R346" s="22">
        <f>IF($A346="","",_xll.BDP($A346&amp;" Corp","YAS_OAS_SPRD","SETTLE_DT",$B$2))</f>
        <v/>
      </c>
      <c r="S346" s="23">
        <f>IF($A346="","",IF(OR(NOT(ISNUMBER($Q346)),NOT(ISNUMBER($R346))),"",$Q346-$R346))</f>
        <v/>
      </c>
      <c r="T346" s="21">
        <f>IF($A346="","",_xll.BDP($A346&amp;" Corp","YAS_BOND_YLD","YAS_YLD_FLAG=15","SETTLE_DT",$B$2))</f>
        <v/>
      </c>
      <c r="U346" s="24">
        <f>IF($A346="","",IF(OR(NOT(ISNUMBER($O346)),NOT(ISNUMBER($T346))),"",$O346-$T346))</f>
        <v/>
      </c>
      <c r="V346" s="22">
        <f>IF(NOT(ISNUMBER($S346)),"",COUNTIFS($G$7:$G$850,$G346,$S$7:$S$850,"&gt;"&amp;$S346)+COUNTIFS($G$7:$G346,$G346,$S$7:$S346,$S346))</f>
        <v/>
      </c>
      <c r="W346" s="22">
        <f>IF(NOT(ISNUMBER($S346)),"",COUNTIFS($G$7:$G$850,$G346,$S$7:$S$850,"&lt;"&amp;$S346)+COUNTIFS($G$7:$G346,$G346,$S$7:$S346,$S346))</f>
        <v/>
      </c>
      <c r="X346" s="17">
        <f>IF($V346="","",$G346&amp;"|"&amp;$V346)</f>
        <v/>
      </c>
      <c r="Y346" s="17">
        <f>IF($W346="","",$G346&amp;"|"&amp;$W346)</f>
        <v/>
      </c>
    </row>
    <row r="347">
      <c r="A347" s="7" t="inlineStr">
        <is>
          <t>FR001400FDB0</t>
        </is>
      </c>
      <c r="B347" s="8">
        <f>IF($A347="","",PROPER(_xll.BDP($A347&amp;" Corp","NAME")))</f>
        <v/>
      </c>
      <c r="C347" s="8">
        <f>IF($A347="","",IFERROR(INDEX(Company_desc!$B$2:$B$1144,MATCH($A347,Company_desc!$A$2:$A$1144,0)),IFERROR(INDEX(SYZ_static!$Q$2:$Q$806,MATCH($A347,SYZ_static!$A$2:$A$806,0)),"")))</f>
        <v/>
      </c>
      <c r="D347" s="8">
        <f>IF($A347="","",IFERROR(INDEX(SYZ_static!$B$2:$B$806,MATCH($A347,SYZ_static!$A$2:$A$806,0)),""))</f>
        <v/>
      </c>
      <c r="E347" s="8">
        <f>IF($A347="","",_xll.BDP($A347&amp;" Corp","INDUSTRY_SECTOR"))</f>
        <v/>
      </c>
      <c r="F347" s="8">
        <f>IF($A347="","",PROPER(_xll.BDP($A347&amp;" Corp","COUNTRY_FULL_NAME")))</f>
        <v/>
      </c>
      <c r="G347" s="8">
        <f>IF($A347="","",_xll.BDP($A347&amp;" Corp","CRNCY"))</f>
        <v/>
      </c>
      <c r="H347" s="8">
        <f>IF($A347="","",IFERROR(INDEX(SYZ_static!$T$2:$T$806,MATCH($A347,SYZ_static!$A$2:$A$806,0)),_xll.BDP($A347&amp;" Corp","RTG_SP")))</f>
        <v/>
      </c>
      <c r="I347" s="8">
        <f>IF($A347="","",IFERROR(INDEX(SYZ_static!$S$2:$S$806,MATCH($A347,SYZ_static!$A$2:$A$806,0)),""))</f>
        <v/>
      </c>
      <c r="J347" s="8">
        <f>IF($A347="","",_xll.BDP($A347&amp;" Corp","PAYMENT_RANK"))</f>
        <v/>
      </c>
      <c r="K347" s="9">
        <f>IF($A347="","",_xll.BDP($A347&amp;" Corp","CPN"))</f>
        <v/>
      </c>
      <c r="L347" s="10">
        <f>IF($A347="","",_xll.BDP($A347&amp;" Corp","MATURITY"))</f>
        <v/>
      </c>
      <c r="M347" s="11">
        <f>IF($A347="","",IFERROR(_xll.BDP($A347&amp;" Corp","MIN_PIECE")/1000,""))</f>
        <v/>
      </c>
      <c r="N347" s="12">
        <f>IF($A347="","",_xll.BDP($A347&amp;" Corp","PX_LAST"))</f>
        <v/>
      </c>
      <c r="O347" s="12">
        <f>IF($A347="","",_xll.BDP($A347&amp;" Corp","YAS_BOND_YLD","YAS_YLD_FLAG=15"))</f>
        <v/>
      </c>
      <c r="P347" s="12">
        <f>IF($A347="","",_xll.BDP($A347&amp;" Corp","YAS_MOD_DUR"))</f>
        <v/>
      </c>
      <c r="Q347" s="13">
        <f>IF($A347="","",_xll.BDP($A347&amp;" Corp","YAS_OAS_SPRD"))</f>
        <v/>
      </c>
      <c r="R347" s="13">
        <f>IF($A347="","",_xll.BDP($A347&amp;" Corp","YAS_OAS_SPRD","SETTLE_DT",$B$2))</f>
        <v/>
      </c>
      <c r="S347" s="14">
        <f>IF($A347="","",IF(OR(NOT(ISNUMBER($Q347)),NOT(ISNUMBER($R347))),"",$Q347-$R347))</f>
        <v/>
      </c>
      <c r="T347" s="12">
        <f>IF($A347="","",_xll.BDP($A347&amp;" Corp","YAS_BOND_YLD","YAS_YLD_FLAG=15","SETTLE_DT",$B$2))</f>
        <v/>
      </c>
      <c r="U347" s="15">
        <f>IF($A347="","",IF(OR(NOT(ISNUMBER($O347)),NOT(ISNUMBER($T347))),"",$O347-$T347))</f>
        <v/>
      </c>
      <c r="V347" s="13">
        <f>IF(NOT(ISNUMBER($S347)),"",COUNTIFS($G$7:$G$850,$G347,$S$7:$S$850,"&gt;"&amp;$S347)+COUNTIFS($G$7:$G347,$G347,$S$7:$S347,$S347))</f>
        <v/>
      </c>
      <c r="W347" s="13">
        <f>IF(NOT(ISNUMBER($S347)),"",COUNTIFS($G$7:$G$850,$G347,$S$7:$S$850,"&lt;"&amp;$S347)+COUNTIFS($G$7:$G347,$G347,$S$7:$S347,$S347))</f>
        <v/>
      </c>
      <c r="X347" s="8">
        <f>IF($V347="","",$G347&amp;"|"&amp;$V347)</f>
        <v/>
      </c>
      <c r="Y347" s="8">
        <f>IF($W347="","",$G347&amp;"|"&amp;$W347)</f>
        <v/>
      </c>
    </row>
    <row r="348">
      <c r="A348" s="16" t="inlineStr">
        <is>
          <t>XS2583205906</t>
        </is>
      </c>
      <c r="B348" s="17">
        <f>IF($A348="","",PROPER(_xll.BDP($A348&amp;" Corp","NAME")))</f>
        <v/>
      </c>
      <c r="C348" s="17">
        <f>IF($A348="","",IFERROR(INDEX(Company_desc!$B$2:$B$1144,MATCH($A348,Company_desc!$A$2:$A$1144,0)),IFERROR(INDEX(SYZ_static!$Q$2:$Q$806,MATCH($A348,SYZ_static!$A$2:$A$806,0)),"")))</f>
        <v/>
      </c>
      <c r="D348" s="17">
        <f>IF($A348="","",IFERROR(INDEX(SYZ_static!$B$2:$B$806,MATCH($A348,SYZ_static!$A$2:$A$806,0)),""))</f>
        <v/>
      </c>
      <c r="E348" s="17">
        <f>IF($A348="","",_xll.BDP($A348&amp;" Corp","INDUSTRY_SECTOR"))</f>
        <v/>
      </c>
      <c r="F348" s="17">
        <f>IF($A348="","",PROPER(_xll.BDP($A348&amp;" Corp","COUNTRY_FULL_NAME")))</f>
        <v/>
      </c>
      <c r="G348" s="17">
        <f>IF($A348="","",_xll.BDP($A348&amp;" Corp","CRNCY"))</f>
        <v/>
      </c>
      <c r="H348" s="17">
        <f>IF($A348="","",IFERROR(INDEX(SYZ_static!$T$2:$T$806,MATCH($A348,SYZ_static!$A$2:$A$806,0)),_xll.BDP($A348&amp;" Corp","RTG_SP")))</f>
        <v/>
      </c>
      <c r="I348" s="17">
        <f>IF($A348="","",IFERROR(INDEX(SYZ_static!$S$2:$S$806,MATCH($A348,SYZ_static!$A$2:$A$806,0)),""))</f>
        <v/>
      </c>
      <c r="J348" s="17">
        <f>IF($A348="","",_xll.BDP($A348&amp;" Corp","PAYMENT_RANK"))</f>
        <v/>
      </c>
      <c r="K348" s="18">
        <f>IF($A348="","",_xll.BDP($A348&amp;" Corp","CPN"))</f>
        <v/>
      </c>
      <c r="L348" s="19">
        <f>IF($A348="","",_xll.BDP($A348&amp;" Corp","MATURITY"))</f>
        <v/>
      </c>
      <c r="M348" s="20">
        <f>IF($A348="","",IFERROR(_xll.BDP($A348&amp;" Corp","MIN_PIECE")/1000,""))</f>
        <v/>
      </c>
      <c r="N348" s="21">
        <f>IF($A348="","",_xll.BDP($A348&amp;" Corp","PX_LAST"))</f>
        <v/>
      </c>
      <c r="O348" s="21">
        <f>IF($A348="","",_xll.BDP($A348&amp;" Corp","YAS_BOND_YLD","YAS_YLD_FLAG=15"))</f>
        <v/>
      </c>
      <c r="P348" s="21">
        <f>IF($A348="","",_xll.BDP($A348&amp;" Corp","YAS_MOD_DUR"))</f>
        <v/>
      </c>
      <c r="Q348" s="22">
        <f>IF($A348="","",_xll.BDP($A348&amp;" Corp","YAS_OAS_SPRD"))</f>
        <v/>
      </c>
      <c r="R348" s="22">
        <f>IF($A348="","",_xll.BDP($A348&amp;" Corp","YAS_OAS_SPRD","SETTLE_DT",$B$2))</f>
        <v/>
      </c>
      <c r="S348" s="23">
        <f>IF($A348="","",IF(OR(NOT(ISNUMBER($Q348)),NOT(ISNUMBER($R348))),"",$Q348-$R348))</f>
        <v/>
      </c>
      <c r="T348" s="21">
        <f>IF($A348="","",_xll.BDP($A348&amp;" Corp","YAS_BOND_YLD","YAS_YLD_FLAG=15","SETTLE_DT",$B$2))</f>
        <v/>
      </c>
      <c r="U348" s="24">
        <f>IF($A348="","",IF(OR(NOT(ISNUMBER($O348)),NOT(ISNUMBER($T348))),"",$O348-$T348))</f>
        <v/>
      </c>
      <c r="V348" s="22">
        <f>IF(NOT(ISNUMBER($S348)),"",COUNTIFS($G$7:$G$850,$G348,$S$7:$S$850,"&gt;"&amp;$S348)+COUNTIFS($G$7:$G348,$G348,$S$7:$S348,$S348))</f>
        <v/>
      </c>
      <c r="W348" s="22">
        <f>IF(NOT(ISNUMBER($S348)),"",COUNTIFS($G$7:$G$850,$G348,$S$7:$S$850,"&lt;"&amp;$S348)+COUNTIFS($G$7:$G348,$G348,$S$7:$S348,$S348))</f>
        <v/>
      </c>
      <c r="X348" s="17">
        <f>IF($V348="","",$G348&amp;"|"&amp;$V348)</f>
        <v/>
      </c>
      <c r="Y348" s="17">
        <f>IF($W348="","",$G348&amp;"|"&amp;$W348)</f>
        <v/>
      </c>
    </row>
    <row r="349">
      <c r="A349" s="7" t="inlineStr">
        <is>
          <t>XS2441259137</t>
        </is>
      </c>
      <c r="B349" s="8">
        <f>IF($A349="","",PROPER(_xll.BDP($A349&amp;" Corp","NAME")))</f>
        <v/>
      </c>
      <c r="C349" s="8">
        <f>IF($A349="","",IFERROR(INDEX(Company_desc!$B$2:$B$1144,MATCH($A349,Company_desc!$A$2:$A$1144,0)),IFERROR(INDEX(SYZ_static!$Q$2:$Q$806,MATCH($A349,SYZ_static!$A$2:$A$806,0)),"")))</f>
        <v/>
      </c>
      <c r="D349" s="8">
        <f>IF($A349="","",IFERROR(INDEX(SYZ_static!$B$2:$B$806,MATCH($A349,SYZ_static!$A$2:$A$806,0)),""))</f>
        <v/>
      </c>
      <c r="E349" s="8">
        <f>IF($A349="","",_xll.BDP($A349&amp;" Corp","INDUSTRY_SECTOR"))</f>
        <v/>
      </c>
      <c r="F349" s="8">
        <f>IF($A349="","",PROPER(_xll.BDP($A349&amp;" Corp","COUNTRY_FULL_NAME")))</f>
        <v/>
      </c>
      <c r="G349" s="8">
        <f>IF($A349="","",_xll.BDP($A349&amp;" Corp","CRNCY"))</f>
        <v/>
      </c>
      <c r="H349" s="8">
        <f>IF($A349="","",IFERROR(INDEX(SYZ_static!$T$2:$T$806,MATCH($A349,SYZ_static!$A$2:$A$806,0)),_xll.BDP($A349&amp;" Corp","RTG_SP")))</f>
        <v/>
      </c>
      <c r="I349" s="8">
        <f>IF($A349="","",IFERROR(INDEX(SYZ_static!$S$2:$S$806,MATCH($A349,SYZ_static!$A$2:$A$806,0)),""))</f>
        <v/>
      </c>
      <c r="J349" s="8">
        <f>IF($A349="","",_xll.BDP($A349&amp;" Corp","PAYMENT_RANK"))</f>
        <v/>
      </c>
      <c r="K349" s="9">
        <f>IF($A349="","",_xll.BDP($A349&amp;" Corp","CPN"))</f>
        <v/>
      </c>
      <c r="L349" s="10">
        <f>IF($A349="","",_xll.BDP($A349&amp;" Corp","MATURITY"))</f>
        <v/>
      </c>
      <c r="M349" s="11">
        <f>IF($A349="","",IFERROR(_xll.BDP($A349&amp;" Corp","MIN_PIECE")/1000,""))</f>
        <v/>
      </c>
      <c r="N349" s="12">
        <f>IF($A349="","",_xll.BDP($A349&amp;" Corp","PX_LAST"))</f>
        <v/>
      </c>
      <c r="O349" s="12">
        <f>IF($A349="","",_xll.BDP($A349&amp;" Corp","YAS_BOND_YLD","YAS_YLD_FLAG=15"))</f>
        <v/>
      </c>
      <c r="P349" s="12">
        <f>IF($A349="","",_xll.BDP($A349&amp;" Corp","YAS_MOD_DUR"))</f>
        <v/>
      </c>
      <c r="Q349" s="13">
        <f>IF($A349="","",_xll.BDP($A349&amp;" Corp","YAS_OAS_SPRD"))</f>
        <v/>
      </c>
      <c r="R349" s="13">
        <f>IF($A349="","",_xll.BDP($A349&amp;" Corp","YAS_OAS_SPRD","SETTLE_DT",$B$2))</f>
        <v/>
      </c>
      <c r="S349" s="14">
        <f>IF($A349="","",IF(OR(NOT(ISNUMBER($Q349)),NOT(ISNUMBER($R349))),"",$Q349-$R349))</f>
        <v/>
      </c>
      <c r="T349" s="12">
        <f>IF($A349="","",_xll.BDP($A349&amp;" Corp","YAS_BOND_YLD","YAS_YLD_FLAG=15","SETTLE_DT",$B$2))</f>
        <v/>
      </c>
      <c r="U349" s="15">
        <f>IF($A349="","",IF(OR(NOT(ISNUMBER($O349)),NOT(ISNUMBER($T349))),"",$O349-$T349))</f>
        <v/>
      </c>
      <c r="V349" s="13">
        <f>IF(NOT(ISNUMBER($S349)),"",COUNTIFS($G$7:$G$850,$G349,$S$7:$S$850,"&gt;"&amp;$S349)+COUNTIFS($G$7:$G349,$G349,$S$7:$S349,$S349))</f>
        <v/>
      </c>
      <c r="W349" s="13">
        <f>IF(NOT(ISNUMBER($S349)),"",COUNTIFS($G$7:$G$850,$G349,$S$7:$S$850,"&lt;"&amp;$S349)+COUNTIFS($G$7:$G349,$G349,$S$7:$S349,$S349))</f>
        <v/>
      </c>
      <c r="X349" s="8">
        <f>IF($V349="","",$G349&amp;"|"&amp;$V349)</f>
        <v/>
      </c>
      <c r="Y349" s="8">
        <f>IF($W349="","",$G349&amp;"|"&amp;$W349)</f>
        <v/>
      </c>
    </row>
    <row r="350">
      <c r="A350" s="16" t="inlineStr">
        <is>
          <t>FR001400KHH8</t>
        </is>
      </c>
      <c r="B350" s="17">
        <f>IF($A350="","",PROPER(_xll.BDP($A350&amp;" Corp","NAME")))</f>
        <v/>
      </c>
      <c r="C350" s="17">
        <f>IF($A350="","",IFERROR(INDEX(Company_desc!$B$2:$B$1144,MATCH($A350,Company_desc!$A$2:$A$1144,0)),IFERROR(INDEX(SYZ_static!$Q$2:$Q$806,MATCH($A350,SYZ_static!$A$2:$A$806,0)),"")))</f>
        <v/>
      </c>
      <c r="D350" s="17">
        <f>IF($A350="","",IFERROR(INDEX(SYZ_static!$B$2:$B$806,MATCH($A350,SYZ_static!$A$2:$A$806,0)),""))</f>
        <v/>
      </c>
      <c r="E350" s="17">
        <f>IF($A350="","",_xll.BDP($A350&amp;" Corp","INDUSTRY_SECTOR"))</f>
        <v/>
      </c>
      <c r="F350" s="17">
        <f>IF($A350="","",PROPER(_xll.BDP($A350&amp;" Corp","COUNTRY_FULL_NAME")))</f>
        <v/>
      </c>
      <c r="G350" s="17">
        <f>IF($A350="","",_xll.BDP($A350&amp;" Corp","CRNCY"))</f>
        <v/>
      </c>
      <c r="H350" s="17">
        <f>IF($A350="","",IFERROR(INDEX(SYZ_static!$T$2:$T$806,MATCH($A350,SYZ_static!$A$2:$A$806,0)),_xll.BDP($A350&amp;" Corp","RTG_SP")))</f>
        <v/>
      </c>
      <c r="I350" s="17">
        <f>IF($A350="","",IFERROR(INDEX(SYZ_static!$S$2:$S$806,MATCH($A350,SYZ_static!$A$2:$A$806,0)),""))</f>
        <v/>
      </c>
      <c r="J350" s="17">
        <f>IF($A350="","",_xll.BDP($A350&amp;" Corp","PAYMENT_RANK"))</f>
        <v/>
      </c>
      <c r="K350" s="18">
        <f>IF($A350="","",_xll.BDP($A350&amp;" Corp","CPN"))</f>
        <v/>
      </c>
      <c r="L350" s="19">
        <f>IF($A350="","",_xll.BDP($A350&amp;" Corp","MATURITY"))</f>
        <v/>
      </c>
      <c r="M350" s="20">
        <f>IF($A350="","",IFERROR(_xll.BDP($A350&amp;" Corp","MIN_PIECE")/1000,""))</f>
        <v/>
      </c>
      <c r="N350" s="21">
        <f>IF($A350="","",_xll.BDP($A350&amp;" Corp","PX_LAST"))</f>
        <v/>
      </c>
      <c r="O350" s="21">
        <f>IF($A350="","",_xll.BDP($A350&amp;" Corp","YAS_BOND_YLD","YAS_YLD_FLAG=15"))</f>
        <v/>
      </c>
      <c r="P350" s="21">
        <f>IF($A350="","",_xll.BDP($A350&amp;" Corp","YAS_MOD_DUR"))</f>
        <v/>
      </c>
      <c r="Q350" s="22">
        <f>IF($A350="","",_xll.BDP($A350&amp;" Corp","YAS_OAS_SPRD"))</f>
        <v/>
      </c>
      <c r="R350" s="22">
        <f>IF($A350="","",_xll.BDP($A350&amp;" Corp","YAS_OAS_SPRD","SETTLE_DT",$B$2))</f>
        <v/>
      </c>
      <c r="S350" s="23">
        <f>IF($A350="","",IF(OR(NOT(ISNUMBER($Q350)),NOT(ISNUMBER($R350))),"",$Q350-$R350))</f>
        <v/>
      </c>
      <c r="T350" s="21">
        <f>IF($A350="","",_xll.BDP($A350&amp;" Corp","YAS_BOND_YLD","YAS_YLD_FLAG=15","SETTLE_DT",$B$2))</f>
        <v/>
      </c>
      <c r="U350" s="24">
        <f>IF($A350="","",IF(OR(NOT(ISNUMBER($O350)),NOT(ISNUMBER($T350))),"",$O350-$T350))</f>
        <v/>
      </c>
      <c r="V350" s="22">
        <f>IF(NOT(ISNUMBER($S350)),"",COUNTIFS($G$7:$G$850,$G350,$S$7:$S$850,"&gt;"&amp;$S350)+COUNTIFS($G$7:$G350,$G350,$S$7:$S350,$S350))</f>
        <v/>
      </c>
      <c r="W350" s="22">
        <f>IF(NOT(ISNUMBER($S350)),"",COUNTIFS($G$7:$G$850,$G350,$S$7:$S$850,"&lt;"&amp;$S350)+COUNTIFS($G$7:$G350,$G350,$S$7:$S350,$S350))</f>
        <v/>
      </c>
      <c r="X350" s="17">
        <f>IF($V350="","",$G350&amp;"|"&amp;$V350)</f>
        <v/>
      </c>
      <c r="Y350" s="17">
        <f>IF($W350="","",$G350&amp;"|"&amp;$W350)</f>
        <v/>
      </c>
    </row>
    <row r="351">
      <c r="A351" s="7" t="inlineStr">
        <is>
          <t>XS1199954691</t>
        </is>
      </c>
      <c r="B351" s="8">
        <f>IF($A351="","",PROPER(_xll.BDP($A351&amp;" Corp","NAME")))</f>
        <v/>
      </c>
      <c r="C351" s="8">
        <f>IF($A351="","",IFERROR(INDEX(Company_desc!$B$2:$B$1144,MATCH($A351,Company_desc!$A$2:$A$1144,0)),IFERROR(INDEX(SYZ_static!$Q$2:$Q$806,MATCH($A351,SYZ_static!$A$2:$A$806,0)),"")))</f>
        <v/>
      </c>
      <c r="D351" s="8">
        <f>IF($A351="","",IFERROR(INDEX(SYZ_static!$B$2:$B$806,MATCH($A351,SYZ_static!$A$2:$A$806,0)),""))</f>
        <v/>
      </c>
      <c r="E351" s="8">
        <f>IF($A351="","",_xll.BDP($A351&amp;" Corp","INDUSTRY_SECTOR"))</f>
        <v/>
      </c>
      <c r="F351" s="8">
        <f>IF($A351="","",PROPER(_xll.BDP($A351&amp;" Corp","COUNTRY_FULL_NAME")))</f>
        <v/>
      </c>
      <c r="G351" s="8">
        <f>IF($A351="","",_xll.BDP($A351&amp;" Corp","CRNCY"))</f>
        <v/>
      </c>
      <c r="H351" s="8">
        <f>IF($A351="","",IFERROR(INDEX(SYZ_static!$T$2:$T$806,MATCH($A351,SYZ_static!$A$2:$A$806,0)),_xll.BDP($A351&amp;" Corp","RTG_SP")))</f>
        <v/>
      </c>
      <c r="I351" s="8">
        <f>IF($A351="","",IFERROR(INDEX(SYZ_static!$S$2:$S$806,MATCH($A351,SYZ_static!$A$2:$A$806,0)),""))</f>
        <v/>
      </c>
      <c r="J351" s="8">
        <f>IF($A351="","",_xll.BDP($A351&amp;" Corp","PAYMENT_RANK"))</f>
        <v/>
      </c>
      <c r="K351" s="9">
        <f>IF($A351="","",_xll.BDP($A351&amp;" Corp","CPN"))</f>
        <v/>
      </c>
      <c r="L351" s="10">
        <f>IF($A351="","",_xll.BDP($A351&amp;" Corp","MATURITY"))</f>
        <v/>
      </c>
      <c r="M351" s="11">
        <f>IF($A351="","",IFERROR(_xll.BDP($A351&amp;" Corp","MIN_PIECE")/1000,""))</f>
        <v/>
      </c>
      <c r="N351" s="12">
        <f>IF($A351="","",_xll.BDP($A351&amp;" Corp","PX_LAST"))</f>
        <v/>
      </c>
      <c r="O351" s="12">
        <f>IF($A351="","",_xll.BDP($A351&amp;" Corp","YAS_BOND_YLD","YAS_YLD_FLAG=15"))</f>
        <v/>
      </c>
      <c r="P351" s="12">
        <f>IF($A351="","",_xll.BDP($A351&amp;" Corp","YAS_MOD_DUR"))</f>
        <v/>
      </c>
      <c r="Q351" s="13">
        <f>IF($A351="","",_xll.BDP($A351&amp;" Corp","YAS_OAS_SPRD"))</f>
        <v/>
      </c>
      <c r="R351" s="13">
        <f>IF($A351="","",_xll.BDP($A351&amp;" Corp","YAS_OAS_SPRD","SETTLE_DT",$B$2))</f>
        <v/>
      </c>
      <c r="S351" s="14">
        <f>IF($A351="","",IF(OR(NOT(ISNUMBER($Q351)),NOT(ISNUMBER($R351))),"",$Q351-$R351))</f>
        <v/>
      </c>
      <c r="T351" s="12">
        <f>IF($A351="","",_xll.BDP($A351&amp;" Corp","YAS_BOND_YLD","YAS_YLD_FLAG=15","SETTLE_DT",$B$2))</f>
        <v/>
      </c>
      <c r="U351" s="15">
        <f>IF($A351="","",IF(OR(NOT(ISNUMBER($O351)),NOT(ISNUMBER($T351))),"",$O351-$T351))</f>
        <v/>
      </c>
      <c r="V351" s="13">
        <f>IF(NOT(ISNUMBER($S351)),"",COUNTIFS($G$7:$G$850,$G351,$S$7:$S$850,"&gt;"&amp;$S351)+COUNTIFS($G$7:$G351,$G351,$S$7:$S351,$S351))</f>
        <v/>
      </c>
      <c r="W351" s="13">
        <f>IF(NOT(ISNUMBER($S351)),"",COUNTIFS($G$7:$G$850,$G351,$S$7:$S$850,"&lt;"&amp;$S351)+COUNTIFS($G$7:$G351,$G351,$S$7:$S351,$S351))</f>
        <v/>
      </c>
      <c r="X351" s="8">
        <f>IF($V351="","",$G351&amp;"|"&amp;$V351)</f>
        <v/>
      </c>
      <c r="Y351" s="8">
        <f>IF($W351="","",$G351&amp;"|"&amp;$W351)</f>
        <v/>
      </c>
    </row>
    <row r="352">
      <c r="A352" s="16" t="inlineStr">
        <is>
          <t>US05964HAN52</t>
        </is>
      </c>
      <c r="B352" s="17">
        <f>IF($A352="","",PROPER(_xll.BDP($A352&amp;" Corp","NAME")))</f>
        <v/>
      </c>
      <c r="C352" s="17">
        <f>IF($A352="","",IFERROR(INDEX(Company_desc!$B$2:$B$1144,MATCH($A352,Company_desc!$A$2:$A$1144,0)),IFERROR(INDEX(SYZ_static!$Q$2:$Q$806,MATCH($A352,SYZ_static!$A$2:$A$806,0)),"")))</f>
        <v/>
      </c>
      <c r="D352" s="17">
        <f>IF($A352="","",IFERROR(INDEX(SYZ_static!$B$2:$B$806,MATCH($A352,SYZ_static!$A$2:$A$806,0)),""))</f>
        <v/>
      </c>
      <c r="E352" s="17">
        <f>IF($A352="","",_xll.BDP($A352&amp;" Corp","INDUSTRY_SECTOR"))</f>
        <v/>
      </c>
      <c r="F352" s="17">
        <f>IF($A352="","",PROPER(_xll.BDP($A352&amp;" Corp","COUNTRY_FULL_NAME")))</f>
        <v/>
      </c>
      <c r="G352" s="17">
        <f>IF($A352="","",_xll.BDP($A352&amp;" Corp","CRNCY"))</f>
        <v/>
      </c>
      <c r="H352" s="17">
        <f>IF($A352="","",IFERROR(INDEX(SYZ_static!$T$2:$T$806,MATCH($A352,SYZ_static!$A$2:$A$806,0)),_xll.BDP($A352&amp;" Corp","RTG_SP")))</f>
        <v/>
      </c>
      <c r="I352" s="17">
        <f>IF($A352="","",IFERROR(INDEX(SYZ_static!$S$2:$S$806,MATCH($A352,SYZ_static!$A$2:$A$806,0)),""))</f>
        <v/>
      </c>
      <c r="J352" s="17">
        <f>IF($A352="","",_xll.BDP($A352&amp;" Corp","PAYMENT_RANK"))</f>
        <v/>
      </c>
      <c r="K352" s="18">
        <f>IF($A352="","",_xll.BDP($A352&amp;" Corp","CPN"))</f>
        <v/>
      </c>
      <c r="L352" s="19">
        <f>IF($A352="","",_xll.BDP($A352&amp;" Corp","MATURITY"))</f>
        <v/>
      </c>
      <c r="M352" s="20">
        <f>IF($A352="","",IFERROR(_xll.BDP($A352&amp;" Corp","MIN_PIECE")/1000,""))</f>
        <v/>
      </c>
      <c r="N352" s="21">
        <f>IF($A352="","",_xll.BDP($A352&amp;" Corp","PX_LAST"))</f>
        <v/>
      </c>
      <c r="O352" s="21">
        <f>IF($A352="","",_xll.BDP($A352&amp;" Corp","YAS_BOND_YLD","YAS_YLD_FLAG=15"))</f>
        <v/>
      </c>
      <c r="P352" s="21">
        <f>IF($A352="","",_xll.BDP($A352&amp;" Corp","YAS_MOD_DUR"))</f>
        <v/>
      </c>
      <c r="Q352" s="22">
        <f>IF($A352="","",_xll.BDP($A352&amp;" Corp","YAS_OAS_SPRD"))</f>
        <v/>
      </c>
      <c r="R352" s="22">
        <f>IF($A352="","",_xll.BDP($A352&amp;" Corp","YAS_OAS_SPRD","SETTLE_DT",$B$2))</f>
        <v/>
      </c>
      <c r="S352" s="23">
        <f>IF($A352="","",IF(OR(NOT(ISNUMBER($Q352)),NOT(ISNUMBER($R352))),"",$Q352-$R352))</f>
        <v/>
      </c>
      <c r="T352" s="21">
        <f>IF($A352="","",_xll.BDP($A352&amp;" Corp","YAS_BOND_YLD","YAS_YLD_FLAG=15","SETTLE_DT",$B$2))</f>
        <v/>
      </c>
      <c r="U352" s="24">
        <f>IF($A352="","",IF(OR(NOT(ISNUMBER($O352)),NOT(ISNUMBER($T352))),"",$O352-$T352))</f>
        <v/>
      </c>
      <c r="V352" s="22">
        <f>IF(NOT(ISNUMBER($S352)),"",COUNTIFS($G$7:$G$850,$G352,$S$7:$S$850,"&gt;"&amp;$S352)+COUNTIFS($G$7:$G352,$G352,$S$7:$S352,$S352))</f>
        <v/>
      </c>
      <c r="W352" s="22">
        <f>IF(NOT(ISNUMBER($S352)),"",COUNTIFS($G$7:$G$850,$G352,$S$7:$S$850,"&lt;"&amp;$S352)+COUNTIFS($G$7:$G352,$G352,$S$7:$S352,$S352))</f>
        <v/>
      </c>
      <c r="X352" s="17">
        <f>IF($V352="","",$G352&amp;"|"&amp;$V352)</f>
        <v/>
      </c>
      <c r="Y352" s="17">
        <f>IF($W352="","",$G352&amp;"|"&amp;$W352)</f>
        <v/>
      </c>
    </row>
    <row r="353">
      <c r="A353" s="7" t="inlineStr">
        <is>
          <t>USC10602BK23</t>
        </is>
      </c>
      <c r="B353" s="8">
        <f>IF($A353="","",PROPER(_xll.BDP($A353&amp;" Corp","NAME")))</f>
        <v/>
      </c>
      <c r="C353" s="8">
        <f>IF($A353="","",IFERROR(INDEX(Company_desc!$B$2:$B$1144,MATCH($A353,Company_desc!$A$2:$A$1144,0)),IFERROR(INDEX(SYZ_static!$Q$2:$Q$806,MATCH($A353,SYZ_static!$A$2:$A$806,0)),"")))</f>
        <v/>
      </c>
      <c r="D353" s="8">
        <f>IF($A353="","",IFERROR(INDEX(SYZ_static!$B$2:$B$806,MATCH($A353,SYZ_static!$A$2:$A$806,0)),""))</f>
        <v/>
      </c>
      <c r="E353" s="8">
        <f>IF($A353="","",_xll.BDP($A353&amp;" Corp","INDUSTRY_SECTOR"))</f>
        <v/>
      </c>
      <c r="F353" s="8">
        <f>IF($A353="","",PROPER(_xll.BDP($A353&amp;" Corp","COUNTRY_FULL_NAME")))</f>
        <v/>
      </c>
      <c r="G353" s="8">
        <f>IF($A353="","",_xll.BDP($A353&amp;" Corp","CRNCY"))</f>
        <v/>
      </c>
      <c r="H353" s="8">
        <f>IF($A353="","",IFERROR(INDEX(SYZ_static!$T$2:$T$806,MATCH($A353,SYZ_static!$A$2:$A$806,0)),_xll.BDP($A353&amp;" Corp","RTG_SP")))</f>
        <v/>
      </c>
      <c r="I353" s="8">
        <f>IF($A353="","",IFERROR(INDEX(SYZ_static!$S$2:$S$806,MATCH($A353,SYZ_static!$A$2:$A$806,0)),""))</f>
        <v/>
      </c>
      <c r="J353" s="8">
        <f>IF($A353="","",_xll.BDP($A353&amp;" Corp","PAYMENT_RANK"))</f>
        <v/>
      </c>
      <c r="K353" s="9">
        <f>IF($A353="","",_xll.BDP($A353&amp;" Corp","CPN"))</f>
        <v/>
      </c>
      <c r="L353" s="10">
        <f>IF($A353="","",_xll.BDP($A353&amp;" Corp","MATURITY"))</f>
        <v/>
      </c>
      <c r="M353" s="11">
        <f>IF($A353="","",IFERROR(_xll.BDP($A353&amp;" Corp","MIN_PIECE")/1000,""))</f>
        <v/>
      </c>
      <c r="N353" s="12">
        <f>IF($A353="","",_xll.BDP($A353&amp;" Corp","PX_LAST"))</f>
        <v/>
      </c>
      <c r="O353" s="12">
        <f>IF($A353="","",_xll.BDP($A353&amp;" Corp","YAS_BOND_YLD","YAS_YLD_FLAG=15"))</f>
        <v/>
      </c>
      <c r="P353" s="12">
        <f>IF($A353="","",_xll.BDP($A353&amp;" Corp","YAS_MOD_DUR"))</f>
        <v/>
      </c>
      <c r="Q353" s="13">
        <f>IF($A353="","",_xll.BDP($A353&amp;" Corp","YAS_OAS_SPRD"))</f>
        <v/>
      </c>
      <c r="R353" s="13">
        <f>IF($A353="","",_xll.BDP($A353&amp;" Corp","YAS_OAS_SPRD","SETTLE_DT",$B$2))</f>
        <v/>
      </c>
      <c r="S353" s="14">
        <f>IF($A353="","",IF(OR(NOT(ISNUMBER($Q353)),NOT(ISNUMBER($R353))),"",$Q353-$R353))</f>
        <v/>
      </c>
      <c r="T353" s="12">
        <f>IF($A353="","",_xll.BDP($A353&amp;" Corp","YAS_BOND_YLD","YAS_YLD_FLAG=15","SETTLE_DT",$B$2))</f>
        <v/>
      </c>
      <c r="U353" s="15">
        <f>IF($A353="","",IF(OR(NOT(ISNUMBER($O353)),NOT(ISNUMBER($T353))),"",$O353-$T353))</f>
        <v/>
      </c>
      <c r="V353" s="13">
        <f>IF(NOT(ISNUMBER($S353)),"",COUNTIFS($G$7:$G$850,$G353,$S$7:$S$850,"&gt;"&amp;$S353)+COUNTIFS($G$7:$G353,$G353,$S$7:$S353,$S353))</f>
        <v/>
      </c>
      <c r="W353" s="13">
        <f>IF(NOT(ISNUMBER($S353)),"",COUNTIFS($G$7:$G$850,$G353,$S$7:$S$850,"&lt;"&amp;$S353)+COUNTIFS($G$7:$G353,$G353,$S$7:$S353,$S353))</f>
        <v/>
      </c>
      <c r="X353" s="8">
        <f>IF($V353="","",$G353&amp;"|"&amp;$V353)</f>
        <v/>
      </c>
      <c r="Y353" s="8">
        <f>IF($W353="","",$G353&amp;"|"&amp;$W353)</f>
        <v/>
      </c>
    </row>
    <row r="354">
      <c r="A354" s="16" t="inlineStr">
        <is>
          <t>CH1232107180</t>
        </is>
      </c>
      <c r="B354" s="17">
        <f>IF($A354="","",PROPER(_xll.BDP($A354&amp;" Corp","NAME")))</f>
        <v/>
      </c>
      <c r="C354" s="17">
        <f>IF($A354="","",IFERROR(INDEX(Company_desc!$B$2:$B$1144,MATCH($A354,Company_desc!$A$2:$A$1144,0)),IFERROR(INDEX(SYZ_static!$Q$2:$Q$806,MATCH($A354,SYZ_static!$A$2:$A$806,0)),"")))</f>
        <v/>
      </c>
      <c r="D354" s="17">
        <f>IF($A354="","",IFERROR(INDEX(SYZ_static!$B$2:$B$806,MATCH($A354,SYZ_static!$A$2:$A$806,0)),""))</f>
        <v/>
      </c>
      <c r="E354" s="17">
        <f>IF($A354="","",_xll.BDP($A354&amp;" Corp","INDUSTRY_SECTOR"))</f>
        <v/>
      </c>
      <c r="F354" s="17">
        <f>IF($A354="","",PROPER(_xll.BDP($A354&amp;" Corp","COUNTRY_FULL_NAME")))</f>
        <v/>
      </c>
      <c r="G354" s="17">
        <f>IF($A354="","",_xll.BDP($A354&amp;" Corp","CRNCY"))</f>
        <v/>
      </c>
      <c r="H354" s="17">
        <f>IF($A354="","",IFERROR(INDEX(SYZ_static!$T$2:$T$806,MATCH($A354,SYZ_static!$A$2:$A$806,0)),_xll.BDP($A354&amp;" Corp","RTG_SP")))</f>
        <v/>
      </c>
      <c r="I354" s="17">
        <f>IF($A354="","",IFERROR(INDEX(SYZ_static!$S$2:$S$806,MATCH($A354,SYZ_static!$A$2:$A$806,0)),""))</f>
        <v/>
      </c>
      <c r="J354" s="17">
        <f>IF($A354="","",_xll.BDP($A354&amp;" Corp","PAYMENT_RANK"))</f>
        <v/>
      </c>
      <c r="K354" s="18">
        <f>IF($A354="","",_xll.BDP($A354&amp;" Corp","CPN"))</f>
        <v/>
      </c>
      <c r="L354" s="19">
        <f>IF($A354="","",_xll.BDP($A354&amp;" Corp","MATURITY"))</f>
        <v/>
      </c>
      <c r="M354" s="20">
        <f>IF($A354="","",IFERROR(_xll.BDP($A354&amp;" Corp","MIN_PIECE")/1000,""))</f>
        <v/>
      </c>
      <c r="N354" s="21">
        <f>IF($A354="","",_xll.BDP($A354&amp;" Corp","PX_LAST"))</f>
        <v/>
      </c>
      <c r="O354" s="21">
        <f>IF($A354="","",_xll.BDP($A354&amp;" Corp","YAS_BOND_YLD","YAS_YLD_FLAG=15"))</f>
        <v/>
      </c>
      <c r="P354" s="21">
        <f>IF($A354="","",_xll.BDP($A354&amp;" Corp","YAS_MOD_DUR"))</f>
        <v/>
      </c>
      <c r="Q354" s="22">
        <f>IF($A354="","",_xll.BDP($A354&amp;" Corp","YAS_OAS_SPRD"))</f>
        <v/>
      </c>
      <c r="R354" s="22">
        <f>IF($A354="","",_xll.BDP($A354&amp;" Corp","YAS_OAS_SPRD","SETTLE_DT",$B$2))</f>
        <v/>
      </c>
      <c r="S354" s="23">
        <f>IF($A354="","",IF(OR(NOT(ISNUMBER($Q354)),NOT(ISNUMBER($R354))),"",$Q354-$R354))</f>
        <v/>
      </c>
      <c r="T354" s="21">
        <f>IF($A354="","",_xll.BDP($A354&amp;" Corp","YAS_BOND_YLD","YAS_YLD_FLAG=15","SETTLE_DT",$B$2))</f>
        <v/>
      </c>
      <c r="U354" s="24">
        <f>IF($A354="","",IF(OR(NOT(ISNUMBER($O354)),NOT(ISNUMBER($T354))),"",$O354-$T354))</f>
        <v/>
      </c>
      <c r="V354" s="22">
        <f>IF(NOT(ISNUMBER($S354)),"",COUNTIFS($G$7:$G$850,$G354,$S$7:$S$850,"&gt;"&amp;$S354)+COUNTIFS($G$7:$G354,$G354,$S$7:$S354,$S354))</f>
        <v/>
      </c>
      <c r="W354" s="22">
        <f>IF(NOT(ISNUMBER($S354)),"",COUNTIFS($G$7:$G$850,$G354,$S$7:$S$850,"&lt;"&amp;$S354)+COUNTIFS($G$7:$G354,$G354,$S$7:$S354,$S354))</f>
        <v/>
      </c>
      <c r="X354" s="17">
        <f>IF($V354="","",$G354&amp;"|"&amp;$V354)</f>
        <v/>
      </c>
      <c r="Y354" s="17">
        <f>IF($W354="","",$G354&amp;"|"&amp;$W354)</f>
        <v/>
      </c>
    </row>
    <row r="355">
      <c r="A355" s="7" t="inlineStr">
        <is>
          <t>CH1227937708</t>
        </is>
      </c>
      <c r="B355" s="8">
        <f>IF($A355="","",PROPER(_xll.BDP($A355&amp;" Corp","NAME")))</f>
        <v/>
      </c>
      <c r="C355" s="8">
        <f>IF($A355="","",IFERROR(INDEX(Company_desc!$B$2:$B$1144,MATCH($A355,Company_desc!$A$2:$A$1144,0)),IFERROR(INDEX(SYZ_static!$Q$2:$Q$806,MATCH($A355,SYZ_static!$A$2:$A$806,0)),"")))</f>
        <v/>
      </c>
      <c r="D355" s="8">
        <f>IF($A355="","",IFERROR(INDEX(SYZ_static!$B$2:$B$806,MATCH($A355,SYZ_static!$A$2:$A$806,0)),""))</f>
        <v/>
      </c>
      <c r="E355" s="8">
        <f>IF($A355="","",_xll.BDP($A355&amp;" Corp","INDUSTRY_SECTOR"))</f>
        <v/>
      </c>
      <c r="F355" s="8">
        <f>IF($A355="","",PROPER(_xll.BDP($A355&amp;" Corp","COUNTRY_FULL_NAME")))</f>
        <v/>
      </c>
      <c r="G355" s="8">
        <f>IF($A355="","",_xll.BDP($A355&amp;" Corp","CRNCY"))</f>
        <v/>
      </c>
      <c r="H355" s="8">
        <f>IF($A355="","",IFERROR(INDEX(SYZ_static!$T$2:$T$806,MATCH($A355,SYZ_static!$A$2:$A$806,0)),_xll.BDP($A355&amp;" Corp","RTG_SP")))</f>
        <v/>
      </c>
      <c r="I355" s="8">
        <f>IF($A355="","",IFERROR(INDEX(SYZ_static!$S$2:$S$806,MATCH($A355,SYZ_static!$A$2:$A$806,0)),""))</f>
        <v/>
      </c>
      <c r="J355" s="8">
        <f>IF($A355="","",_xll.BDP($A355&amp;" Corp","PAYMENT_RANK"))</f>
        <v/>
      </c>
      <c r="K355" s="9">
        <f>IF($A355="","",_xll.BDP($A355&amp;" Corp","CPN"))</f>
        <v/>
      </c>
      <c r="L355" s="10">
        <f>IF($A355="","",_xll.BDP($A355&amp;" Corp","MATURITY"))</f>
        <v/>
      </c>
      <c r="M355" s="11">
        <f>IF($A355="","",IFERROR(_xll.BDP($A355&amp;" Corp","MIN_PIECE")/1000,""))</f>
        <v/>
      </c>
      <c r="N355" s="12">
        <f>IF($A355="","",_xll.BDP($A355&amp;" Corp","PX_LAST"))</f>
        <v/>
      </c>
      <c r="O355" s="12">
        <f>IF($A355="","",_xll.BDP($A355&amp;" Corp","YAS_BOND_YLD","YAS_YLD_FLAG=15"))</f>
        <v/>
      </c>
      <c r="P355" s="12">
        <f>IF($A355="","",_xll.BDP($A355&amp;" Corp","YAS_MOD_DUR"))</f>
        <v/>
      </c>
      <c r="Q355" s="13">
        <f>IF($A355="","",_xll.BDP($A355&amp;" Corp","YAS_OAS_SPRD"))</f>
        <v/>
      </c>
      <c r="R355" s="13">
        <f>IF($A355="","",_xll.BDP($A355&amp;" Corp","YAS_OAS_SPRD","SETTLE_DT",$B$2))</f>
        <v/>
      </c>
      <c r="S355" s="14">
        <f>IF($A355="","",IF(OR(NOT(ISNUMBER($Q355)),NOT(ISNUMBER($R355))),"",$Q355-$R355))</f>
        <v/>
      </c>
      <c r="T355" s="12">
        <f>IF($A355="","",_xll.BDP($A355&amp;" Corp","YAS_BOND_YLD","YAS_YLD_FLAG=15","SETTLE_DT",$B$2))</f>
        <v/>
      </c>
      <c r="U355" s="15">
        <f>IF($A355="","",IF(OR(NOT(ISNUMBER($O355)),NOT(ISNUMBER($T355))),"",$O355-$T355))</f>
        <v/>
      </c>
      <c r="V355" s="13">
        <f>IF(NOT(ISNUMBER($S355)),"",COUNTIFS($G$7:$G$850,$G355,$S$7:$S$850,"&gt;"&amp;$S355)+COUNTIFS($G$7:$G355,$G355,$S$7:$S355,$S355))</f>
        <v/>
      </c>
      <c r="W355" s="13">
        <f>IF(NOT(ISNUMBER($S355)),"",COUNTIFS($G$7:$G$850,$G355,$S$7:$S$850,"&lt;"&amp;$S355)+COUNTIFS($G$7:$G355,$G355,$S$7:$S355,$S355))</f>
        <v/>
      </c>
      <c r="X355" s="8">
        <f>IF($V355="","",$G355&amp;"|"&amp;$V355)</f>
        <v/>
      </c>
      <c r="Y355" s="8">
        <f>IF($W355="","",$G355&amp;"|"&amp;$W355)</f>
        <v/>
      </c>
    </row>
    <row r="356">
      <c r="A356" s="16" t="inlineStr">
        <is>
          <t>CH1243651929</t>
        </is>
      </c>
      <c r="B356" s="17">
        <f>IF($A356="","",PROPER(_xll.BDP($A356&amp;" Corp","NAME")))</f>
        <v/>
      </c>
      <c r="C356" s="17">
        <f>IF($A356="","",IFERROR(INDEX(Company_desc!$B$2:$B$1144,MATCH($A356,Company_desc!$A$2:$A$1144,0)),IFERROR(INDEX(SYZ_static!$Q$2:$Q$806,MATCH($A356,SYZ_static!$A$2:$A$806,0)),"")))</f>
        <v/>
      </c>
      <c r="D356" s="17">
        <f>IF($A356="","",IFERROR(INDEX(SYZ_static!$B$2:$B$806,MATCH($A356,SYZ_static!$A$2:$A$806,0)),""))</f>
        <v/>
      </c>
      <c r="E356" s="17">
        <f>IF($A356="","",_xll.BDP($A356&amp;" Corp","INDUSTRY_SECTOR"))</f>
        <v/>
      </c>
      <c r="F356" s="17">
        <f>IF($A356="","",PROPER(_xll.BDP($A356&amp;" Corp","COUNTRY_FULL_NAME")))</f>
        <v/>
      </c>
      <c r="G356" s="17">
        <f>IF($A356="","",_xll.BDP($A356&amp;" Corp","CRNCY"))</f>
        <v/>
      </c>
      <c r="H356" s="17">
        <f>IF($A356="","",IFERROR(INDEX(SYZ_static!$T$2:$T$806,MATCH($A356,SYZ_static!$A$2:$A$806,0)),_xll.BDP($A356&amp;" Corp","RTG_SP")))</f>
        <v/>
      </c>
      <c r="I356" s="17">
        <f>IF($A356="","",IFERROR(INDEX(SYZ_static!$S$2:$S$806,MATCH($A356,SYZ_static!$A$2:$A$806,0)),""))</f>
        <v/>
      </c>
      <c r="J356" s="17">
        <f>IF($A356="","",_xll.BDP($A356&amp;" Corp","PAYMENT_RANK"))</f>
        <v/>
      </c>
      <c r="K356" s="18">
        <f>IF($A356="","",_xll.BDP($A356&amp;" Corp","CPN"))</f>
        <v/>
      </c>
      <c r="L356" s="19">
        <f>IF($A356="","",_xll.BDP($A356&amp;" Corp","MATURITY"))</f>
        <v/>
      </c>
      <c r="M356" s="20">
        <f>IF($A356="","",IFERROR(_xll.BDP($A356&amp;" Corp","MIN_PIECE")/1000,""))</f>
        <v/>
      </c>
      <c r="N356" s="21">
        <f>IF($A356="","",_xll.BDP($A356&amp;" Corp","PX_LAST"))</f>
        <v/>
      </c>
      <c r="O356" s="21">
        <f>IF($A356="","",_xll.BDP($A356&amp;" Corp","YAS_BOND_YLD","YAS_YLD_FLAG=15"))</f>
        <v/>
      </c>
      <c r="P356" s="21">
        <f>IF($A356="","",_xll.BDP($A356&amp;" Corp","YAS_MOD_DUR"))</f>
        <v/>
      </c>
      <c r="Q356" s="22">
        <f>IF($A356="","",_xll.BDP($A356&amp;" Corp","YAS_OAS_SPRD"))</f>
        <v/>
      </c>
      <c r="R356" s="22">
        <f>IF($A356="","",_xll.BDP($A356&amp;" Corp","YAS_OAS_SPRD","SETTLE_DT",$B$2))</f>
        <v/>
      </c>
      <c r="S356" s="23">
        <f>IF($A356="","",IF(OR(NOT(ISNUMBER($Q356)),NOT(ISNUMBER($R356))),"",$Q356-$R356))</f>
        <v/>
      </c>
      <c r="T356" s="21">
        <f>IF($A356="","",_xll.BDP($A356&amp;" Corp","YAS_BOND_YLD","YAS_YLD_FLAG=15","SETTLE_DT",$B$2))</f>
        <v/>
      </c>
      <c r="U356" s="24">
        <f>IF($A356="","",IF(OR(NOT(ISNUMBER($O356)),NOT(ISNUMBER($T356))),"",$O356-$T356))</f>
        <v/>
      </c>
      <c r="V356" s="22">
        <f>IF(NOT(ISNUMBER($S356)),"",COUNTIFS($G$7:$G$850,$G356,$S$7:$S$850,"&gt;"&amp;$S356)+COUNTIFS($G$7:$G356,$G356,$S$7:$S356,$S356))</f>
        <v/>
      </c>
      <c r="W356" s="22">
        <f>IF(NOT(ISNUMBER($S356)),"",COUNTIFS($G$7:$G$850,$G356,$S$7:$S$850,"&lt;"&amp;$S356)+COUNTIFS($G$7:$G356,$G356,$S$7:$S356,$S356))</f>
        <v/>
      </c>
      <c r="X356" s="17">
        <f>IF($V356="","",$G356&amp;"|"&amp;$V356)</f>
        <v/>
      </c>
      <c r="Y356" s="17">
        <f>IF($W356="","",$G356&amp;"|"&amp;$W356)</f>
        <v/>
      </c>
    </row>
    <row r="357">
      <c r="A357" s="7" t="inlineStr">
        <is>
          <t>US30216KAE29</t>
        </is>
      </c>
      <c r="B357" s="8">
        <f>IF($A357="","",PROPER(_xll.BDP($A357&amp;" Corp","NAME")))</f>
        <v/>
      </c>
      <c r="C357" s="8">
        <f>IF($A357="","",IFERROR(INDEX(Company_desc!$B$2:$B$1144,MATCH($A357,Company_desc!$A$2:$A$1144,0)),IFERROR(INDEX(SYZ_static!$Q$2:$Q$806,MATCH($A357,SYZ_static!$A$2:$A$806,0)),"")))</f>
        <v/>
      </c>
      <c r="D357" s="8">
        <f>IF($A357="","",IFERROR(INDEX(SYZ_static!$B$2:$B$806,MATCH($A357,SYZ_static!$A$2:$A$806,0)),""))</f>
        <v/>
      </c>
      <c r="E357" s="8">
        <f>IF($A357="","",_xll.BDP($A357&amp;" Corp","INDUSTRY_SECTOR"))</f>
        <v/>
      </c>
      <c r="F357" s="8">
        <f>IF($A357="","",PROPER(_xll.BDP($A357&amp;" Corp","COUNTRY_FULL_NAME")))</f>
        <v/>
      </c>
      <c r="G357" s="8">
        <f>IF($A357="","",_xll.BDP($A357&amp;" Corp","CRNCY"))</f>
        <v/>
      </c>
      <c r="H357" s="8">
        <f>IF($A357="","",IFERROR(INDEX(SYZ_static!$T$2:$T$806,MATCH($A357,SYZ_static!$A$2:$A$806,0)),_xll.BDP($A357&amp;" Corp","RTG_SP")))</f>
        <v/>
      </c>
      <c r="I357" s="8">
        <f>IF($A357="","",IFERROR(INDEX(SYZ_static!$S$2:$S$806,MATCH($A357,SYZ_static!$A$2:$A$806,0)),""))</f>
        <v/>
      </c>
      <c r="J357" s="8">
        <f>IF($A357="","",_xll.BDP($A357&amp;" Corp","PAYMENT_RANK"))</f>
        <v/>
      </c>
      <c r="K357" s="9">
        <f>IF($A357="","",_xll.BDP($A357&amp;" Corp","CPN"))</f>
        <v/>
      </c>
      <c r="L357" s="10">
        <f>IF($A357="","",_xll.BDP($A357&amp;" Corp","MATURITY"))</f>
        <v/>
      </c>
      <c r="M357" s="11">
        <f>IF($A357="","",IFERROR(_xll.BDP($A357&amp;" Corp","MIN_PIECE")/1000,""))</f>
        <v/>
      </c>
      <c r="N357" s="12">
        <f>IF($A357="","",_xll.BDP($A357&amp;" Corp","PX_LAST"))</f>
        <v/>
      </c>
      <c r="O357" s="12">
        <f>IF($A357="","",_xll.BDP($A357&amp;" Corp","YAS_BOND_YLD","YAS_YLD_FLAG=15"))</f>
        <v/>
      </c>
      <c r="P357" s="12">
        <f>IF($A357="","",_xll.BDP($A357&amp;" Corp","YAS_MOD_DUR"))</f>
        <v/>
      </c>
      <c r="Q357" s="13">
        <f>IF($A357="","",_xll.BDP($A357&amp;" Corp","YAS_OAS_SPRD"))</f>
        <v/>
      </c>
      <c r="R357" s="13">
        <f>IF($A357="","",_xll.BDP($A357&amp;" Corp","YAS_OAS_SPRD","SETTLE_DT",$B$2))</f>
        <v/>
      </c>
      <c r="S357" s="14">
        <f>IF($A357="","",IF(OR(NOT(ISNUMBER($Q357)),NOT(ISNUMBER($R357))),"",$Q357-$R357))</f>
        <v/>
      </c>
      <c r="T357" s="12">
        <f>IF($A357="","",_xll.BDP($A357&amp;" Corp","YAS_BOND_YLD","YAS_YLD_FLAG=15","SETTLE_DT",$B$2))</f>
        <v/>
      </c>
      <c r="U357" s="15">
        <f>IF($A357="","",IF(OR(NOT(ISNUMBER($O357)),NOT(ISNUMBER($T357))),"",$O357-$T357))</f>
        <v/>
      </c>
      <c r="V357" s="13">
        <f>IF(NOT(ISNUMBER($S357)),"",COUNTIFS($G$7:$G$850,$G357,$S$7:$S$850,"&gt;"&amp;$S357)+COUNTIFS($G$7:$G357,$G357,$S$7:$S357,$S357))</f>
        <v/>
      </c>
      <c r="W357" s="13">
        <f>IF(NOT(ISNUMBER($S357)),"",COUNTIFS($G$7:$G$850,$G357,$S$7:$S$850,"&lt;"&amp;$S357)+COUNTIFS($G$7:$G357,$G357,$S$7:$S357,$S357))</f>
        <v/>
      </c>
      <c r="X357" s="8">
        <f>IF($V357="","",$G357&amp;"|"&amp;$V357)</f>
        <v/>
      </c>
      <c r="Y357" s="8">
        <f>IF($W357="","",$G357&amp;"|"&amp;$W357)</f>
        <v/>
      </c>
    </row>
    <row r="358">
      <c r="A358" s="16" t="inlineStr">
        <is>
          <t>CH1142512347</t>
        </is>
      </c>
      <c r="B358" s="17">
        <f>IF($A358="","",PROPER(_xll.BDP($A358&amp;" Corp","NAME")))</f>
        <v/>
      </c>
      <c r="C358" s="17">
        <f>IF($A358="","",IFERROR(INDEX(Company_desc!$B$2:$B$1144,MATCH($A358,Company_desc!$A$2:$A$1144,0)),IFERROR(INDEX(SYZ_static!$Q$2:$Q$806,MATCH($A358,SYZ_static!$A$2:$A$806,0)),"")))</f>
        <v/>
      </c>
      <c r="D358" s="17">
        <f>IF($A358="","",IFERROR(INDEX(SYZ_static!$B$2:$B$806,MATCH($A358,SYZ_static!$A$2:$A$806,0)),""))</f>
        <v/>
      </c>
      <c r="E358" s="17">
        <f>IF($A358="","",_xll.BDP($A358&amp;" Corp","INDUSTRY_SECTOR"))</f>
        <v/>
      </c>
      <c r="F358" s="17">
        <f>IF($A358="","",PROPER(_xll.BDP($A358&amp;" Corp","COUNTRY_FULL_NAME")))</f>
        <v/>
      </c>
      <c r="G358" s="17">
        <f>IF($A358="","",_xll.BDP($A358&amp;" Corp","CRNCY"))</f>
        <v/>
      </c>
      <c r="H358" s="17">
        <f>IF($A358="","",IFERROR(INDEX(SYZ_static!$T$2:$T$806,MATCH($A358,SYZ_static!$A$2:$A$806,0)),_xll.BDP($A358&amp;" Corp","RTG_SP")))</f>
        <v/>
      </c>
      <c r="I358" s="17">
        <f>IF($A358="","",IFERROR(INDEX(SYZ_static!$S$2:$S$806,MATCH($A358,SYZ_static!$A$2:$A$806,0)),""))</f>
        <v/>
      </c>
      <c r="J358" s="17">
        <f>IF($A358="","",_xll.BDP($A358&amp;" Corp","PAYMENT_RANK"))</f>
        <v/>
      </c>
      <c r="K358" s="18">
        <f>IF($A358="","",_xll.BDP($A358&amp;" Corp","CPN"))</f>
        <v/>
      </c>
      <c r="L358" s="19">
        <f>IF($A358="","",_xll.BDP($A358&amp;" Corp","MATURITY"))</f>
        <v/>
      </c>
      <c r="M358" s="20">
        <f>IF($A358="","",IFERROR(_xll.BDP($A358&amp;" Corp","MIN_PIECE")/1000,""))</f>
        <v/>
      </c>
      <c r="N358" s="21">
        <f>IF($A358="","",_xll.BDP($A358&amp;" Corp","PX_LAST"))</f>
        <v/>
      </c>
      <c r="O358" s="21">
        <f>IF($A358="","",_xll.BDP($A358&amp;" Corp","YAS_BOND_YLD","YAS_YLD_FLAG=15"))</f>
        <v/>
      </c>
      <c r="P358" s="21">
        <f>IF($A358="","",_xll.BDP($A358&amp;" Corp","YAS_MOD_DUR"))</f>
        <v/>
      </c>
      <c r="Q358" s="22">
        <f>IF($A358="","",_xll.BDP($A358&amp;" Corp","YAS_OAS_SPRD"))</f>
        <v/>
      </c>
      <c r="R358" s="22">
        <f>IF($A358="","",_xll.BDP($A358&amp;" Corp","YAS_OAS_SPRD","SETTLE_DT",$B$2))</f>
        <v/>
      </c>
      <c r="S358" s="23">
        <f>IF($A358="","",IF(OR(NOT(ISNUMBER($Q358)),NOT(ISNUMBER($R358))),"",$Q358-$R358))</f>
        <v/>
      </c>
      <c r="T358" s="21">
        <f>IF($A358="","",_xll.BDP($A358&amp;" Corp","YAS_BOND_YLD","YAS_YLD_FLAG=15","SETTLE_DT",$B$2))</f>
        <v/>
      </c>
      <c r="U358" s="24">
        <f>IF($A358="","",IF(OR(NOT(ISNUMBER($O358)),NOT(ISNUMBER($T358))),"",$O358-$T358))</f>
        <v/>
      </c>
      <c r="V358" s="22">
        <f>IF(NOT(ISNUMBER($S358)),"",COUNTIFS($G$7:$G$850,$G358,$S$7:$S$850,"&gt;"&amp;$S358)+COUNTIFS($G$7:$G358,$G358,$S$7:$S358,$S358))</f>
        <v/>
      </c>
      <c r="W358" s="22">
        <f>IF(NOT(ISNUMBER($S358)),"",COUNTIFS($G$7:$G$850,$G358,$S$7:$S$850,"&lt;"&amp;$S358)+COUNTIFS($G$7:$G358,$G358,$S$7:$S358,$S358))</f>
        <v/>
      </c>
      <c r="X358" s="17">
        <f>IF($V358="","",$G358&amp;"|"&amp;$V358)</f>
        <v/>
      </c>
      <c r="Y358" s="17">
        <f>IF($W358="","",$G358&amp;"|"&amp;$W358)</f>
        <v/>
      </c>
    </row>
    <row r="359">
      <c r="A359" s="7" t="inlineStr">
        <is>
          <t>USP2205JAQ33</t>
        </is>
      </c>
      <c r="B359" s="8">
        <f>IF($A359="","",PROPER(_xll.BDP($A359&amp;" Corp","NAME")))</f>
        <v/>
      </c>
      <c r="C359" s="8">
        <f>IF($A359="","",IFERROR(INDEX(Company_desc!$B$2:$B$1144,MATCH($A359,Company_desc!$A$2:$A$1144,0)),IFERROR(INDEX(SYZ_static!$Q$2:$Q$806,MATCH($A359,SYZ_static!$A$2:$A$806,0)),"")))</f>
        <v/>
      </c>
      <c r="D359" s="8">
        <f>IF($A359="","",IFERROR(INDEX(SYZ_static!$B$2:$B$806,MATCH($A359,SYZ_static!$A$2:$A$806,0)),""))</f>
        <v/>
      </c>
      <c r="E359" s="8">
        <f>IF($A359="","",_xll.BDP($A359&amp;" Corp","INDUSTRY_SECTOR"))</f>
        <v/>
      </c>
      <c r="F359" s="8">
        <f>IF($A359="","",PROPER(_xll.BDP($A359&amp;" Corp","COUNTRY_FULL_NAME")))</f>
        <v/>
      </c>
      <c r="G359" s="8">
        <f>IF($A359="","",_xll.BDP($A359&amp;" Corp","CRNCY"))</f>
        <v/>
      </c>
      <c r="H359" s="8">
        <f>IF($A359="","",IFERROR(INDEX(SYZ_static!$T$2:$T$806,MATCH($A359,SYZ_static!$A$2:$A$806,0)),_xll.BDP($A359&amp;" Corp","RTG_SP")))</f>
        <v/>
      </c>
      <c r="I359" s="8">
        <f>IF($A359="","",IFERROR(INDEX(SYZ_static!$S$2:$S$806,MATCH($A359,SYZ_static!$A$2:$A$806,0)),""))</f>
        <v/>
      </c>
      <c r="J359" s="8">
        <f>IF($A359="","",_xll.BDP($A359&amp;" Corp","PAYMENT_RANK"))</f>
        <v/>
      </c>
      <c r="K359" s="9">
        <f>IF($A359="","",_xll.BDP($A359&amp;" Corp","CPN"))</f>
        <v/>
      </c>
      <c r="L359" s="10">
        <f>IF($A359="","",_xll.BDP($A359&amp;" Corp","MATURITY"))</f>
        <v/>
      </c>
      <c r="M359" s="11">
        <f>IF($A359="","",IFERROR(_xll.BDP($A359&amp;" Corp","MIN_PIECE")/1000,""))</f>
        <v/>
      </c>
      <c r="N359" s="12">
        <f>IF($A359="","",_xll.BDP($A359&amp;" Corp","PX_LAST"))</f>
        <v/>
      </c>
      <c r="O359" s="12">
        <f>IF($A359="","",_xll.BDP($A359&amp;" Corp","YAS_BOND_YLD","YAS_YLD_FLAG=15"))</f>
        <v/>
      </c>
      <c r="P359" s="12">
        <f>IF($A359="","",_xll.BDP($A359&amp;" Corp","YAS_MOD_DUR"))</f>
        <v/>
      </c>
      <c r="Q359" s="13">
        <f>IF($A359="","",_xll.BDP($A359&amp;" Corp","YAS_OAS_SPRD"))</f>
        <v/>
      </c>
      <c r="R359" s="13">
        <f>IF($A359="","",_xll.BDP($A359&amp;" Corp","YAS_OAS_SPRD","SETTLE_DT",$B$2))</f>
        <v/>
      </c>
      <c r="S359" s="14">
        <f>IF($A359="","",IF(OR(NOT(ISNUMBER($Q359)),NOT(ISNUMBER($R359))),"",$Q359-$R359))</f>
        <v/>
      </c>
      <c r="T359" s="12">
        <f>IF($A359="","",_xll.BDP($A359&amp;" Corp","YAS_BOND_YLD","YAS_YLD_FLAG=15","SETTLE_DT",$B$2))</f>
        <v/>
      </c>
      <c r="U359" s="15">
        <f>IF($A359="","",IF(OR(NOT(ISNUMBER($O359)),NOT(ISNUMBER($T359))),"",$O359-$T359))</f>
        <v/>
      </c>
      <c r="V359" s="13">
        <f>IF(NOT(ISNUMBER($S359)),"",COUNTIFS($G$7:$G$850,$G359,$S$7:$S$850,"&gt;"&amp;$S359)+COUNTIFS($G$7:$G359,$G359,$S$7:$S359,$S359))</f>
        <v/>
      </c>
      <c r="W359" s="13">
        <f>IF(NOT(ISNUMBER($S359)),"",COUNTIFS($G$7:$G$850,$G359,$S$7:$S$850,"&lt;"&amp;$S359)+COUNTIFS($G$7:$G359,$G359,$S$7:$S359,$S359))</f>
        <v/>
      </c>
      <c r="X359" s="8">
        <f>IF($V359="","",$G359&amp;"|"&amp;$V359)</f>
        <v/>
      </c>
      <c r="Y359" s="8">
        <f>IF($W359="","",$G359&amp;"|"&amp;$W359)</f>
        <v/>
      </c>
    </row>
    <row r="360">
      <c r="A360" s="16" t="inlineStr">
        <is>
          <t>CH1371736831</t>
        </is>
      </c>
      <c r="B360" s="17">
        <f>IF($A360="","",PROPER(_xll.BDP($A360&amp;" Corp","NAME")))</f>
        <v/>
      </c>
      <c r="C360" s="17">
        <f>IF($A360="","",IFERROR(INDEX(Company_desc!$B$2:$B$1144,MATCH($A360,Company_desc!$A$2:$A$1144,0)),IFERROR(INDEX(SYZ_static!$Q$2:$Q$806,MATCH($A360,SYZ_static!$A$2:$A$806,0)),"")))</f>
        <v/>
      </c>
      <c r="D360" s="17">
        <f>IF($A360="","",IFERROR(INDEX(SYZ_static!$B$2:$B$806,MATCH($A360,SYZ_static!$A$2:$A$806,0)),""))</f>
        <v/>
      </c>
      <c r="E360" s="17">
        <f>IF($A360="","",_xll.BDP($A360&amp;" Corp","INDUSTRY_SECTOR"))</f>
        <v/>
      </c>
      <c r="F360" s="17">
        <f>IF($A360="","",PROPER(_xll.BDP($A360&amp;" Corp","COUNTRY_FULL_NAME")))</f>
        <v/>
      </c>
      <c r="G360" s="17">
        <f>IF($A360="","",_xll.BDP($A360&amp;" Corp","CRNCY"))</f>
        <v/>
      </c>
      <c r="H360" s="17">
        <f>IF($A360="","",IFERROR(INDEX(SYZ_static!$T$2:$T$806,MATCH($A360,SYZ_static!$A$2:$A$806,0)),_xll.BDP($A360&amp;" Corp","RTG_SP")))</f>
        <v/>
      </c>
      <c r="I360" s="17">
        <f>IF($A360="","",IFERROR(INDEX(SYZ_static!$S$2:$S$806,MATCH($A360,SYZ_static!$A$2:$A$806,0)),""))</f>
        <v/>
      </c>
      <c r="J360" s="17">
        <f>IF($A360="","",_xll.BDP($A360&amp;" Corp","PAYMENT_RANK"))</f>
        <v/>
      </c>
      <c r="K360" s="18">
        <f>IF($A360="","",_xll.BDP($A360&amp;" Corp","CPN"))</f>
        <v/>
      </c>
      <c r="L360" s="19">
        <f>IF($A360="","",_xll.BDP($A360&amp;" Corp","MATURITY"))</f>
        <v/>
      </c>
      <c r="M360" s="20">
        <f>IF($A360="","",IFERROR(_xll.BDP($A360&amp;" Corp","MIN_PIECE")/1000,""))</f>
        <v/>
      </c>
      <c r="N360" s="21">
        <f>IF($A360="","",_xll.BDP($A360&amp;" Corp","PX_LAST"))</f>
        <v/>
      </c>
      <c r="O360" s="21">
        <f>IF($A360="","",_xll.BDP($A360&amp;" Corp","YAS_BOND_YLD","YAS_YLD_FLAG=15"))</f>
        <v/>
      </c>
      <c r="P360" s="21">
        <f>IF($A360="","",_xll.BDP($A360&amp;" Corp","YAS_MOD_DUR"))</f>
        <v/>
      </c>
      <c r="Q360" s="22">
        <f>IF($A360="","",_xll.BDP($A360&amp;" Corp","YAS_OAS_SPRD"))</f>
        <v/>
      </c>
      <c r="R360" s="22">
        <f>IF($A360="","",_xll.BDP($A360&amp;" Corp","YAS_OAS_SPRD","SETTLE_DT",$B$2))</f>
        <v/>
      </c>
      <c r="S360" s="23">
        <f>IF($A360="","",IF(OR(NOT(ISNUMBER($Q360)),NOT(ISNUMBER($R360))),"",$Q360-$R360))</f>
        <v/>
      </c>
      <c r="T360" s="21">
        <f>IF($A360="","",_xll.BDP($A360&amp;" Corp","YAS_BOND_YLD","YAS_YLD_FLAG=15","SETTLE_DT",$B$2))</f>
        <v/>
      </c>
      <c r="U360" s="24">
        <f>IF($A360="","",IF(OR(NOT(ISNUMBER($O360)),NOT(ISNUMBER($T360))),"",$O360-$T360))</f>
        <v/>
      </c>
      <c r="V360" s="22">
        <f>IF(NOT(ISNUMBER($S360)),"",COUNTIFS($G$7:$G$850,$G360,$S$7:$S$850,"&gt;"&amp;$S360)+COUNTIFS($G$7:$G360,$G360,$S$7:$S360,$S360))</f>
        <v/>
      </c>
      <c r="W360" s="22">
        <f>IF(NOT(ISNUMBER($S360)),"",COUNTIFS($G$7:$G$850,$G360,$S$7:$S$850,"&lt;"&amp;$S360)+COUNTIFS($G$7:$G360,$G360,$S$7:$S360,$S360))</f>
        <v/>
      </c>
      <c r="X360" s="17">
        <f>IF($V360="","",$G360&amp;"|"&amp;$V360)</f>
        <v/>
      </c>
      <c r="Y360" s="17">
        <f>IF($W360="","",$G360&amp;"|"&amp;$W360)</f>
        <v/>
      </c>
    </row>
    <row r="361">
      <c r="A361" s="7" t="inlineStr">
        <is>
          <t>FR0013518057</t>
        </is>
      </c>
      <c r="B361" s="8">
        <f>IF($A361="","",PROPER(_xll.BDP($A361&amp;" Corp","NAME")))</f>
        <v/>
      </c>
      <c r="C361" s="8">
        <f>IF($A361="","",IFERROR(INDEX(Company_desc!$B$2:$B$1144,MATCH($A361,Company_desc!$A$2:$A$1144,0)),IFERROR(INDEX(SYZ_static!$Q$2:$Q$806,MATCH($A361,SYZ_static!$A$2:$A$806,0)),"")))</f>
        <v/>
      </c>
      <c r="D361" s="8">
        <f>IF($A361="","",IFERROR(INDEX(SYZ_static!$B$2:$B$806,MATCH($A361,SYZ_static!$A$2:$A$806,0)),""))</f>
        <v/>
      </c>
      <c r="E361" s="8">
        <f>IF($A361="","",_xll.BDP($A361&amp;" Corp","INDUSTRY_SECTOR"))</f>
        <v/>
      </c>
      <c r="F361" s="8">
        <f>IF($A361="","",PROPER(_xll.BDP($A361&amp;" Corp","COUNTRY_FULL_NAME")))</f>
        <v/>
      </c>
      <c r="G361" s="8">
        <f>IF($A361="","",_xll.BDP($A361&amp;" Corp","CRNCY"))</f>
        <v/>
      </c>
      <c r="H361" s="8">
        <f>IF($A361="","",IFERROR(INDEX(SYZ_static!$T$2:$T$806,MATCH($A361,SYZ_static!$A$2:$A$806,0)),_xll.BDP($A361&amp;" Corp","RTG_SP")))</f>
        <v/>
      </c>
      <c r="I361" s="8">
        <f>IF($A361="","",IFERROR(INDEX(SYZ_static!$S$2:$S$806,MATCH($A361,SYZ_static!$A$2:$A$806,0)),""))</f>
        <v/>
      </c>
      <c r="J361" s="8">
        <f>IF($A361="","",_xll.BDP($A361&amp;" Corp","PAYMENT_RANK"))</f>
        <v/>
      </c>
      <c r="K361" s="9">
        <f>IF($A361="","",_xll.BDP($A361&amp;" Corp","CPN"))</f>
        <v/>
      </c>
      <c r="L361" s="10">
        <f>IF($A361="","",_xll.BDP($A361&amp;" Corp","MATURITY"))</f>
        <v/>
      </c>
      <c r="M361" s="11">
        <f>IF($A361="","",IFERROR(_xll.BDP($A361&amp;" Corp","MIN_PIECE")/1000,""))</f>
        <v/>
      </c>
      <c r="N361" s="12">
        <f>IF($A361="","",_xll.BDP($A361&amp;" Corp","PX_LAST"))</f>
        <v/>
      </c>
      <c r="O361" s="12">
        <f>IF($A361="","",_xll.BDP($A361&amp;" Corp","YAS_BOND_YLD","YAS_YLD_FLAG=15"))</f>
        <v/>
      </c>
      <c r="P361" s="12">
        <f>IF($A361="","",_xll.BDP($A361&amp;" Corp","YAS_MOD_DUR"))</f>
        <v/>
      </c>
      <c r="Q361" s="13">
        <f>IF($A361="","",_xll.BDP($A361&amp;" Corp","YAS_OAS_SPRD"))</f>
        <v/>
      </c>
      <c r="R361" s="13">
        <f>IF($A361="","",_xll.BDP($A361&amp;" Corp","YAS_OAS_SPRD","SETTLE_DT",$B$2))</f>
        <v/>
      </c>
      <c r="S361" s="14">
        <f>IF($A361="","",IF(OR(NOT(ISNUMBER($Q361)),NOT(ISNUMBER($R361))),"",$Q361-$R361))</f>
        <v/>
      </c>
      <c r="T361" s="12">
        <f>IF($A361="","",_xll.BDP($A361&amp;" Corp","YAS_BOND_YLD","YAS_YLD_FLAG=15","SETTLE_DT",$B$2))</f>
        <v/>
      </c>
      <c r="U361" s="15">
        <f>IF($A361="","",IF(OR(NOT(ISNUMBER($O361)),NOT(ISNUMBER($T361))),"",$O361-$T361))</f>
        <v/>
      </c>
      <c r="V361" s="13">
        <f>IF(NOT(ISNUMBER($S361)),"",COUNTIFS($G$7:$G$850,$G361,$S$7:$S$850,"&gt;"&amp;$S361)+COUNTIFS($G$7:$G361,$G361,$S$7:$S361,$S361))</f>
        <v/>
      </c>
      <c r="W361" s="13">
        <f>IF(NOT(ISNUMBER($S361)),"",COUNTIFS($G$7:$G$850,$G361,$S$7:$S$850,"&lt;"&amp;$S361)+COUNTIFS($G$7:$G361,$G361,$S$7:$S361,$S361))</f>
        <v/>
      </c>
      <c r="X361" s="8">
        <f>IF($V361="","",$G361&amp;"|"&amp;$V361)</f>
        <v/>
      </c>
      <c r="Y361" s="8">
        <f>IF($W361="","",$G361&amp;"|"&amp;$W361)</f>
        <v/>
      </c>
    </row>
    <row r="362">
      <c r="A362" s="16" t="inlineStr">
        <is>
          <t>XS2801963716</t>
        </is>
      </c>
      <c r="B362" s="17">
        <f>IF($A362="","",PROPER(_xll.BDP($A362&amp;" Corp","NAME")))</f>
        <v/>
      </c>
      <c r="C362" s="17">
        <f>IF($A362="","",IFERROR(INDEX(Company_desc!$B$2:$B$1144,MATCH($A362,Company_desc!$A$2:$A$1144,0)),IFERROR(INDEX(SYZ_static!$Q$2:$Q$806,MATCH($A362,SYZ_static!$A$2:$A$806,0)),"")))</f>
        <v/>
      </c>
      <c r="D362" s="17">
        <f>IF($A362="","",IFERROR(INDEX(SYZ_static!$B$2:$B$806,MATCH($A362,SYZ_static!$A$2:$A$806,0)),""))</f>
        <v/>
      </c>
      <c r="E362" s="17">
        <f>IF($A362="","",_xll.BDP($A362&amp;" Corp","INDUSTRY_SECTOR"))</f>
        <v/>
      </c>
      <c r="F362" s="17">
        <f>IF($A362="","",PROPER(_xll.BDP($A362&amp;" Corp","COUNTRY_FULL_NAME")))</f>
        <v/>
      </c>
      <c r="G362" s="17">
        <f>IF($A362="","",_xll.BDP($A362&amp;" Corp","CRNCY"))</f>
        <v/>
      </c>
      <c r="H362" s="17">
        <f>IF($A362="","",IFERROR(INDEX(SYZ_static!$T$2:$T$806,MATCH($A362,SYZ_static!$A$2:$A$806,0)),_xll.BDP($A362&amp;" Corp","RTG_SP")))</f>
        <v/>
      </c>
      <c r="I362" s="17">
        <f>IF($A362="","",IFERROR(INDEX(SYZ_static!$S$2:$S$806,MATCH($A362,SYZ_static!$A$2:$A$806,0)),""))</f>
        <v/>
      </c>
      <c r="J362" s="17">
        <f>IF($A362="","",_xll.BDP($A362&amp;" Corp","PAYMENT_RANK"))</f>
        <v/>
      </c>
      <c r="K362" s="18">
        <f>IF($A362="","",_xll.BDP($A362&amp;" Corp","CPN"))</f>
        <v/>
      </c>
      <c r="L362" s="19">
        <f>IF($A362="","",_xll.BDP($A362&amp;" Corp","MATURITY"))</f>
        <v/>
      </c>
      <c r="M362" s="20">
        <f>IF($A362="","",IFERROR(_xll.BDP($A362&amp;" Corp","MIN_PIECE")/1000,""))</f>
        <v/>
      </c>
      <c r="N362" s="21">
        <f>IF($A362="","",_xll.BDP($A362&amp;" Corp","PX_LAST"))</f>
        <v/>
      </c>
      <c r="O362" s="21">
        <f>IF($A362="","",_xll.BDP($A362&amp;" Corp","YAS_BOND_YLD","YAS_YLD_FLAG=15"))</f>
        <v/>
      </c>
      <c r="P362" s="21">
        <f>IF($A362="","",_xll.BDP($A362&amp;" Corp","YAS_MOD_DUR"))</f>
        <v/>
      </c>
      <c r="Q362" s="22">
        <f>IF($A362="","",_xll.BDP($A362&amp;" Corp","YAS_OAS_SPRD"))</f>
        <v/>
      </c>
      <c r="R362" s="22">
        <f>IF($A362="","",_xll.BDP($A362&amp;" Corp","YAS_OAS_SPRD","SETTLE_DT",$B$2))</f>
        <v/>
      </c>
      <c r="S362" s="23">
        <f>IF($A362="","",IF(OR(NOT(ISNUMBER($Q362)),NOT(ISNUMBER($R362))),"",$Q362-$R362))</f>
        <v/>
      </c>
      <c r="T362" s="21">
        <f>IF($A362="","",_xll.BDP($A362&amp;" Corp","YAS_BOND_YLD","YAS_YLD_FLAG=15","SETTLE_DT",$B$2))</f>
        <v/>
      </c>
      <c r="U362" s="24">
        <f>IF($A362="","",IF(OR(NOT(ISNUMBER($O362)),NOT(ISNUMBER($T362))),"",$O362-$T362))</f>
        <v/>
      </c>
      <c r="V362" s="22">
        <f>IF(NOT(ISNUMBER($S362)),"",COUNTIFS($G$7:$G$850,$G362,$S$7:$S$850,"&gt;"&amp;$S362)+COUNTIFS($G$7:$G362,$G362,$S$7:$S362,$S362))</f>
        <v/>
      </c>
      <c r="W362" s="22">
        <f>IF(NOT(ISNUMBER($S362)),"",COUNTIFS($G$7:$G$850,$G362,$S$7:$S$850,"&lt;"&amp;$S362)+COUNTIFS($G$7:$G362,$G362,$S$7:$S362,$S362))</f>
        <v/>
      </c>
      <c r="X362" s="17">
        <f>IF($V362="","",$G362&amp;"|"&amp;$V362)</f>
        <v/>
      </c>
      <c r="Y362" s="17">
        <f>IF($W362="","",$G362&amp;"|"&amp;$W362)</f>
        <v/>
      </c>
    </row>
    <row r="363">
      <c r="A363" s="7" t="inlineStr">
        <is>
          <t>FR0014008NE2</t>
        </is>
      </c>
      <c r="B363" s="8">
        <f>IF($A363="","",PROPER(_xll.BDP($A363&amp;" Corp","NAME")))</f>
        <v/>
      </c>
      <c r="C363" s="8">
        <f>IF($A363="","",IFERROR(INDEX(Company_desc!$B$2:$B$1144,MATCH($A363,Company_desc!$A$2:$A$1144,0)),IFERROR(INDEX(SYZ_static!$Q$2:$Q$806,MATCH($A363,SYZ_static!$A$2:$A$806,0)),"")))</f>
        <v/>
      </c>
      <c r="D363" s="8">
        <f>IF($A363="","",IFERROR(INDEX(SYZ_static!$B$2:$B$806,MATCH($A363,SYZ_static!$A$2:$A$806,0)),""))</f>
        <v/>
      </c>
      <c r="E363" s="8">
        <f>IF($A363="","",_xll.BDP($A363&amp;" Corp","INDUSTRY_SECTOR"))</f>
        <v/>
      </c>
      <c r="F363" s="8">
        <f>IF($A363="","",PROPER(_xll.BDP($A363&amp;" Corp","COUNTRY_FULL_NAME")))</f>
        <v/>
      </c>
      <c r="G363" s="8">
        <f>IF($A363="","",_xll.BDP($A363&amp;" Corp","CRNCY"))</f>
        <v/>
      </c>
      <c r="H363" s="8">
        <f>IF($A363="","",IFERROR(INDEX(SYZ_static!$T$2:$T$806,MATCH($A363,SYZ_static!$A$2:$A$806,0)),_xll.BDP($A363&amp;" Corp","RTG_SP")))</f>
        <v/>
      </c>
      <c r="I363" s="8">
        <f>IF($A363="","",IFERROR(INDEX(SYZ_static!$S$2:$S$806,MATCH($A363,SYZ_static!$A$2:$A$806,0)),""))</f>
        <v/>
      </c>
      <c r="J363" s="8">
        <f>IF($A363="","",_xll.BDP($A363&amp;" Corp","PAYMENT_RANK"))</f>
        <v/>
      </c>
      <c r="K363" s="9">
        <f>IF($A363="","",_xll.BDP($A363&amp;" Corp","CPN"))</f>
        <v/>
      </c>
      <c r="L363" s="10">
        <f>IF($A363="","",_xll.BDP($A363&amp;" Corp","MATURITY"))</f>
        <v/>
      </c>
      <c r="M363" s="11">
        <f>IF($A363="","",IFERROR(_xll.BDP($A363&amp;" Corp","MIN_PIECE")/1000,""))</f>
        <v/>
      </c>
      <c r="N363" s="12">
        <f>IF($A363="","",_xll.BDP($A363&amp;" Corp","PX_LAST"))</f>
        <v/>
      </c>
      <c r="O363" s="12">
        <f>IF($A363="","",_xll.BDP($A363&amp;" Corp","YAS_BOND_YLD","YAS_YLD_FLAG=15"))</f>
        <v/>
      </c>
      <c r="P363" s="12">
        <f>IF($A363="","",_xll.BDP($A363&amp;" Corp","YAS_MOD_DUR"))</f>
        <v/>
      </c>
      <c r="Q363" s="13">
        <f>IF($A363="","",_xll.BDP($A363&amp;" Corp","YAS_OAS_SPRD"))</f>
        <v/>
      </c>
      <c r="R363" s="13">
        <f>IF($A363="","",_xll.BDP($A363&amp;" Corp","YAS_OAS_SPRD","SETTLE_DT",$B$2))</f>
        <v/>
      </c>
      <c r="S363" s="14">
        <f>IF($A363="","",IF(OR(NOT(ISNUMBER($Q363)),NOT(ISNUMBER($R363))),"",$Q363-$R363))</f>
        <v/>
      </c>
      <c r="T363" s="12">
        <f>IF($A363="","",_xll.BDP($A363&amp;" Corp","YAS_BOND_YLD","YAS_YLD_FLAG=15","SETTLE_DT",$B$2))</f>
        <v/>
      </c>
      <c r="U363" s="15">
        <f>IF($A363="","",IF(OR(NOT(ISNUMBER($O363)),NOT(ISNUMBER($T363))),"",$O363-$T363))</f>
        <v/>
      </c>
      <c r="V363" s="13">
        <f>IF(NOT(ISNUMBER($S363)),"",COUNTIFS($G$7:$G$850,$G363,$S$7:$S$850,"&gt;"&amp;$S363)+COUNTIFS($G$7:$G363,$G363,$S$7:$S363,$S363))</f>
        <v/>
      </c>
      <c r="W363" s="13">
        <f>IF(NOT(ISNUMBER($S363)),"",COUNTIFS($G$7:$G$850,$G363,$S$7:$S$850,"&lt;"&amp;$S363)+COUNTIFS($G$7:$G363,$G363,$S$7:$S363,$S363))</f>
        <v/>
      </c>
      <c r="X363" s="8">
        <f>IF($V363="","",$G363&amp;"|"&amp;$V363)</f>
        <v/>
      </c>
      <c r="Y363" s="8">
        <f>IF($W363="","",$G363&amp;"|"&amp;$W363)</f>
        <v/>
      </c>
    </row>
    <row r="364">
      <c r="A364" s="16" t="inlineStr">
        <is>
          <t>US817565CE22</t>
        </is>
      </c>
      <c r="B364" s="17">
        <f>IF($A364="","",PROPER(_xll.BDP($A364&amp;" Corp","NAME")))</f>
        <v/>
      </c>
      <c r="C364" s="17">
        <f>IF($A364="","",IFERROR(INDEX(Company_desc!$B$2:$B$1144,MATCH($A364,Company_desc!$A$2:$A$1144,0)),IFERROR(INDEX(SYZ_static!$Q$2:$Q$806,MATCH($A364,SYZ_static!$A$2:$A$806,0)),"")))</f>
        <v/>
      </c>
      <c r="D364" s="17">
        <f>IF($A364="","",IFERROR(INDEX(SYZ_static!$B$2:$B$806,MATCH($A364,SYZ_static!$A$2:$A$806,0)),""))</f>
        <v/>
      </c>
      <c r="E364" s="17">
        <f>IF($A364="","",_xll.BDP($A364&amp;" Corp","INDUSTRY_SECTOR"))</f>
        <v/>
      </c>
      <c r="F364" s="17">
        <f>IF($A364="","",PROPER(_xll.BDP($A364&amp;" Corp","COUNTRY_FULL_NAME")))</f>
        <v/>
      </c>
      <c r="G364" s="17">
        <f>IF($A364="","",_xll.BDP($A364&amp;" Corp","CRNCY"))</f>
        <v/>
      </c>
      <c r="H364" s="17">
        <f>IF($A364="","",IFERROR(INDEX(SYZ_static!$T$2:$T$806,MATCH($A364,SYZ_static!$A$2:$A$806,0)),_xll.BDP($A364&amp;" Corp","RTG_SP")))</f>
        <v/>
      </c>
      <c r="I364" s="17">
        <f>IF($A364="","",IFERROR(INDEX(SYZ_static!$S$2:$S$806,MATCH($A364,SYZ_static!$A$2:$A$806,0)),""))</f>
        <v/>
      </c>
      <c r="J364" s="17">
        <f>IF($A364="","",_xll.BDP($A364&amp;" Corp","PAYMENT_RANK"))</f>
        <v/>
      </c>
      <c r="K364" s="18">
        <f>IF($A364="","",_xll.BDP($A364&amp;" Corp","CPN"))</f>
        <v/>
      </c>
      <c r="L364" s="19">
        <f>IF($A364="","",_xll.BDP($A364&amp;" Corp","MATURITY"))</f>
        <v/>
      </c>
      <c r="M364" s="20">
        <f>IF($A364="","",IFERROR(_xll.BDP($A364&amp;" Corp","MIN_PIECE")/1000,""))</f>
        <v/>
      </c>
      <c r="N364" s="21">
        <f>IF($A364="","",_xll.BDP($A364&amp;" Corp","PX_LAST"))</f>
        <v/>
      </c>
      <c r="O364" s="21">
        <f>IF($A364="","",_xll.BDP($A364&amp;" Corp","YAS_BOND_YLD","YAS_YLD_FLAG=15"))</f>
        <v/>
      </c>
      <c r="P364" s="21">
        <f>IF($A364="","",_xll.BDP($A364&amp;" Corp","YAS_MOD_DUR"))</f>
        <v/>
      </c>
      <c r="Q364" s="22">
        <f>IF($A364="","",_xll.BDP($A364&amp;" Corp","YAS_OAS_SPRD"))</f>
        <v/>
      </c>
      <c r="R364" s="22">
        <f>IF($A364="","",_xll.BDP($A364&amp;" Corp","YAS_OAS_SPRD","SETTLE_DT",$B$2))</f>
        <v/>
      </c>
      <c r="S364" s="23">
        <f>IF($A364="","",IF(OR(NOT(ISNUMBER($Q364)),NOT(ISNUMBER($R364))),"",$Q364-$R364))</f>
        <v/>
      </c>
      <c r="T364" s="21">
        <f>IF($A364="","",_xll.BDP($A364&amp;" Corp","YAS_BOND_YLD","YAS_YLD_FLAG=15","SETTLE_DT",$B$2))</f>
        <v/>
      </c>
      <c r="U364" s="24">
        <f>IF($A364="","",IF(OR(NOT(ISNUMBER($O364)),NOT(ISNUMBER($T364))),"",$O364-$T364))</f>
        <v/>
      </c>
      <c r="V364" s="22">
        <f>IF(NOT(ISNUMBER($S364)),"",COUNTIFS($G$7:$G$850,$G364,$S$7:$S$850,"&gt;"&amp;$S364)+COUNTIFS($G$7:$G364,$G364,$S$7:$S364,$S364))</f>
        <v/>
      </c>
      <c r="W364" s="22">
        <f>IF(NOT(ISNUMBER($S364)),"",COUNTIFS($G$7:$G$850,$G364,$S$7:$S$850,"&lt;"&amp;$S364)+COUNTIFS($G$7:$G364,$G364,$S$7:$S364,$S364))</f>
        <v/>
      </c>
      <c r="X364" s="17">
        <f>IF($V364="","",$G364&amp;"|"&amp;$V364)</f>
        <v/>
      </c>
      <c r="Y364" s="17">
        <f>IF($W364="","",$G364&amp;"|"&amp;$W364)</f>
        <v/>
      </c>
    </row>
    <row r="365">
      <c r="A365" s="7" t="inlineStr">
        <is>
          <t>US92338CAF05</t>
        </is>
      </c>
      <c r="B365" s="8">
        <f>IF($A365="","",PROPER(_xll.BDP($A365&amp;" Corp","NAME")))</f>
        <v/>
      </c>
      <c r="C365" s="8">
        <f>IF($A365="","",IFERROR(INDEX(Company_desc!$B$2:$B$1144,MATCH($A365,Company_desc!$A$2:$A$1144,0)),IFERROR(INDEX(SYZ_static!$Q$2:$Q$806,MATCH($A365,SYZ_static!$A$2:$A$806,0)),"")))</f>
        <v/>
      </c>
      <c r="D365" s="8">
        <f>IF($A365="","",IFERROR(INDEX(SYZ_static!$B$2:$B$806,MATCH($A365,SYZ_static!$A$2:$A$806,0)),""))</f>
        <v/>
      </c>
      <c r="E365" s="8">
        <f>IF($A365="","",_xll.BDP($A365&amp;" Corp","INDUSTRY_SECTOR"))</f>
        <v/>
      </c>
      <c r="F365" s="8">
        <f>IF($A365="","",PROPER(_xll.BDP($A365&amp;" Corp","COUNTRY_FULL_NAME")))</f>
        <v/>
      </c>
      <c r="G365" s="8">
        <f>IF($A365="","",_xll.BDP($A365&amp;" Corp","CRNCY"))</f>
        <v/>
      </c>
      <c r="H365" s="8">
        <f>IF($A365="","",IFERROR(INDEX(SYZ_static!$T$2:$T$806,MATCH($A365,SYZ_static!$A$2:$A$806,0)),_xll.BDP($A365&amp;" Corp","RTG_SP")))</f>
        <v/>
      </c>
      <c r="I365" s="8">
        <f>IF($A365="","",IFERROR(INDEX(SYZ_static!$S$2:$S$806,MATCH($A365,SYZ_static!$A$2:$A$806,0)),""))</f>
        <v/>
      </c>
      <c r="J365" s="8">
        <f>IF($A365="","",_xll.BDP($A365&amp;" Corp","PAYMENT_RANK"))</f>
        <v/>
      </c>
      <c r="K365" s="9">
        <f>IF($A365="","",_xll.BDP($A365&amp;" Corp","CPN"))</f>
        <v/>
      </c>
      <c r="L365" s="10">
        <f>IF($A365="","",_xll.BDP($A365&amp;" Corp","MATURITY"))</f>
        <v/>
      </c>
      <c r="M365" s="11">
        <f>IF($A365="","",IFERROR(_xll.BDP($A365&amp;" Corp","MIN_PIECE")/1000,""))</f>
        <v/>
      </c>
      <c r="N365" s="12">
        <f>IF($A365="","",_xll.BDP($A365&amp;" Corp","PX_LAST"))</f>
        <v/>
      </c>
      <c r="O365" s="12">
        <f>IF($A365="","",_xll.BDP($A365&amp;" Corp","YAS_BOND_YLD","YAS_YLD_FLAG=15"))</f>
        <v/>
      </c>
      <c r="P365" s="12">
        <f>IF($A365="","",_xll.BDP($A365&amp;" Corp","YAS_MOD_DUR"))</f>
        <v/>
      </c>
      <c r="Q365" s="13">
        <f>IF($A365="","",_xll.BDP($A365&amp;" Corp","YAS_OAS_SPRD"))</f>
        <v/>
      </c>
      <c r="R365" s="13">
        <f>IF($A365="","",_xll.BDP($A365&amp;" Corp","YAS_OAS_SPRD","SETTLE_DT",$B$2))</f>
        <v/>
      </c>
      <c r="S365" s="14">
        <f>IF($A365="","",IF(OR(NOT(ISNUMBER($Q365)),NOT(ISNUMBER($R365))),"",$Q365-$R365))</f>
        <v/>
      </c>
      <c r="T365" s="12">
        <f>IF($A365="","",_xll.BDP($A365&amp;" Corp","YAS_BOND_YLD","YAS_YLD_FLAG=15","SETTLE_DT",$B$2))</f>
        <v/>
      </c>
      <c r="U365" s="15">
        <f>IF($A365="","",IF(OR(NOT(ISNUMBER($O365)),NOT(ISNUMBER($T365))),"",$O365-$T365))</f>
        <v/>
      </c>
      <c r="V365" s="13">
        <f>IF(NOT(ISNUMBER($S365)),"",COUNTIFS($G$7:$G$850,$G365,$S$7:$S$850,"&gt;"&amp;$S365)+COUNTIFS($G$7:$G365,$G365,$S$7:$S365,$S365))</f>
        <v/>
      </c>
      <c r="W365" s="13">
        <f>IF(NOT(ISNUMBER($S365)),"",COUNTIFS($G$7:$G$850,$G365,$S$7:$S$850,"&lt;"&amp;$S365)+COUNTIFS($G$7:$G365,$G365,$S$7:$S365,$S365))</f>
        <v/>
      </c>
      <c r="X365" s="8">
        <f>IF($V365="","",$G365&amp;"|"&amp;$V365)</f>
        <v/>
      </c>
      <c r="Y365" s="8">
        <f>IF($W365="","",$G365&amp;"|"&amp;$W365)</f>
        <v/>
      </c>
    </row>
    <row r="366">
      <c r="A366" s="16" t="inlineStr">
        <is>
          <t>XS2386287689</t>
        </is>
      </c>
      <c r="B366" s="17">
        <f>IF($A366="","",PROPER(_xll.BDP($A366&amp;" Corp","NAME")))</f>
        <v/>
      </c>
      <c r="C366" s="17">
        <f>IF($A366="","",IFERROR(INDEX(Company_desc!$B$2:$B$1144,MATCH($A366,Company_desc!$A$2:$A$1144,0)),IFERROR(INDEX(SYZ_static!$Q$2:$Q$806,MATCH($A366,SYZ_static!$A$2:$A$806,0)),"")))</f>
        <v/>
      </c>
      <c r="D366" s="17">
        <f>IF($A366="","",IFERROR(INDEX(SYZ_static!$B$2:$B$806,MATCH($A366,SYZ_static!$A$2:$A$806,0)),""))</f>
        <v/>
      </c>
      <c r="E366" s="17">
        <f>IF($A366="","",_xll.BDP($A366&amp;" Corp","INDUSTRY_SECTOR"))</f>
        <v/>
      </c>
      <c r="F366" s="17">
        <f>IF($A366="","",PROPER(_xll.BDP($A366&amp;" Corp","COUNTRY_FULL_NAME")))</f>
        <v/>
      </c>
      <c r="G366" s="17">
        <f>IF($A366="","",_xll.BDP($A366&amp;" Corp","CRNCY"))</f>
        <v/>
      </c>
      <c r="H366" s="17">
        <f>IF($A366="","",IFERROR(INDEX(SYZ_static!$T$2:$T$806,MATCH($A366,SYZ_static!$A$2:$A$806,0)),_xll.BDP($A366&amp;" Corp","RTG_SP")))</f>
        <v/>
      </c>
      <c r="I366" s="17">
        <f>IF($A366="","",IFERROR(INDEX(SYZ_static!$S$2:$S$806,MATCH($A366,SYZ_static!$A$2:$A$806,0)),""))</f>
        <v/>
      </c>
      <c r="J366" s="17">
        <f>IF($A366="","",_xll.BDP($A366&amp;" Corp","PAYMENT_RANK"))</f>
        <v/>
      </c>
      <c r="K366" s="18">
        <f>IF($A366="","",_xll.BDP($A366&amp;" Corp","CPN"))</f>
        <v/>
      </c>
      <c r="L366" s="19">
        <f>IF($A366="","",_xll.BDP($A366&amp;" Corp","MATURITY"))</f>
        <v/>
      </c>
      <c r="M366" s="20">
        <f>IF($A366="","",IFERROR(_xll.BDP($A366&amp;" Corp","MIN_PIECE")/1000,""))</f>
        <v/>
      </c>
      <c r="N366" s="21">
        <f>IF($A366="","",_xll.BDP($A366&amp;" Corp","PX_LAST"))</f>
        <v/>
      </c>
      <c r="O366" s="21">
        <f>IF($A366="","",_xll.BDP($A366&amp;" Corp","YAS_BOND_YLD","YAS_YLD_FLAG=15"))</f>
        <v/>
      </c>
      <c r="P366" s="21">
        <f>IF($A366="","",_xll.BDP($A366&amp;" Corp","YAS_MOD_DUR"))</f>
        <v/>
      </c>
      <c r="Q366" s="22">
        <f>IF($A366="","",_xll.BDP($A366&amp;" Corp","YAS_OAS_SPRD"))</f>
        <v/>
      </c>
      <c r="R366" s="22">
        <f>IF($A366="","",_xll.BDP($A366&amp;" Corp","YAS_OAS_SPRD","SETTLE_DT",$B$2))</f>
        <v/>
      </c>
      <c r="S366" s="23">
        <f>IF($A366="","",IF(OR(NOT(ISNUMBER($Q366)),NOT(ISNUMBER($R366))),"",$Q366-$R366))</f>
        <v/>
      </c>
      <c r="T366" s="21">
        <f>IF($A366="","",_xll.BDP($A366&amp;" Corp","YAS_BOND_YLD","YAS_YLD_FLAG=15","SETTLE_DT",$B$2))</f>
        <v/>
      </c>
      <c r="U366" s="24">
        <f>IF($A366="","",IF(OR(NOT(ISNUMBER($O366)),NOT(ISNUMBER($T366))),"",$O366-$T366))</f>
        <v/>
      </c>
      <c r="V366" s="22">
        <f>IF(NOT(ISNUMBER($S366)),"",COUNTIFS($G$7:$G$850,$G366,$S$7:$S$850,"&gt;"&amp;$S366)+COUNTIFS($G$7:$G366,$G366,$S$7:$S366,$S366))</f>
        <v/>
      </c>
      <c r="W366" s="22">
        <f>IF(NOT(ISNUMBER($S366)),"",COUNTIFS($G$7:$G$850,$G366,$S$7:$S$850,"&lt;"&amp;$S366)+COUNTIFS($G$7:$G366,$G366,$S$7:$S366,$S366))</f>
        <v/>
      </c>
      <c r="X366" s="17">
        <f>IF($V366="","",$G366&amp;"|"&amp;$V366)</f>
        <v/>
      </c>
      <c r="Y366" s="17">
        <f>IF($W366="","",$G366&amp;"|"&amp;$W366)</f>
        <v/>
      </c>
    </row>
    <row r="367">
      <c r="A367" s="7" t="inlineStr">
        <is>
          <t>US458140BH27</t>
        </is>
      </c>
      <c r="B367" s="8">
        <f>IF($A367="","",PROPER(_xll.BDP($A367&amp;" Corp","NAME")))</f>
        <v/>
      </c>
      <c r="C367" s="8">
        <f>IF($A367="","",IFERROR(INDEX(Company_desc!$B$2:$B$1144,MATCH($A367,Company_desc!$A$2:$A$1144,0)),IFERROR(INDEX(SYZ_static!$Q$2:$Q$806,MATCH($A367,SYZ_static!$A$2:$A$806,0)),"")))</f>
        <v/>
      </c>
      <c r="D367" s="8">
        <f>IF($A367="","",IFERROR(INDEX(SYZ_static!$B$2:$B$806,MATCH($A367,SYZ_static!$A$2:$A$806,0)),""))</f>
        <v/>
      </c>
      <c r="E367" s="8">
        <f>IF($A367="","",_xll.BDP($A367&amp;" Corp","INDUSTRY_SECTOR"))</f>
        <v/>
      </c>
      <c r="F367" s="8">
        <f>IF($A367="","",PROPER(_xll.BDP($A367&amp;" Corp","COUNTRY_FULL_NAME")))</f>
        <v/>
      </c>
      <c r="G367" s="8">
        <f>IF($A367="","",_xll.BDP($A367&amp;" Corp","CRNCY"))</f>
        <v/>
      </c>
      <c r="H367" s="8">
        <f>IF($A367="","",IFERROR(INDEX(SYZ_static!$T$2:$T$806,MATCH($A367,SYZ_static!$A$2:$A$806,0)),_xll.BDP($A367&amp;" Corp","RTG_SP")))</f>
        <v/>
      </c>
      <c r="I367" s="8">
        <f>IF($A367="","",IFERROR(INDEX(SYZ_static!$S$2:$S$806,MATCH($A367,SYZ_static!$A$2:$A$806,0)),""))</f>
        <v/>
      </c>
      <c r="J367" s="8">
        <f>IF($A367="","",_xll.BDP($A367&amp;" Corp","PAYMENT_RANK"))</f>
        <v/>
      </c>
      <c r="K367" s="9">
        <f>IF($A367="","",_xll.BDP($A367&amp;" Corp","CPN"))</f>
        <v/>
      </c>
      <c r="L367" s="10">
        <f>IF($A367="","",_xll.BDP($A367&amp;" Corp","MATURITY"))</f>
        <v/>
      </c>
      <c r="M367" s="11">
        <f>IF($A367="","",IFERROR(_xll.BDP($A367&amp;" Corp","MIN_PIECE")/1000,""))</f>
        <v/>
      </c>
      <c r="N367" s="12">
        <f>IF($A367="","",_xll.BDP($A367&amp;" Corp","PX_LAST"))</f>
        <v/>
      </c>
      <c r="O367" s="12">
        <f>IF($A367="","",_xll.BDP($A367&amp;" Corp","YAS_BOND_YLD","YAS_YLD_FLAG=15"))</f>
        <v/>
      </c>
      <c r="P367" s="12">
        <f>IF($A367="","",_xll.BDP($A367&amp;" Corp","YAS_MOD_DUR"))</f>
        <v/>
      </c>
      <c r="Q367" s="13">
        <f>IF($A367="","",_xll.BDP($A367&amp;" Corp","YAS_OAS_SPRD"))</f>
        <v/>
      </c>
      <c r="R367" s="13">
        <f>IF($A367="","",_xll.BDP($A367&amp;" Corp","YAS_OAS_SPRD","SETTLE_DT",$B$2))</f>
        <v/>
      </c>
      <c r="S367" s="14">
        <f>IF($A367="","",IF(OR(NOT(ISNUMBER($Q367)),NOT(ISNUMBER($R367))),"",$Q367-$R367))</f>
        <v/>
      </c>
      <c r="T367" s="12">
        <f>IF($A367="","",_xll.BDP($A367&amp;" Corp","YAS_BOND_YLD","YAS_YLD_FLAG=15","SETTLE_DT",$B$2))</f>
        <v/>
      </c>
      <c r="U367" s="15">
        <f>IF($A367="","",IF(OR(NOT(ISNUMBER($O367)),NOT(ISNUMBER($T367))),"",$O367-$T367))</f>
        <v/>
      </c>
      <c r="V367" s="13">
        <f>IF(NOT(ISNUMBER($S367)),"",COUNTIFS($G$7:$G$850,$G367,$S$7:$S$850,"&gt;"&amp;$S367)+COUNTIFS($G$7:$G367,$G367,$S$7:$S367,$S367))</f>
        <v/>
      </c>
      <c r="W367" s="13">
        <f>IF(NOT(ISNUMBER($S367)),"",COUNTIFS($G$7:$G$850,$G367,$S$7:$S$850,"&lt;"&amp;$S367)+COUNTIFS($G$7:$G367,$G367,$S$7:$S367,$S367))</f>
        <v/>
      </c>
      <c r="X367" s="8">
        <f>IF($V367="","",$G367&amp;"|"&amp;$V367)</f>
        <v/>
      </c>
      <c r="Y367" s="8">
        <f>IF($W367="","",$G367&amp;"|"&amp;$W367)</f>
        <v/>
      </c>
    </row>
    <row r="368">
      <c r="A368" s="16" t="inlineStr">
        <is>
          <t>XS1985037974</t>
        </is>
      </c>
      <c r="B368" s="17">
        <f>IF($A368="","",PROPER(_xll.BDP($A368&amp;" Corp","NAME")))</f>
        <v/>
      </c>
      <c r="C368" s="17">
        <f>IF($A368="","",IFERROR(INDEX(Company_desc!$B$2:$B$1144,MATCH($A368,Company_desc!$A$2:$A$1144,0)),IFERROR(INDEX(SYZ_static!$Q$2:$Q$806,MATCH($A368,SYZ_static!$A$2:$A$806,0)),"")))</f>
        <v/>
      </c>
      <c r="D368" s="17">
        <f>IF($A368="","",IFERROR(INDEX(SYZ_static!$B$2:$B$806,MATCH($A368,SYZ_static!$A$2:$A$806,0)),""))</f>
        <v/>
      </c>
      <c r="E368" s="17">
        <f>IF($A368="","",_xll.BDP($A368&amp;" Corp","INDUSTRY_SECTOR"))</f>
        <v/>
      </c>
      <c r="F368" s="17">
        <f>IF($A368="","",PROPER(_xll.BDP($A368&amp;" Corp","COUNTRY_FULL_NAME")))</f>
        <v/>
      </c>
      <c r="G368" s="17">
        <f>IF($A368="","",_xll.BDP($A368&amp;" Corp","CRNCY"))</f>
        <v/>
      </c>
      <c r="H368" s="17">
        <f>IF($A368="","",IFERROR(INDEX(SYZ_static!$T$2:$T$806,MATCH($A368,SYZ_static!$A$2:$A$806,0)),_xll.BDP($A368&amp;" Corp","RTG_SP")))</f>
        <v/>
      </c>
      <c r="I368" s="17">
        <f>IF($A368="","",IFERROR(INDEX(SYZ_static!$S$2:$S$806,MATCH($A368,SYZ_static!$A$2:$A$806,0)),""))</f>
        <v/>
      </c>
      <c r="J368" s="17">
        <f>IF($A368="","",_xll.BDP($A368&amp;" Corp","PAYMENT_RANK"))</f>
        <v/>
      </c>
      <c r="K368" s="18">
        <f>IF($A368="","",_xll.BDP($A368&amp;" Corp","CPN"))</f>
        <v/>
      </c>
      <c r="L368" s="19">
        <f>IF($A368="","",_xll.BDP($A368&amp;" Corp","MATURITY"))</f>
        <v/>
      </c>
      <c r="M368" s="20">
        <f>IF($A368="","",IFERROR(_xll.BDP($A368&amp;" Corp","MIN_PIECE")/1000,""))</f>
        <v/>
      </c>
      <c r="N368" s="21">
        <f>IF($A368="","",_xll.BDP($A368&amp;" Corp","PX_LAST"))</f>
        <v/>
      </c>
      <c r="O368" s="21">
        <f>IF($A368="","",_xll.BDP($A368&amp;" Corp","YAS_BOND_YLD","YAS_YLD_FLAG=15"))</f>
        <v/>
      </c>
      <c r="P368" s="21">
        <f>IF($A368="","",_xll.BDP($A368&amp;" Corp","YAS_MOD_DUR"))</f>
        <v/>
      </c>
      <c r="Q368" s="22">
        <f>IF($A368="","",_xll.BDP($A368&amp;" Corp","YAS_OAS_SPRD"))</f>
        <v/>
      </c>
      <c r="R368" s="22">
        <f>IF($A368="","",_xll.BDP($A368&amp;" Corp","YAS_OAS_SPRD","SETTLE_DT",$B$2))</f>
        <v/>
      </c>
      <c r="S368" s="23">
        <f>IF($A368="","",IF(OR(NOT(ISNUMBER($Q368)),NOT(ISNUMBER($R368))),"",$Q368-$R368))</f>
        <v/>
      </c>
      <c r="T368" s="21">
        <f>IF($A368="","",_xll.BDP($A368&amp;" Corp","YAS_BOND_YLD","YAS_YLD_FLAG=15","SETTLE_DT",$B$2))</f>
        <v/>
      </c>
      <c r="U368" s="24">
        <f>IF($A368="","",IF(OR(NOT(ISNUMBER($O368)),NOT(ISNUMBER($T368))),"",$O368-$T368))</f>
        <v/>
      </c>
      <c r="V368" s="22">
        <f>IF(NOT(ISNUMBER($S368)),"",COUNTIFS($G$7:$G$850,$G368,$S$7:$S$850,"&gt;"&amp;$S368)+COUNTIFS($G$7:$G368,$G368,$S$7:$S368,$S368))</f>
        <v/>
      </c>
      <c r="W368" s="22">
        <f>IF(NOT(ISNUMBER($S368)),"",COUNTIFS($G$7:$G$850,$G368,$S$7:$S$850,"&lt;"&amp;$S368)+COUNTIFS($G$7:$G368,$G368,$S$7:$S368,$S368))</f>
        <v/>
      </c>
      <c r="X368" s="17">
        <f>IF($V368="","",$G368&amp;"|"&amp;$V368)</f>
        <v/>
      </c>
      <c r="Y368" s="17">
        <f>IF($W368="","",$G368&amp;"|"&amp;$W368)</f>
        <v/>
      </c>
    </row>
    <row r="369">
      <c r="A369" s="7" t="inlineStr">
        <is>
          <t>XS1910948329</t>
        </is>
      </c>
      <c r="B369" s="8">
        <f>IF($A369="","",PROPER(_xll.BDP($A369&amp;" Corp","NAME")))</f>
        <v/>
      </c>
      <c r="C369" s="8">
        <f>IF($A369="","",IFERROR(INDEX(Company_desc!$B$2:$B$1144,MATCH($A369,Company_desc!$A$2:$A$1144,0)),IFERROR(INDEX(SYZ_static!$Q$2:$Q$806,MATCH($A369,SYZ_static!$A$2:$A$806,0)),"")))</f>
        <v/>
      </c>
      <c r="D369" s="8">
        <f>IF($A369="","",IFERROR(INDEX(SYZ_static!$B$2:$B$806,MATCH($A369,SYZ_static!$A$2:$A$806,0)),""))</f>
        <v/>
      </c>
      <c r="E369" s="8">
        <f>IF($A369="","",_xll.BDP($A369&amp;" Corp","INDUSTRY_SECTOR"))</f>
        <v/>
      </c>
      <c r="F369" s="8">
        <f>IF($A369="","",PROPER(_xll.BDP($A369&amp;" Corp","COUNTRY_FULL_NAME")))</f>
        <v/>
      </c>
      <c r="G369" s="8">
        <f>IF($A369="","",_xll.BDP($A369&amp;" Corp","CRNCY"))</f>
        <v/>
      </c>
      <c r="H369" s="8">
        <f>IF($A369="","",IFERROR(INDEX(SYZ_static!$T$2:$T$806,MATCH($A369,SYZ_static!$A$2:$A$806,0)),_xll.BDP($A369&amp;" Corp","RTG_SP")))</f>
        <v/>
      </c>
      <c r="I369" s="8">
        <f>IF($A369="","",IFERROR(INDEX(SYZ_static!$S$2:$S$806,MATCH($A369,SYZ_static!$A$2:$A$806,0)),""))</f>
        <v/>
      </c>
      <c r="J369" s="8">
        <f>IF($A369="","",_xll.BDP($A369&amp;" Corp","PAYMENT_RANK"))</f>
        <v/>
      </c>
      <c r="K369" s="9">
        <f>IF($A369="","",_xll.BDP($A369&amp;" Corp","CPN"))</f>
        <v/>
      </c>
      <c r="L369" s="10">
        <f>IF($A369="","",_xll.BDP($A369&amp;" Corp","MATURITY"))</f>
        <v/>
      </c>
      <c r="M369" s="11">
        <f>IF($A369="","",IFERROR(_xll.BDP($A369&amp;" Corp","MIN_PIECE")/1000,""))</f>
        <v/>
      </c>
      <c r="N369" s="12">
        <f>IF($A369="","",_xll.BDP($A369&amp;" Corp","PX_LAST"))</f>
        <v/>
      </c>
      <c r="O369" s="12">
        <f>IF($A369="","",_xll.BDP($A369&amp;" Corp","YAS_BOND_YLD","YAS_YLD_FLAG=15"))</f>
        <v/>
      </c>
      <c r="P369" s="12">
        <f>IF($A369="","",_xll.BDP($A369&amp;" Corp","YAS_MOD_DUR"))</f>
        <v/>
      </c>
      <c r="Q369" s="13">
        <f>IF($A369="","",_xll.BDP($A369&amp;" Corp","YAS_OAS_SPRD"))</f>
        <v/>
      </c>
      <c r="R369" s="13">
        <f>IF($A369="","",_xll.BDP($A369&amp;" Corp","YAS_OAS_SPRD","SETTLE_DT",$B$2))</f>
        <v/>
      </c>
      <c r="S369" s="14">
        <f>IF($A369="","",IF(OR(NOT(ISNUMBER($Q369)),NOT(ISNUMBER($R369))),"",$Q369-$R369))</f>
        <v/>
      </c>
      <c r="T369" s="12">
        <f>IF($A369="","",_xll.BDP($A369&amp;" Corp","YAS_BOND_YLD","YAS_YLD_FLAG=15","SETTLE_DT",$B$2))</f>
        <v/>
      </c>
      <c r="U369" s="15">
        <f>IF($A369="","",IF(OR(NOT(ISNUMBER($O369)),NOT(ISNUMBER($T369))),"",$O369-$T369))</f>
        <v/>
      </c>
      <c r="V369" s="13">
        <f>IF(NOT(ISNUMBER($S369)),"",COUNTIFS($G$7:$G$850,$G369,$S$7:$S$850,"&gt;"&amp;$S369)+COUNTIFS($G$7:$G369,$G369,$S$7:$S369,$S369))</f>
        <v/>
      </c>
      <c r="W369" s="13">
        <f>IF(NOT(ISNUMBER($S369)),"",COUNTIFS($G$7:$G$850,$G369,$S$7:$S$850,"&lt;"&amp;$S369)+COUNTIFS($G$7:$G369,$G369,$S$7:$S369,$S369))</f>
        <v/>
      </c>
      <c r="X369" s="8">
        <f>IF($V369="","",$G369&amp;"|"&amp;$V369)</f>
        <v/>
      </c>
      <c r="Y369" s="8">
        <f>IF($W369="","",$G369&amp;"|"&amp;$W369)</f>
        <v/>
      </c>
    </row>
    <row r="370">
      <c r="A370" s="16" t="inlineStr">
        <is>
          <t>XS2533094400</t>
        </is>
      </c>
      <c r="B370" s="17">
        <f>IF($A370="","",PROPER(_xll.BDP($A370&amp;" Corp","NAME")))</f>
        <v/>
      </c>
      <c r="C370" s="17">
        <f>IF($A370="","",IFERROR(INDEX(Company_desc!$B$2:$B$1144,MATCH($A370,Company_desc!$A$2:$A$1144,0)),IFERROR(INDEX(SYZ_static!$Q$2:$Q$806,MATCH($A370,SYZ_static!$A$2:$A$806,0)),"")))</f>
        <v/>
      </c>
      <c r="D370" s="17">
        <f>IF($A370="","",IFERROR(INDEX(SYZ_static!$B$2:$B$806,MATCH($A370,SYZ_static!$A$2:$A$806,0)),""))</f>
        <v/>
      </c>
      <c r="E370" s="17">
        <f>IF($A370="","",_xll.BDP($A370&amp;" Corp","INDUSTRY_SECTOR"))</f>
        <v/>
      </c>
      <c r="F370" s="17">
        <f>IF($A370="","",PROPER(_xll.BDP($A370&amp;" Corp","COUNTRY_FULL_NAME")))</f>
        <v/>
      </c>
      <c r="G370" s="17">
        <f>IF($A370="","",_xll.BDP($A370&amp;" Corp","CRNCY"))</f>
        <v/>
      </c>
      <c r="H370" s="17">
        <f>IF($A370="","",IFERROR(INDEX(SYZ_static!$T$2:$T$806,MATCH($A370,SYZ_static!$A$2:$A$806,0)),_xll.BDP($A370&amp;" Corp","RTG_SP")))</f>
        <v/>
      </c>
      <c r="I370" s="17">
        <f>IF($A370="","",IFERROR(INDEX(SYZ_static!$S$2:$S$806,MATCH($A370,SYZ_static!$A$2:$A$806,0)),""))</f>
        <v/>
      </c>
      <c r="J370" s="17">
        <f>IF($A370="","",_xll.BDP($A370&amp;" Corp","PAYMENT_RANK"))</f>
        <v/>
      </c>
      <c r="K370" s="18">
        <f>IF($A370="","",_xll.BDP($A370&amp;" Corp","CPN"))</f>
        <v/>
      </c>
      <c r="L370" s="19">
        <f>IF($A370="","",_xll.BDP($A370&amp;" Corp","MATURITY"))</f>
        <v/>
      </c>
      <c r="M370" s="20">
        <f>IF($A370="","",IFERROR(_xll.BDP($A370&amp;" Corp","MIN_PIECE")/1000,""))</f>
        <v/>
      </c>
      <c r="N370" s="21">
        <f>IF($A370="","",_xll.BDP($A370&amp;" Corp","PX_LAST"))</f>
        <v/>
      </c>
      <c r="O370" s="21">
        <f>IF($A370="","",_xll.BDP($A370&amp;" Corp","YAS_BOND_YLD","YAS_YLD_FLAG=15"))</f>
        <v/>
      </c>
      <c r="P370" s="21">
        <f>IF($A370="","",_xll.BDP($A370&amp;" Corp","YAS_MOD_DUR"))</f>
        <v/>
      </c>
      <c r="Q370" s="22">
        <f>IF($A370="","",_xll.BDP($A370&amp;" Corp","YAS_OAS_SPRD"))</f>
        <v/>
      </c>
      <c r="R370" s="22">
        <f>IF($A370="","",_xll.BDP($A370&amp;" Corp","YAS_OAS_SPRD","SETTLE_DT",$B$2))</f>
        <v/>
      </c>
      <c r="S370" s="23">
        <f>IF($A370="","",IF(OR(NOT(ISNUMBER($Q370)),NOT(ISNUMBER($R370))),"",$Q370-$R370))</f>
        <v/>
      </c>
      <c r="T370" s="21">
        <f>IF($A370="","",_xll.BDP($A370&amp;" Corp","YAS_BOND_YLD","YAS_YLD_FLAG=15","SETTLE_DT",$B$2))</f>
        <v/>
      </c>
      <c r="U370" s="24">
        <f>IF($A370="","",IF(OR(NOT(ISNUMBER($O370)),NOT(ISNUMBER($T370))),"",$O370-$T370))</f>
        <v/>
      </c>
      <c r="V370" s="22">
        <f>IF(NOT(ISNUMBER($S370)),"",COUNTIFS($G$7:$G$850,$G370,$S$7:$S$850,"&gt;"&amp;$S370)+COUNTIFS($G$7:$G370,$G370,$S$7:$S370,$S370))</f>
        <v/>
      </c>
      <c r="W370" s="22">
        <f>IF(NOT(ISNUMBER($S370)),"",COUNTIFS($G$7:$G$850,$G370,$S$7:$S$850,"&lt;"&amp;$S370)+COUNTIFS($G$7:$G370,$G370,$S$7:$S370,$S370))</f>
        <v/>
      </c>
      <c r="X370" s="17">
        <f>IF($V370="","",$G370&amp;"|"&amp;$V370)</f>
        <v/>
      </c>
      <c r="Y370" s="17">
        <f>IF($W370="","",$G370&amp;"|"&amp;$W370)</f>
        <v/>
      </c>
    </row>
    <row r="371">
      <c r="A371" s="7" t="inlineStr">
        <is>
          <t>XS2989441899</t>
        </is>
      </c>
      <c r="B371" s="8">
        <f>IF($A371="","",PROPER(_xll.BDP($A371&amp;" Corp","NAME")))</f>
        <v/>
      </c>
      <c r="C371" s="8">
        <f>IF($A371="","",IFERROR(INDEX(Company_desc!$B$2:$B$1144,MATCH($A371,Company_desc!$A$2:$A$1144,0)),IFERROR(INDEX(SYZ_static!$Q$2:$Q$806,MATCH($A371,SYZ_static!$A$2:$A$806,0)),"")))</f>
        <v/>
      </c>
      <c r="D371" s="8">
        <f>IF($A371="","",IFERROR(INDEX(SYZ_static!$B$2:$B$806,MATCH($A371,SYZ_static!$A$2:$A$806,0)),""))</f>
        <v/>
      </c>
      <c r="E371" s="8">
        <f>IF($A371="","",_xll.BDP($A371&amp;" Corp","INDUSTRY_SECTOR"))</f>
        <v/>
      </c>
      <c r="F371" s="8">
        <f>IF($A371="","",PROPER(_xll.BDP($A371&amp;" Corp","COUNTRY_FULL_NAME")))</f>
        <v/>
      </c>
      <c r="G371" s="8">
        <f>IF($A371="","",_xll.BDP($A371&amp;" Corp","CRNCY"))</f>
        <v/>
      </c>
      <c r="H371" s="8">
        <f>IF($A371="","",IFERROR(INDEX(SYZ_static!$T$2:$T$806,MATCH($A371,SYZ_static!$A$2:$A$806,0)),_xll.BDP($A371&amp;" Corp","RTG_SP")))</f>
        <v/>
      </c>
      <c r="I371" s="8">
        <f>IF($A371="","",IFERROR(INDEX(SYZ_static!$S$2:$S$806,MATCH($A371,SYZ_static!$A$2:$A$806,0)),""))</f>
        <v/>
      </c>
      <c r="J371" s="8">
        <f>IF($A371="","",_xll.BDP($A371&amp;" Corp","PAYMENT_RANK"))</f>
        <v/>
      </c>
      <c r="K371" s="9">
        <f>IF($A371="","",_xll.BDP($A371&amp;" Corp","CPN"))</f>
        <v/>
      </c>
      <c r="L371" s="10">
        <f>IF($A371="","",_xll.BDP($A371&amp;" Corp","MATURITY"))</f>
        <v/>
      </c>
      <c r="M371" s="11">
        <f>IF($A371="","",IFERROR(_xll.BDP($A371&amp;" Corp","MIN_PIECE")/1000,""))</f>
        <v/>
      </c>
      <c r="N371" s="12">
        <f>IF($A371="","",_xll.BDP($A371&amp;" Corp","PX_LAST"))</f>
        <v/>
      </c>
      <c r="O371" s="12">
        <f>IF($A371="","",_xll.BDP($A371&amp;" Corp","YAS_BOND_YLD","YAS_YLD_FLAG=15"))</f>
        <v/>
      </c>
      <c r="P371" s="12">
        <f>IF($A371="","",_xll.BDP($A371&amp;" Corp","YAS_MOD_DUR"))</f>
        <v/>
      </c>
      <c r="Q371" s="13">
        <f>IF($A371="","",_xll.BDP($A371&amp;" Corp","YAS_OAS_SPRD"))</f>
        <v/>
      </c>
      <c r="R371" s="13">
        <f>IF($A371="","",_xll.BDP($A371&amp;" Corp","YAS_OAS_SPRD","SETTLE_DT",$B$2))</f>
        <v/>
      </c>
      <c r="S371" s="14">
        <f>IF($A371="","",IF(OR(NOT(ISNUMBER($Q371)),NOT(ISNUMBER($R371))),"",$Q371-$R371))</f>
        <v/>
      </c>
      <c r="T371" s="12">
        <f>IF($A371="","",_xll.BDP($A371&amp;" Corp","YAS_BOND_YLD","YAS_YLD_FLAG=15","SETTLE_DT",$B$2))</f>
        <v/>
      </c>
      <c r="U371" s="15">
        <f>IF($A371="","",IF(OR(NOT(ISNUMBER($O371)),NOT(ISNUMBER($T371))),"",$O371-$T371))</f>
        <v/>
      </c>
      <c r="V371" s="13">
        <f>IF(NOT(ISNUMBER($S371)),"",COUNTIFS($G$7:$G$850,$G371,$S$7:$S$850,"&gt;"&amp;$S371)+COUNTIFS($G$7:$G371,$G371,$S$7:$S371,$S371))</f>
        <v/>
      </c>
      <c r="W371" s="13">
        <f>IF(NOT(ISNUMBER($S371)),"",COUNTIFS($G$7:$G$850,$G371,$S$7:$S$850,"&lt;"&amp;$S371)+COUNTIFS($G$7:$G371,$G371,$S$7:$S371,$S371))</f>
        <v/>
      </c>
      <c r="X371" s="8">
        <f>IF($V371="","",$G371&amp;"|"&amp;$V371)</f>
        <v/>
      </c>
      <c r="Y371" s="8">
        <f>IF($W371="","",$G371&amp;"|"&amp;$W371)</f>
        <v/>
      </c>
    </row>
    <row r="372">
      <c r="A372" s="16" t="inlineStr">
        <is>
          <t>US24703DBL47</t>
        </is>
      </c>
      <c r="B372" s="17">
        <f>IF($A372="","",PROPER(_xll.BDP($A372&amp;" Corp","NAME")))</f>
        <v/>
      </c>
      <c r="C372" s="17">
        <f>IF($A372="","",IFERROR(INDEX(Company_desc!$B$2:$B$1144,MATCH($A372,Company_desc!$A$2:$A$1144,0)),IFERROR(INDEX(SYZ_static!$Q$2:$Q$806,MATCH($A372,SYZ_static!$A$2:$A$806,0)),"")))</f>
        <v/>
      </c>
      <c r="D372" s="17">
        <f>IF($A372="","",IFERROR(INDEX(SYZ_static!$B$2:$B$806,MATCH($A372,SYZ_static!$A$2:$A$806,0)),""))</f>
        <v/>
      </c>
      <c r="E372" s="17">
        <f>IF($A372="","",_xll.BDP($A372&amp;" Corp","INDUSTRY_SECTOR"))</f>
        <v/>
      </c>
      <c r="F372" s="17">
        <f>IF($A372="","",PROPER(_xll.BDP($A372&amp;" Corp","COUNTRY_FULL_NAME")))</f>
        <v/>
      </c>
      <c r="G372" s="17">
        <f>IF($A372="","",_xll.BDP($A372&amp;" Corp","CRNCY"))</f>
        <v/>
      </c>
      <c r="H372" s="17">
        <f>IF($A372="","",IFERROR(INDEX(SYZ_static!$T$2:$T$806,MATCH($A372,SYZ_static!$A$2:$A$806,0)),_xll.BDP($A372&amp;" Corp","RTG_SP")))</f>
        <v/>
      </c>
      <c r="I372" s="17">
        <f>IF($A372="","",IFERROR(INDEX(SYZ_static!$S$2:$S$806,MATCH($A372,SYZ_static!$A$2:$A$806,0)),""))</f>
        <v/>
      </c>
      <c r="J372" s="17">
        <f>IF($A372="","",_xll.BDP($A372&amp;" Corp","PAYMENT_RANK"))</f>
        <v/>
      </c>
      <c r="K372" s="18">
        <f>IF($A372="","",_xll.BDP($A372&amp;" Corp","CPN"))</f>
        <v/>
      </c>
      <c r="L372" s="19">
        <f>IF($A372="","",_xll.BDP($A372&amp;" Corp","MATURITY"))</f>
        <v/>
      </c>
      <c r="M372" s="20">
        <f>IF($A372="","",IFERROR(_xll.BDP($A372&amp;" Corp","MIN_PIECE")/1000,""))</f>
        <v/>
      </c>
      <c r="N372" s="21">
        <f>IF($A372="","",_xll.BDP($A372&amp;" Corp","PX_LAST"))</f>
        <v/>
      </c>
      <c r="O372" s="21">
        <f>IF($A372="","",_xll.BDP($A372&amp;" Corp","YAS_BOND_YLD","YAS_YLD_FLAG=15"))</f>
        <v/>
      </c>
      <c r="P372" s="21">
        <f>IF($A372="","",_xll.BDP($A372&amp;" Corp","YAS_MOD_DUR"))</f>
        <v/>
      </c>
      <c r="Q372" s="22">
        <f>IF($A372="","",_xll.BDP($A372&amp;" Corp","YAS_OAS_SPRD"))</f>
        <v/>
      </c>
      <c r="R372" s="22">
        <f>IF($A372="","",_xll.BDP($A372&amp;" Corp","YAS_OAS_SPRD","SETTLE_DT",$B$2))</f>
        <v/>
      </c>
      <c r="S372" s="23">
        <f>IF($A372="","",IF(OR(NOT(ISNUMBER($Q372)),NOT(ISNUMBER($R372))),"",$Q372-$R372))</f>
        <v/>
      </c>
      <c r="T372" s="21">
        <f>IF($A372="","",_xll.BDP($A372&amp;" Corp","YAS_BOND_YLD","YAS_YLD_FLAG=15","SETTLE_DT",$B$2))</f>
        <v/>
      </c>
      <c r="U372" s="24">
        <f>IF($A372="","",IF(OR(NOT(ISNUMBER($O372)),NOT(ISNUMBER($T372))),"",$O372-$T372))</f>
        <v/>
      </c>
      <c r="V372" s="22">
        <f>IF(NOT(ISNUMBER($S372)),"",COUNTIFS($G$7:$G$850,$G372,$S$7:$S$850,"&gt;"&amp;$S372)+COUNTIFS($G$7:$G372,$G372,$S$7:$S372,$S372))</f>
        <v/>
      </c>
      <c r="W372" s="22">
        <f>IF(NOT(ISNUMBER($S372)),"",COUNTIFS($G$7:$G$850,$G372,$S$7:$S$850,"&lt;"&amp;$S372)+COUNTIFS($G$7:$G372,$G372,$S$7:$S372,$S372))</f>
        <v/>
      </c>
      <c r="X372" s="17">
        <f>IF($V372="","",$G372&amp;"|"&amp;$V372)</f>
        <v/>
      </c>
      <c r="Y372" s="17">
        <f>IF($W372="","",$G372&amp;"|"&amp;$W372)</f>
        <v/>
      </c>
    </row>
    <row r="373">
      <c r="A373" s="7" t="inlineStr">
        <is>
          <t>CH1239495042</t>
        </is>
      </c>
      <c r="B373" s="8">
        <f>IF($A373="","",PROPER(_xll.BDP($A373&amp;" Corp","NAME")))</f>
        <v/>
      </c>
      <c r="C373" s="8">
        <f>IF($A373="","",IFERROR(INDEX(Company_desc!$B$2:$B$1144,MATCH($A373,Company_desc!$A$2:$A$1144,0)),IFERROR(INDEX(SYZ_static!$Q$2:$Q$806,MATCH($A373,SYZ_static!$A$2:$A$806,0)),"")))</f>
        <v/>
      </c>
      <c r="D373" s="8">
        <f>IF($A373="","",IFERROR(INDEX(SYZ_static!$B$2:$B$806,MATCH($A373,SYZ_static!$A$2:$A$806,0)),""))</f>
        <v/>
      </c>
      <c r="E373" s="8">
        <f>IF($A373="","",_xll.BDP($A373&amp;" Corp","INDUSTRY_SECTOR"))</f>
        <v/>
      </c>
      <c r="F373" s="8">
        <f>IF($A373="","",PROPER(_xll.BDP($A373&amp;" Corp","COUNTRY_FULL_NAME")))</f>
        <v/>
      </c>
      <c r="G373" s="8">
        <f>IF($A373="","",_xll.BDP($A373&amp;" Corp","CRNCY"))</f>
        <v/>
      </c>
      <c r="H373" s="8">
        <f>IF($A373="","",IFERROR(INDEX(SYZ_static!$T$2:$T$806,MATCH($A373,SYZ_static!$A$2:$A$806,0)),_xll.BDP($A373&amp;" Corp","RTG_SP")))</f>
        <v/>
      </c>
      <c r="I373" s="8">
        <f>IF($A373="","",IFERROR(INDEX(SYZ_static!$S$2:$S$806,MATCH($A373,SYZ_static!$A$2:$A$806,0)),""))</f>
        <v/>
      </c>
      <c r="J373" s="8">
        <f>IF($A373="","",_xll.BDP($A373&amp;" Corp","PAYMENT_RANK"))</f>
        <v/>
      </c>
      <c r="K373" s="9">
        <f>IF($A373="","",_xll.BDP($A373&amp;" Corp","CPN"))</f>
        <v/>
      </c>
      <c r="L373" s="10">
        <f>IF($A373="","",_xll.BDP($A373&amp;" Corp","MATURITY"))</f>
        <v/>
      </c>
      <c r="M373" s="11">
        <f>IF($A373="","",IFERROR(_xll.BDP($A373&amp;" Corp","MIN_PIECE")/1000,""))</f>
        <v/>
      </c>
      <c r="N373" s="12">
        <f>IF($A373="","",_xll.BDP($A373&amp;" Corp","PX_LAST"))</f>
        <v/>
      </c>
      <c r="O373" s="12">
        <f>IF($A373="","",_xll.BDP($A373&amp;" Corp","YAS_BOND_YLD","YAS_YLD_FLAG=15"))</f>
        <v/>
      </c>
      <c r="P373" s="12">
        <f>IF($A373="","",_xll.BDP($A373&amp;" Corp","YAS_MOD_DUR"))</f>
        <v/>
      </c>
      <c r="Q373" s="13">
        <f>IF($A373="","",_xll.BDP($A373&amp;" Corp","YAS_OAS_SPRD"))</f>
        <v/>
      </c>
      <c r="R373" s="13">
        <f>IF($A373="","",_xll.BDP($A373&amp;" Corp","YAS_OAS_SPRD","SETTLE_DT",$B$2))</f>
        <v/>
      </c>
      <c r="S373" s="14">
        <f>IF($A373="","",IF(OR(NOT(ISNUMBER($Q373)),NOT(ISNUMBER($R373))),"",$Q373-$R373))</f>
        <v/>
      </c>
      <c r="T373" s="12">
        <f>IF($A373="","",_xll.BDP($A373&amp;" Corp","YAS_BOND_YLD","YAS_YLD_FLAG=15","SETTLE_DT",$B$2))</f>
        <v/>
      </c>
      <c r="U373" s="15">
        <f>IF($A373="","",IF(OR(NOT(ISNUMBER($O373)),NOT(ISNUMBER($T373))),"",$O373-$T373))</f>
        <v/>
      </c>
      <c r="V373" s="13">
        <f>IF(NOT(ISNUMBER($S373)),"",COUNTIFS($G$7:$G$850,$G373,$S$7:$S$850,"&gt;"&amp;$S373)+COUNTIFS($G$7:$G373,$G373,$S$7:$S373,$S373))</f>
        <v/>
      </c>
      <c r="W373" s="13">
        <f>IF(NOT(ISNUMBER($S373)),"",COUNTIFS($G$7:$G$850,$G373,$S$7:$S$850,"&lt;"&amp;$S373)+COUNTIFS($G$7:$G373,$G373,$S$7:$S373,$S373))</f>
        <v/>
      </c>
      <c r="X373" s="8">
        <f>IF($V373="","",$G373&amp;"|"&amp;$V373)</f>
        <v/>
      </c>
      <c r="Y373" s="8">
        <f>IF($W373="","",$G373&amp;"|"&amp;$W373)</f>
        <v/>
      </c>
    </row>
    <row r="374">
      <c r="A374" s="16" t="inlineStr">
        <is>
          <t>XS2627338580</t>
        </is>
      </c>
      <c r="B374" s="17">
        <f>IF($A374="","",PROPER(_xll.BDP($A374&amp;" Corp","NAME")))</f>
        <v/>
      </c>
      <c r="C374" s="17">
        <f>IF($A374="","",IFERROR(INDEX(Company_desc!$B$2:$B$1144,MATCH($A374,Company_desc!$A$2:$A$1144,0)),IFERROR(INDEX(SYZ_static!$Q$2:$Q$806,MATCH($A374,SYZ_static!$A$2:$A$806,0)),"")))</f>
        <v/>
      </c>
      <c r="D374" s="17">
        <f>IF($A374="","",IFERROR(INDEX(SYZ_static!$B$2:$B$806,MATCH($A374,SYZ_static!$A$2:$A$806,0)),""))</f>
        <v/>
      </c>
      <c r="E374" s="17">
        <f>IF($A374="","",_xll.BDP($A374&amp;" Corp","INDUSTRY_SECTOR"))</f>
        <v/>
      </c>
      <c r="F374" s="17">
        <f>IF($A374="","",PROPER(_xll.BDP($A374&amp;" Corp","COUNTRY_FULL_NAME")))</f>
        <v/>
      </c>
      <c r="G374" s="17">
        <f>IF($A374="","",_xll.BDP($A374&amp;" Corp","CRNCY"))</f>
        <v/>
      </c>
      <c r="H374" s="17">
        <f>IF($A374="","",IFERROR(INDEX(SYZ_static!$T$2:$T$806,MATCH($A374,SYZ_static!$A$2:$A$806,0)),_xll.BDP($A374&amp;" Corp","RTG_SP")))</f>
        <v/>
      </c>
      <c r="I374" s="17">
        <f>IF($A374="","",IFERROR(INDEX(SYZ_static!$S$2:$S$806,MATCH($A374,SYZ_static!$A$2:$A$806,0)),""))</f>
        <v/>
      </c>
      <c r="J374" s="17">
        <f>IF($A374="","",_xll.BDP($A374&amp;" Corp","PAYMENT_RANK"))</f>
        <v/>
      </c>
      <c r="K374" s="18">
        <f>IF($A374="","",_xll.BDP($A374&amp;" Corp","CPN"))</f>
        <v/>
      </c>
      <c r="L374" s="19">
        <f>IF($A374="","",_xll.BDP($A374&amp;" Corp","MATURITY"))</f>
        <v/>
      </c>
      <c r="M374" s="20">
        <f>IF($A374="","",IFERROR(_xll.BDP($A374&amp;" Corp","MIN_PIECE")/1000,""))</f>
        <v/>
      </c>
      <c r="N374" s="21">
        <f>IF($A374="","",_xll.BDP($A374&amp;" Corp","PX_LAST"))</f>
        <v/>
      </c>
      <c r="O374" s="21">
        <f>IF($A374="","",_xll.BDP($A374&amp;" Corp","YAS_BOND_YLD","YAS_YLD_FLAG=15"))</f>
        <v/>
      </c>
      <c r="P374" s="21">
        <f>IF($A374="","",_xll.BDP($A374&amp;" Corp","YAS_MOD_DUR"))</f>
        <v/>
      </c>
      <c r="Q374" s="22">
        <f>IF($A374="","",_xll.BDP($A374&amp;" Corp","YAS_OAS_SPRD"))</f>
        <v/>
      </c>
      <c r="R374" s="22">
        <f>IF($A374="","",_xll.BDP($A374&amp;" Corp","YAS_OAS_SPRD","SETTLE_DT",$B$2))</f>
        <v/>
      </c>
      <c r="S374" s="23">
        <f>IF($A374="","",IF(OR(NOT(ISNUMBER($Q374)),NOT(ISNUMBER($R374))),"",$Q374-$R374))</f>
        <v/>
      </c>
      <c r="T374" s="21">
        <f>IF($A374="","",_xll.BDP($A374&amp;" Corp","YAS_BOND_YLD","YAS_YLD_FLAG=15","SETTLE_DT",$B$2))</f>
        <v/>
      </c>
      <c r="U374" s="24">
        <f>IF($A374="","",IF(OR(NOT(ISNUMBER($O374)),NOT(ISNUMBER($T374))),"",$O374-$T374))</f>
        <v/>
      </c>
      <c r="V374" s="22">
        <f>IF(NOT(ISNUMBER($S374)),"",COUNTIFS($G$7:$G$850,$G374,$S$7:$S$850,"&gt;"&amp;$S374)+COUNTIFS($G$7:$G374,$G374,$S$7:$S374,$S374))</f>
        <v/>
      </c>
      <c r="W374" s="22">
        <f>IF(NOT(ISNUMBER($S374)),"",COUNTIFS($G$7:$G$850,$G374,$S$7:$S$850,"&lt;"&amp;$S374)+COUNTIFS($G$7:$G374,$G374,$S$7:$S374,$S374))</f>
        <v/>
      </c>
      <c r="X374" s="17">
        <f>IF($V374="","",$G374&amp;"|"&amp;$V374)</f>
        <v/>
      </c>
      <c r="Y374" s="17">
        <f>IF($W374="","",$G374&amp;"|"&amp;$W374)</f>
        <v/>
      </c>
    </row>
    <row r="375">
      <c r="A375" s="7" t="inlineStr">
        <is>
          <t>US05526DBW48</t>
        </is>
      </c>
      <c r="B375" s="8">
        <f>IF($A375="","",PROPER(_xll.BDP($A375&amp;" Corp","NAME")))</f>
        <v/>
      </c>
      <c r="C375" s="8">
        <f>IF($A375="","",IFERROR(INDEX(Company_desc!$B$2:$B$1144,MATCH($A375,Company_desc!$A$2:$A$1144,0)),IFERROR(INDEX(SYZ_static!$Q$2:$Q$806,MATCH($A375,SYZ_static!$A$2:$A$806,0)),"")))</f>
        <v/>
      </c>
      <c r="D375" s="8">
        <f>IF($A375="","",IFERROR(INDEX(SYZ_static!$B$2:$B$806,MATCH($A375,SYZ_static!$A$2:$A$806,0)),""))</f>
        <v/>
      </c>
      <c r="E375" s="8">
        <f>IF($A375="","",_xll.BDP($A375&amp;" Corp","INDUSTRY_SECTOR"))</f>
        <v/>
      </c>
      <c r="F375" s="8">
        <f>IF($A375="","",PROPER(_xll.BDP($A375&amp;" Corp","COUNTRY_FULL_NAME")))</f>
        <v/>
      </c>
      <c r="G375" s="8">
        <f>IF($A375="","",_xll.BDP($A375&amp;" Corp","CRNCY"))</f>
        <v/>
      </c>
      <c r="H375" s="8">
        <f>IF($A375="","",IFERROR(INDEX(SYZ_static!$T$2:$T$806,MATCH($A375,SYZ_static!$A$2:$A$806,0)),_xll.BDP($A375&amp;" Corp","RTG_SP")))</f>
        <v/>
      </c>
      <c r="I375" s="8">
        <f>IF($A375="","",IFERROR(INDEX(SYZ_static!$S$2:$S$806,MATCH($A375,SYZ_static!$A$2:$A$806,0)),""))</f>
        <v/>
      </c>
      <c r="J375" s="8">
        <f>IF($A375="","",_xll.BDP($A375&amp;" Corp","PAYMENT_RANK"))</f>
        <v/>
      </c>
      <c r="K375" s="9">
        <f>IF($A375="","",_xll.BDP($A375&amp;" Corp","CPN"))</f>
        <v/>
      </c>
      <c r="L375" s="10">
        <f>IF($A375="","",_xll.BDP($A375&amp;" Corp","MATURITY"))</f>
        <v/>
      </c>
      <c r="M375" s="11">
        <f>IF($A375="","",IFERROR(_xll.BDP($A375&amp;" Corp","MIN_PIECE")/1000,""))</f>
        <v/>
      </c>
      <c r="N375" s="12">
        <f>IF($A375="","",_xll.BDP($A375&amp;" Corp","PX_LAST"))</f>
        <v/>
      </c>
      <c r="O375" s="12">
        <f>IF($A375="","",_xll.BDP($A375&amp;" Corp","YAS_BOND_YLD","YAS_YLD_FLAG=15"))</f>
        <v/>
      </c>
      <c r="P375" s="12">
        <f>IF($A375="","",_xll.BDP($A375&amp;" Corp","YAS_MOD_DUR"))</f>
        <v/>
      </c>
      <c r="Q375" s="13">
        <f>IF($A375="","",_xll.BDP($A375&amp;" Corp","YAS_OAS_SPRD"))</f>
        <v/>
      </c>
      <c r="R375" s="13">
        <f>IF($A375="","",_xll.BDP($A375&amp;" Corp","YAS_OAS_SPRD","SETTLE_DT",$B$2))</f>
        <v/>
      </c>
      <c r="S375" s="14">
        <f>IF($A375="","",IF(OR(NOT(ISNUMBER($Q375)),NOT(ISNUMBER($R375))),"",$Q375-$R375))</f>
        <v/>
      </c>
      <c r="T375" s="12">
        <f>IF($A375="","",_xll.BDP($A375&amp;" Corp","YAS_BOND_YLD","YAS_YLD_FLAG=15","SETTLE_DT",$B$2))</f>
        <v/>
      </c>
      <c r="U375" s="15">
        <f>IF($A375="","",IF(OR(NOT(ISNUMBER($O375)),NOT(ISNUMBER($T375))),"",$O375-$T375))</f>
        <v/>
      </c>
      <c r="V375" s="13">
        <f>IF(NOT(ISNUMBER($S375)),"",COUNTIFS($G$7:$G$850,$G375,$S$7:$S$850,"&gt;"&amp;$S375)+COUNTIFS($G$7:$G375,$G375,$S$7:$S375,$S375))</f>
        <v/>
      </c>
      <c r="W375" s="13">
        <f>IF(NOT(ISNUMBER($S375)),"",COUNTIFS($G$7:$G$850,$G375,$S$7:$S$850,"&lt;"&amp;$S375)+COUNTIFS($G$7:$G375,$G375,$S$7:$S375,$S375))</f>
        <v/>
      </c>
      <c r="X375" s="8">
        <f>IF($V375="","",$G375&amp;"|"&amp;$V375)</f>
        <v/>
      </c>
      <c r="Y375" s="8">
        <f>IF($W375="","",$G375&amp;"|"&amp;$W375)</f>
        <v/>
      </c>
    </row>
    <row r="376">
      <c r="A376" s="16" t="inlineStr">
        <is>
          <t>US03938LBC72</t>
        </is>
      </c>
      <c r="B376" s="17">
        <f>IF($A376="","",PROPER(_xll.BDP($A376&amp;" Corp","NAME")))</f>
        <v/>
      </c>
      <c r="C376" s="17">
        <f>IF($A376="","",IFERROR(INDEX(Company_desc!$B$2:$B$1144,MATCH($A376,Company_desc!$A$2:$A$1144,0)),IFERROR(INDEX(SYZ_static!$Q$2:$Q$806,MATCH($A376,SYZ_static!$A$2:$A$806,0)),"")))</f>
        <v/>
      </c>
      <c r="D376" s="17">
        <f>IF($A376="","",IFERROR(INDEX(SYZ_static!$B$2:$B$806,MATCH($A376,SYZ_static!$A$2:$A$806,0)),""))</f>
        <v/>
      </c>
      <c r="E376" s="17">
        <f>IF($A376="","",_xll.BDP($A376&amp;" Corp","INDUSTRY_SECTOR"))</f>
        <v/>
      </c>
      <c r="F376" s="17">
        <f>IF($A376="","",PROPER(_xll.BDP($A376&amp;" Corp","COUNTRY_FULL_NAME")))</f>
        <v/>
      </c>
      <c r="G376" s="17">
        <f>IF($A376="","",_xll.BDP($A376&amp;" Corp","CRNCY"))</f>
        <v/>
      </c>
      <c r="H376" s="17">
        <f>IF($A376="","",IFERROR(INDEX(SYZ_static!$T$2:$T$806,MATCH($A376,SYZ_static!$A$2:$A$806,0)),_xll.BDP($A376&amp;" Corp","RTG_SP")))</f>
        <v/>
      </c>
      <c r="I376" s="17">
        <f>IF($A376="","",IFERROR(INDEX(SYZ_static!$S$2:$S$806,MATCH($A376,SYZ_static!$A$2:$A$806,0)),""))</f>
        <v/>
      </c>
      <c r="J376" s="17">
        <f>IF($A376="","",_xll.BDP($A376&amp;" Corp","PAYMENT_RANK"))</f>
        <v/>
      </c>
      <c r="K376" s="18">
        <f>IF($A376="","",_xll.BDP($A376&amp;" Corp","CPN"))</f>
        <v/>
      </c>
      <c r="L376" s="19">
        <f>IF($A376="","",_xll.BDP($A376&amp;" Corp","MATURITY"))</f>
        <v/>
      </c>
      <c r="M376" s="20">
        <f>IF($A376="","",IFERROR(_xll.BDP($A376&amp;" Corp","MIN_PIECE")/1000,""))</f>
        <v/>
      </c>
      <c r="N376" s="21">
        <f>IF($A376="","",_xll.BDP($A376&amp;" Corp","PX_LAST"))</f>
        <v/>
      </c>
      <c r="O376" s="21">
        <f>IF($A376="","",_xll.BDP($A376&amp;" Corp","YAS_BOND_YLD","YAS_YLD_FLAG=15"))</f>
        <v/>
      </c>
      <c r="P376" s="21">
        <f>IF($A376="","",_xll.BDP($A376&amp;" Corp","YAS_MOD_DUR"))</f>
        <v/>
      </c>
      <c r="Q376" s="22">
        <f>IF($A376="","",_xll.BDP($A376&amp;" Corp","YAS_OAS_SPRD"))</f>
        <v/>
      </c>
      <c r="R376" s="22">
        <f>IF($A376="","",_xll.BDP($A376&amp;" Corp","YAS_OAS_SPRD","SETTLE_DT",$B$2))</f>
        <v/>
      </c>
      <c r="S376" s="23">
        <f>IF($A376="","",IF(OR(NOT(ISNUMBER($Q376)),NOT(ISNUMBER($R376))),"",$Q376-$R376))</f>
        <v/>
      </c>
      <c r="T376" s="21">
        <f>IF($A376="","",_xll.BDP($A376&amp;" Corp","YAS_BOND_YLD","YAS_YLD_FLAG=15","SETTLE_DT",$B$2))</f>
        <v/>
      </c>
      <c r="U376" s="24">
        <f>IF($A376="","",IF(OR(NOT(ISNUMBER($O376)),NOT(ISNUMBER($T376))),"",$O376-$T376))</f>
        <v/>
      </c>
      <c r="V376" s="22">
        <f>IF(NOT(ISNUMBER($S376)),"",COUNTIFS($G$7:$G$850,$G376,$S$7:$S$850,"&gt;"&amp;$S376)+COUNTIFS($G$7:$G376,$G376,$S$7:$S376,$S376))</f>
        <v/>
      </c>
      <c r="W376" s="22">
        <f>IF(NOT(ISNUMBER($S376)),"",COUNTIFS($G$7:$G$850,$G376,$S$7:$S$850,"&lt;"&amp;$S376)+COUNTIFS($G$7:$G376,$G376,$S$7:$S376,$S376))</f>
        <v/>
      </c>
      <c r="X376" s="17">
        <f>IF($V376="","",$G376&amp;"|"&amp;$V376)</f>
        <v/>
      </c>
      <c r="Y376" s="17">
        <f>IF($W376="","",$G376&amp;"|"&amp;$W376)</f>
        <v/>
      </c>
    </row>
    <row r="377">
      <c r="A377" s="7" t="inlineStr">
        <is>
          <t>XS2554488978</t>
        </is>
      </c>
      <c r="B377" s="8">
        <f>IF($A377="","",PROPER(_xll.BDP($A377&amp;" Corp","NAME")))</f>
        <v/>
      </c>
      <c r="C377" s="8">
        <f>IF($A377="","",IFERROR(INDEX(Company_desc!$B$2:$B$1144,MATCH($A377,Company_desc!$A$2:$A$1144,0)),IFERROR(INDEX(SYZ_static!$Q$2:$Q$806,MATCH($A377,SYZ_static!$A$2:$A$806,0)),"")))</f>
        <v/>
      </c>
      <c r="D377" s="8">
        <f>IF($A377="","",IFERROR(INDEX(SYZ_static!$B$2:$B$806,MATCH($A377,SYZ_static!$A$2:$A$806,0)),""))</f>
        <v/>
      </c>
      <c r="E377" s="8">
        <f>IF($A377="","",_xll.BDP($A377&amp;" Corp","INDUSTRY_SECTOR"))</f>
        <v/>
      </c>
      <c r="F377" s="8">
        <f>IF($A377="","",PROPER(_xll.BDP($A377&amp;" Corp","COUNTRY_FULL_NAME")))</f>
        <v/>
      </c>
      <c r="G377" s="8">
        <f>IF($A377="","",_xll.BDP($A377&amp;" Corp","CRNCY"))</f>
        <v/>
      </c>
      <c r="H377" s="8">
        <f>IF($A377="","",IFERROR(INDEX(SYZ_static!$T$2:$T$806,MATCH($A377,SYZ_static!$A$2:$A$806,0)),_xll.BDP($A377&amp;" Corp","RTG_SP")))</f>
        <v/>
      </c>
      <c r="I377" s="8">
        <f>IF($A377="","",IFERROR(INDEX(SYZ_static!$S$2:$S$806,MATCH($A377,SYZ_static!$A$2:$A$806,0)),""))</f>
        <v/>
      </c>
      <c r="J377" s="8">
        <f>IF($A377="","",_xll.BDP($A377&amp;" Corp","PAYMENT_RANK"))</f>
        <v/>
      </c>
      <c r="K377" s="9">
        <f>IF($A377="","",_xll.BDP($A377&amp;" Corp","CPN"))</f>
        <v/>
      </c>
      <c r="L377" s="10">
        <f>IF($A377="","",_xll.BDP($A377&amp;" Corp","MATURITY"))</f>
        <v/>
      </c>
      <c r="M377" s="11">
        <f>IF($A377="","",IFERROR(_xll.BDP($A377&amp;" Corp","MIN_PIECE")/1000,""))</f>
        <v/>
      </c>
      <c r="N377" s="12">
        <f>IF($A377="","",_xll.BDP($A377&amp;" Corp","PX_LAST"))</f>
        <v/>
      </c>
      <c r="O377" s="12">
        <f>IF($A377="","",_xll.BDP($A377&amp;" Corp","YAS_BOND_YLD","YAS_YLD_FLAG=15"))</f>
        <v/>
      </c>
      <c r="P377" s="12">
        <f>IF($A377="","",_xll.BDP($A377&amp;" Corp","YAS_MOD_DUR"))</f>
        <v/>
      </c>
      <c r="Q377" s="13">
        <f>IF($A377="","",_xll.BDP($A377&amp;" Corp","YAS_OAS_SPRD"))</f>
        <v/>
      </c>
      <c r="R377" s="13">
        <f>IF($A377="","",_xll.BDP($A377&amp;" Corp","YAS_OAS_SPRD","SETTLE_DT",$B$2))</f>
        <v/>
      </c>
      <c r="S377" s="14">
        <f>IF($A377="","",IF(OR(NOT(ISNUMBER($Q377)),NOT(ISNUMBER($R377))),"",$Q377-$R377))</f>
        <v/>
      </c>
      <c r="T377" s="12">
        <f>IF($A377="","",_xll.BDP($A377&amp;" Corp","YAS_BOND_YLD","YAS_YLD_FLAG=15","SETTLE_DT",$B$2))</f>
        <v/>
      </c>
      <c r="U377" s="15">
        <f>IF($A377="","",IF(OR(NOT(ISNUMBER($O377)),NOT(ISNUMBER($T377))),"",$O377-$T377))</f>
        <v/>
      </c>
      <c r="V377" s="13">
        <f>IF(NOT(ISNUMBER($S377)),"",COUNTIFS($G$7:$G$850,$G377,$S$7:$S$850,"&gt;"&amp;$S377)+COUNTIFS($G$7:$G377,$G377,$S$7:$S377,$S377))</f>
        <v/>
      </c>
      <c r="W377" s="13">
        <f>IF(NOT(ISNUMBER($S377)),"",COUNTIFS($G$7:$G$850,$G377,$S$7:$S$850,"&lt;"&amp;$S377)+COUNTIFS($G$7:$G377,$G377,$S$7:$S377,$S377))</f>
        <v/>
      </c>
      <c r="X377" s="8">
        <f>IF($V377="","",$G377&amp;"|"&amp;$V377)</f>
        <v/>
      </c>
      <c r="Y377" s="8">
        <f>IF($W377="","",$G377&amp;"|"&amp;$W377)</f>
        <v/>
      </c>
    </row>
    <row r="378">
      <c r="A378" s="16" t="inlineStr">
        <is>
          <t>US03027XBW92</t>
        </is>
      </c>
      <c r="B378" s="17">
        <f>IF($A378="","",PROPER(_xll.BDP($A378&amp;" Corp","NAME")))</f>
        <v/>
      </c>
      <c r="C378" s="17">
        <f>IF($A378="","",IFERROR(INDEX(Company_desc!$B$2:$B$1144,MATCH($A378,Company_desc!$A$2:$A$1144,0)),IFERROR(INDEX(SYZ_static!$Q$2:$Q$806,MATCH($A378,SYZ_static!$A$2:$A$806,0)),"")))</f>
        <v/>
      </c>
      <c r="D378" s="17">
        <f>IF($A378="","",IFERROR(INDEX(SYZ_static!$B$2:$B$806,MATCH($A378,SYZ_static!$A$2:$A$806,0)),""))</f>
        <v/>
      </c>
      <c r="E378" s="17">
        <f>IF($A378="","",_xll.BDP($A378&amp;" Corp","INDUSTRY_SECTOR"))</f>
        <v/>
      </c>
      <c r="F378" s="17">
        <f>IF($A378="","",PROPER(_xll.BDP($A378&amp;" Corp","COUNTRY_FULL_NAME")))</f>
        <v/>
      </c>
      <c r="G378" s="17">
        <f>IF($A378="","",_xll.BDP($A378&amp;" Corp","CRNCY"))</f>
        <v/>
      </c>
      <c r="H378" s="17">
        <f>IF($A378="","",IFERROR(INDEX(SYZ_static!$T$2:$T$806,MATCH($A378,SYZ_static!$A$2:$A$806,0)),_xll.BDP($A378&amp;" Corp","RTG_SP")))</f>
        <v/>
      </c>
      <c r="I378" s="17">
        <f>IF($A378="","",IFERROR(INDEX(SYZ_static!$S$2:$S$806,MATCH($A378,SYZ_static!$A$2:$A$806,0)),""))</f>
        <v/>
      </c>
      <c r="J378" s="17">
        <f>IF($A378="","",_xll.BDP($A378&amp;" Corp","PAYMENT_RANK"))</f>
        <v/>
      </c>
      <c r="K378" s="18">
        <f>IF($A378="","",_xll.BDP($A378&amp;" Corp","CPN"))</f>
        <v/>
      </c>
      <c r="L378" s="19">
        <f>IF($A378="","",_xll.BDP($A378&amp;" Corp","MATURITY"))</f>
        <v/>
      </c>
      <c r="M378" s="20">
        <f>IF($A378="","",IFERROR(_xll.BDP($A378&amp;" Corp","MIN_PIECE")/1000,""))</f>
        <v/>
      </c>
      <c r="N378" s="21">
        <f>IF($A378="","",_xll.BDP($A378&amp;" Corp","PX_LAST"))</f>
        <v/>
      </c>
      <c r="O378" s="21">
        <f>IF($A378="","",_xll.BDP($A378&amp;" Corp","YAS_BOND_YLD","YAS_YLD_FLAG=15"))</f>
        <v/>
      </c>
      <c r="P378" s="21">
        <f>IF($A378="","",_xll.BDP($A378&amp;" Corp","YAS_MOD_DUR"))</f>
        <v/>
      </c>
      <c r="Q378" s="22">
        <f>IF($A378="","",_xll.BDP($A378&amp;" Corp","YAS_OAS_SPRD"))</f>
        <v/>
      </c>
      <c r="R378" s="22">
        <f>IF($A378="","",_xll.BDP($A378&amp;" Corp","YAS_OAS_SPRD","SETTLE_DT",$B$2))</f>
        <v/>
      </c>
      <c r="S378" s="23">
        <f>IF($A378="","",IF(OR(NOT(ISNUMBER($Q378)),NOT(ISNUMBER($R378))),"",$Q378-$R378))</f>
        <v/>
      </c>
      <c r="T378" s="21">
        <f>IF($A378="","",_xll.BDP($A378&amp;" Corp","YAS_BOND_YLD","YAS_YLD_FLAG=15","SETTLE_DT",$B$2))</f>
        <v/>
      </c>
      <c r="U378" s="24">
        <f>IF($A378="","",IF(OR(NOT(ISNUMBER($O378)),NOT(ISNUMBER($T378))),"",$O378-$T378))</f>
        <v/>
      </c>
      <c r="V378" s="22">
        <f>IF(NOT(ISNUMBER($S378)),"",COUNTIFS($G$7:$G$850,$G378,$S$7:$S$850,"&gt;"&amp;$S378)+COUNTIFS($G$7:$G378,$G378,$S$7:$S378,$S378))</f>
        <v/>
      </c>
      <c r="W378" s="22">
        <f>IF(NOT(ISNUMBER($S378)),"",COUNTIFS($G$7:$G$850,$G378,$S$7:$S$850,"&lt;"&amp;$S378)+COUNTIFS($G$7:$G378,$G378,$S$7:$S378,$S378))</f>
        <v/>
      </c>
      <c r="X378" s="17">
        <f>IF($V378="","",$G378&amp;"|"&amp;$V378)</f>
        <v/>
      </c>
      <c r="Y378" s="17">
        <f>IF($W378="","",$G378&amp;"|"&amp;$W378)</f>
        <v/>
      </c>
    </row>
    <row r="379">
      <c r="A379" s="7" t="inlineStr">
        <is>
          <t>US47233WBM01</t>
        </is>
      </c>
      <c r="B379" s="8">
        <f>IF($A379="","",PROPER(_xll.BDP($A379&amp;" Corp","NAME")))</f>
        <v/>
      </c>
      <c r="C379" s="8">
        <f>IF($A379="","",IFERROR(INDEX(Company_desc!$B$2:$B$1144,MATCH($A379,Company_desc!$A$2:$A$1144,0)),IFERROR(INDEX(SYZ_static!$Q$2:$Q$806,MATCH($A379,SYZ_static!$A$2:$A$806,0)),"")))</f>
        <v/>
      </c>
      <c r="D379" s="8">
        <f>IF($A379="","",IFERROR(INDEX(SYZ_static!$B$2:$B$806,MATCH($A379,SYZ_static!$A$2:$A$806,0)),""))</f>
        <v/>
      </c>
      <c r="E379" s="8">
        <f>IF($A379="","",_xll.BDP($A379&amp;" Corp","INDUSTRY_SECTOR"))</f>
        <v/>
      </c>
      <c r="F379" s="8">
        <f>IF($A379="","",PROPER(_xll.BDP($A379&amp;" Corp","COUNTRY_FULL_NAME")))</f>
        <v/>
      </c>
      <c r="G379" s="8">
        <f>IF($A379="","",_xll.BDP($A379&amp;" Corp","CRNCY"))</f>
        <v/>
      </c>
      <c r="H379" s="8">
        <f>IF($A379="","",IFERROR(INDEX(SYZ_static!$T$2:$T$806,MATCH($A379,SYZ_static!$A$2:$A$806,0)),_xll.BDP($A379&amp;" Corp","RTG_SP")))</f>
        <v/>
      </c>
      <c r="I379" s="8">
        <f>IF($A379="","",IFERROR(INDEX(SYZ_static!$S$2:$S$806,MATCH($A379,SYZ_static!$A$2:$A$806,0)),""))</f>
        <v/>
      </c>
      <c r="J379" s="8">
        <f>IF($A379="","",_xll.BDP($A379&amp;" Corp","PAYMENT_RANK"))</f>
        <v/>
      </c>
      <c r="K379" s="9">
        <f>IF($A379="","",_xll.BDP($A379&amp;" Corp","CPN"))</f>
        <v/>
      </c>
      <c r="L379" s="10">
        <f>IF($A379="","",_xll.BDP($A379&amp;" Corp","MATURITY"))</f>
        <v/>
      </c>
      <c r="M379" s="11">
        <f>IF($A379="","",IFERROR(_xll.BDP($A379&amp;" Corp","MIN_PIECE")/1000,""))</f>
        <v/>
      </c>
      <c r="N379" s="12">
        <f>IF($A379="","",_xll.BDP($A379&amp;" Corp","PX_LAST"))</f>
        <v/>
      </c>
      <c r="O379" s="12">
        <f>IF($A379="","",_xll.BDP($A379&amp;" Corp","YAS_BOND_YLD","YAS_YLD_FLAG=15"))</f>
        <v/>
      </c>
      <c r="P379" s="12">
        <f>IF($A379="","",_xll.BDP($A379&amp;" Corp","YAS_MOD_DUR"))</f>
        <v/>
      </c>
      <c r="Q379" s="13">
        <f>IF($A379="","",_xll.BDP($A379&amp;" Corp","YAS_OAS_SPRD"))</f>
        <v/>
      </c>
      <c r="R379" s="13">
        <f>IF($A379="","",_xll.BDP($A379&amp;" Corp","YAS_OAS_SPRD","SETTLE_DT",$B$2))</f>
        <v/>
      </c>
      <c r="S379" s="14">
        <f>IF($A379="","",IF(OR(NOT(ISNUMBER($Q379)),NOT(ISNUMBER($R379))),"",$Q379-$R379))</f>
        <v/>
      </c>
      <c r="T379" s="12">
        <f>IF($A379="","",_xll.BDP($A379&amp;" Corp","YAS_BOND_YLD","YAS_YLD_FLAG=15","SETTLE_DT",$B$2))</f>
        <v/>
      </c>
      <c r="U379" s="15">
        <f>IF($A379="","",IF(OR(NOT(ISNUMBER($O379)),NOT(ISNUMBER($T379))),"",$O379-$T379))</f>
        <v/>
      </c>
      <c r="V379" s="13">
        <f>IF(NOT(ISNUMBER($S379)),"",COUNTIFS($G$7:$G$850,$G379,$S$7:$S$850,"&gt;"&amp;$S379)+COUNTIFS($G$7:$G379,$G379,$S$7:$S379,$S379))</f>
        <v/>
      </c>
      <c r="W379" s="13">
        <f>IF(NOT(ISNUMBER($S379)),"",COUNTIFS($G$7:$G$850,$G379,$S$7:$S$850,"&lt;"&amp;$S379)+COUNTIFS($G$7:$G379,$G379,$S$7:$S379,$S379))</f>
        <v/>
      </c>
      <c r="X379" s="8">
        <f>IF($V379="","",$G379&amp;"|"&amp;$V379)</f>
        <v/>
      </c>
      <c r="Y379" s="8">
        <f>IF($W379="","",$G379&amp;"|"&amp;$W379)</f>
        <v/>
      </c>
    </row>
    <row r="380">
      <c r="A380" s="16" t="inlineStr">
        <is>
          <t>US44891CBG78</t>
        </is>
      </c>
      <c r="B380" s="17">
        <f>IF($A380="","",PROPER(_xll.BDP($A380&amp;" Corp","NAME")))</f>
        <v/>
      </c>
      <c r="C380" s="17">
        <f>IF($A380="","",IFERROR(INDEX(Company_desc!$B$2:$B$1144,MATCH($A380,Company_desc!$A$2:$A$1144,0)),IFERROR(INDEX(SYZ_static!$Q$2:$Q$806,MATCH($A380,SYZ_static!$A$2:$A$806,0)),"")))</f>
        <v/>
      </c>
      <c r="D380" s="17">
        <f>IF($A380="","",IFERROR(INDEX(SYZ_static!$B$2:$B$806,MATCH($A380,SYZ_static!$A$2:$A$806,0)),""))</f>
        <v/>
      </c>
      <c r="E380" s="17">
        <f>IF($A380="","",_xll.BDP($A380&amp;" Corp","INDUSTRY_SECTOR"))</f>
        <v/>
      </c>
      <c r="F380" s="17">
        <f>IF($A380="","",PROPER(_xll.BDP($A380&amp;" Corp","COUNTRY_FULL_NAME")))</f>
        <v/>
      </c>
      <c r="G380" s="17">
        <f>IF($A380="","",_xll.BDP($A380&amp;" Corp","CRNCY"))</f>
        <v/>
      </c>
      <c r="H380" s="17">
        <f>IF($A380="","",IFERROR(INDEX(SYZ_static!$T$2:$T$806,MATCH($A380,SYZ_static!$A$2:$A$806,0)),_xll.BDP($A380&amp;" Corp","RTG_SP")))</f>
        <v/>
      </c>
      <c r="I380" s="17">
        <f>IF($A380="","",IFERROR(INDEX(SYZ_static!$S$2:$S$806,MATCH($A380,SYZ_static!$A$2:$A$806,0)),""))</f>
        <v/>
      </c>
      <c r="J380" s="17">
        <f>IF($A380="","",_xll.BDP($A380&amp;" Corp","PAYMENT_RANK"))</f>
        <v/>
      </c>
      <c r="K380" s="18">
        <f>IF($A380="","",_xll.BDP($A380&amp;" Corp","CPN"))</f>
        <v/>
      </c>
      <c r="L380" s="19">
        <f>IF($A380="","",_xll.BDP($A380&amp;" Corp","MATURITY"))</f>
        <v/>
      </c>
      <c r="M380" s="20">
        <f>IF($A380="","",IFERROR(_xll.BDP($A380&amp;" Corp","MIN_PIECE")/1000,""))</f>
        <v/>
      </c>
      <c r="N380" s="21">
        <f>IF($A380="","",_xll.BDP($A380&amp;" Corp","PX_LAST"))</f>
        <v/>
      </c>
      <c r="O380" s="21">
        <f>IF($A380="","",_xll.BDP($A380&amp;" Corp","YAS_BOND_YLD","YAS_YLD_FLAG=15"))</f>
        <v/>
      </c>
      <c r="P380" s="21">
        <f>IF($A380="","",_xll.BDP($A380&amp;" Corp","YAS_MOD_DUR"))</f>
        <v/>
      </c>
      <c r="Q380" s="22">
        <f>IF($A380="","",_xll.BDP($A380&amp;" Corp","YAS_OAS_SPRD"))</f>
        <v/>
      </c>
      <c r="R380" s="22">
        <f>IF($A380="","",_xll.BDP($A380&amp;" Corp","YAS_OAS_SPRD","SETTLE_DT",$B$2))</f>
        <v/>
      </c>
      <c r="S380" s="23">
        <f>IF($A380="","",IF(OR(NOT(ISNUMBER($Q380)),NOT(ISNUMBER($R380))),"",$Q380-$R380))</f>
        <v/>
      </c>
      <c r="T380" s="21">
        <f>IF($A380="","",_xll.BDP($A380&amp;" Corp","YAS_BOND_YLD","YAS_YLD_FLAG=15","SETTLE_DT",$B$2))</f>
        <v/>
      </c>
      <c r="U380" s="24">
        <f>IF($A380="","",IF(OR(NOT(ISNUMBER($O380)),NOT(ISNUMBER($T380))),"",$O380-$T380))</f>
        <v/>
      </c>
      <c r="V380" s="22">
        <f>IF(NOT(ISNUMBER($S380)),"",COUNTIFS($G$7:$G$850,$G380,$S$7:$S$850,"&gt;"&amp;$S380)+COUNTIFS($G$7:$G380,$G380,$S$7:$S380,$S380))</f>
        <v/>
      </c>
      <c r="W380" s="22">
        <f>IF(NOT(ISNUMBER($S380)),"",COUNTIFS($G$7:$G$850,$G380,$S$7:$S$850,"&lt;"&amp;$S380)+COUNTIFS($G$7:$G380,$G380,$S$7:$S380,$S380))</f>
        <v/>
      </c>
      <c r="X380" s="17">
        <f>IF($V380="","",$G380&amp;"|"&amp;$V380)</f>
        <v/>
      </c>
      <c r="Y380" s="17">
        <f>IF($W380="","",$G380&amp;"|"&amp;$W380)</f>
        <v/>
      </c>
    </row>
    <row r="381">
      <c r="A381" s="7" t="inlineStr">
        <is>
          <t>US05526DBY04</t>
        </is>
      </c>
      <c r="B381" s="8">
        <f>IF($A381="","",PROPER(_xll.BDP($A381&amp;" Corp","NAME")))</f>
        <v/>
      </c>
      <c r="C381" s="8">
        <f>IF($A381="","",IFERROR(INDEX(Company_desc!$B$2:$B$1144,MATCH($A381,Company_desc!$A$2:$A$1144,0)),IFERROR(INDEX(SYZ_static!$Q$2:$Q$806,MATCH($A381,SYZ_static!$A$2:$A$806,0)),"")))</f>
        <v/>
      </c>
      <c r="D381" s="8">
        <f>IF($A381="","",IFERROR(INDEX(SYZ_static!$B$2:$B$806,MATCH($A381,SYZ_static!$A$2:$A$806,0)),""))</f>
        <v/>
      </c>
      <c r="E381" s="8">
        <f>IF($A381="","",_xll.BDP($A381&amp;" Corp","INDUSTRY_SECTOR"))</f>
        <v/>
      </c>
      <c r="F381" s="8">
        <f>IF($A381="","",PROPER(_xll.BDP($A381&amp;" Corp","COUNTRY_FULL_NAME")))</f>
        <v/>
      </c>
      <c r="G381" s="8">
        <f>IF($A381="","",_xll.BDP($A381&amp;" Corp","CRNCY"))</f>
        <v/>
      </c>
      <c r="H381" s="8">
        <f>IF($A381="","",IFERROR(INDEX(SYZ_static!$T$2:$T$806,MATCH($A381,SYZ_static!$A$2:$A$806,0)),_xll.BDP($A381&amp;" Corp","RTG_SP")))</f>
        <v/>
      </c>
      <c r="I381" s="8">
        <f>IF($A381="","",IFERROR(INDEX(SYZ_static!$S$2:$S$806,MATCH($A381,SYZ_static!$A$2:$A$806,0)),""))</f>
        <v/>
      </c>
      <c r="J381" s="8">
        <f>IF($A381="","",_xll.BDP($A381&amp;" Corp","PAYMENT_RANK"))</f>
        <v/>
      </c>
      <c r="K381" s="9">
        <f>IF($A381="","",_xll.BDP($A381&amp;" Corp","CPN"))</f>
        <v/>
      </c>
      <c r="L381" s="10">
        <f>IF($A381="","",_xll.BDP($A381&amp;" Corp","MATURITY"))</f>
        <v/>
      </c>
      <c r="M381" s="11">
        <f>IF($A381="","",IFERROR(_xll.BDP($A381&amp;" Corp","MIN_PIECE")/1000,""))</f>
        <v/>
      </c>
      <c r="N381" s="12">
        <f>IF($A381="","",_xll.BDP($A381&amp;" Corp","PX_LAST"))</f>
        <v/>
      </c>
      <c r="O381" s="12">
        <f>IF($A381="","",_xll.BDP($A381&amp;" Corp","YAS_BOND_YLD","YAS_YLD_FLAG=15"))</f>
        <v/>
      </c>
      <c r="P381" s="12">
        <f>IF($A381="","",_xll.BDP($A381&amp;" Corp","YAS_MOD_DUR"))</f>
        <v/>
      </c>
      <c r="Q381" s="13">
        <f>IF($A381="","",_xll.BDP($A381&amp;" Corp","YAS_OAS_SPRD"))</f>
        <v/>
      </c>
      <c r="R381" s="13">
        <f>IF($A381="","",_xll.BDP($A381&amp;" Corp","YAS_OAS_SPRD","SETTLE_DT",$B$2))</f>
        <v/>
      </c>
      <c r="S381" s="14">
        <f>IF($A381="","",IF(OR(NOT(ISNUMBER($Q381)),NOT(ISNUMBER($R381))),"",$Q381-$R381))</f>
        <v/>
      </c>
      <c r="T381" s="12">
        <f>IF($A381="","",_xll.BDP($A381&amp;" Corp","YAS_BOND_YLD","YAS_YLD_FLAG=15","SETTLE_DT",$B$2))</f>
        <v/>
      </c>
      <c r="U381" s="15">
        <f>IF($A381="","",IF(OR(NOT(ISNUMBER($O381)),NOT(ISNUMBER($T381))),"",$O381-$T381))</f>
        <v/>
      </c>
      <c r="V381" s="13">
        <f>IF(NOT(ISNUMBER($S381)),"",COUNTIFS($G$7:$G$850,$G381,$S$7:$S$850,"&gt;"&amp;$S381)+COUNTIFS($G$7:$G381,$G381,$S$7:$S381,$S381))</f>
        <v/>
      </c>
      <c r="W381" s="13">
        <f>IF(NOT(ISNUMBER($S381)),"",COUNTIFS($G$7:$G$850,$G381,$S$7:$S$850,"&lt;"&amp;$S381)+COUNTIFS($G$7:$G381,$G381,$S$7:$S381,$S381))</f>
        <v/>
      </c>
      <c r="X381" s="8">
        <f>IF($V381="","",$G381&amp;"|"&amp;$V381)</f>
        <v/>
      </c>
      <c r="Y381" s="8">
        <f>IF($W381="","",$G381&amp;"|"&amp;$W381)</f>
        <v/>
      </c>
    </row>
    <row r="382">
      <c r="A382" s="16" t="inlineStr">
        <is>
          <t>XS1795261822</t>
        </is>
      </c>
      <c r="B382" s="17">
        <f>IF($A382="","",PROPER(_xll.BDP($A382&amp;" Corp","NAME")))</f>
        <v/>
      </c>
      <c r="C382" s="17">
        <f>IF($A382="","",IFERROR(INDEX(Company_desc!$B$2:$B$1144,MATCH($A382,Company_desc!$A$2:$A$1144,0)),IFERROR(INDEX(SYZ_static!$Q$2:$Q$806,MATCH($A382,SYZ_static!$A$2:$A$806,0)),"")))</f>
        <v/>
      </c>
      <c r="D382" s="17">
        <f>IF($A382="","",IFERROR(INDEX(SYZ_static!$B$2:$B$806,MATCH($A382,SYZ_static!$A$2:$A$806,0)),""))</f>
        <v/>
      </c>
      <c r="E382" s="17">
        <f>IF($A382="","",_xll.BDP($A382&amp;" Corp","INDUSTRY_SECTOR"))</f>
        <v/>
      </c>
      <c r="F382" s="17">
        <f>IF($A382="","",PROPER(_xll.BDP($A382&amp;" Corp","COUNTRY_FULL_NAME")))</f>
        <v/>
      </c>
      <c r="G382" s="17">
        <f>IF($A382="","",_xll.BDP($A382&amp;" Corp","CRNCY"))</f>
        <v/>
      </c>
      <c r="H382" s="17">
        <f>IF($A382="","",IFERROR(INDEX(SYZ_static!$T$2:$T$806,MATCH($A382,SYZ_static!$A$2:$A$806,0)),_xll.BDP($A382&amp;" Corp","RTG_SP")))</f>
        <v/>
      </c>
      <c r="I382" s="17">
        <f>IF($A382="","",IFERROR(INDEX(SYZ_static!$S$2:$S$806,MATCH($A382,SYZ_static!$A$2:$A$806,0)),""))</f>
        <v/>
      </c>
      <c r="J382" s="17">
        <f>IF($A382="","",_xll.BDP($A382&amp;" Corp","PAYMENT_RANK"))</f>
        <v/>
      </c>
      <c r="K382" s="18">
        <f>IF($A382="","",_xll.BDP($A382&amp;" Corp","CPN"))</f>
        <v/>
      </c>
      <c r="L382" s="19">
        <f>IF($A382="","",_xll.BDP($A382&amp;" Corp","MATURITY"))</f>
        <v/>
      </c>
      <c r="M382" s="20">
        <f>IF($A382="","",IFERROR(_xll.BDP($A382&amp;" Corp","MIN_PIECE")/1000,""))</f>
        <v/>
      </c>
      <c r="N382" s="21">
        <f>IF($A382="","",_xll.BDP($A382&amp;" Corp","PX_LAST"))</f>
        <v/>
      </c>
      <c r="O382" s="21">
        <f>IF($A382="","",_xll.BDP($A382&amp;" Corp","YAS_BOND_YLD","YAS_YLD_FLAG=15"))</f>
        <v/>
      </c>
      <c r="P382" s="21">
        <f>IF($A382="","",_xll.BDP($A382&amp;" Corp","YAS_MOD_DUR"))</f>
        <v/>
      </c>
      <c r="Q382" s="22">
        <f>IF($A382="","",_xll.BDP($A382&amp;" Corp","YAS_OAS_SPRD"))</f>
        <v/>
      </c>
      <c r="R382" s="22">
        <f>IF($A382="","",_xll.BDP($A382&amp;" Corp","YAS_OAS_SPRD","SETTLE_DT",$B$2))</f>
        <v/>
      </c>
      <c r="S382" s="23">
        <f>IF($A382="","",IF(OR(NOT(ISNUMBER($Q382)),NOT(ISNUMBER($R382))),"",$Q382-$R382))</f>
        <v/>
      </c>
      <c r="T382" s="21">
        <f>IF($A382="","",_xll.BDP($A382&amp;" Corp","YAS_BOND_YLD","YAS_YLD_FLAG=15","SETTLE_DT",$B$2))</f>
        <v/>
      </c>
      <c r="U382" s="24">
        <f>IF($A382="","",IF(OR(NOT(ISNUMBER($O382)),NOT(ISNUMBER($T382))),"",$O382-$T382))</f>
        <v/>
      </c>
      <c r="V382" s="22">
        <f>IF(NOT(ISNUMBER($S382)),"",COUNTIFS($G$7:$G$850,$G382,$S$7:$S$850,"&gt;"&amp;$S382)+COUNTIFS($G$7:$G382,$G382,$S$7:$S382,$S382))</f>
        <v/>
      </c>
      <c r="W382" s="22">
        <f>IF(NOT(ISNUMBER($S382)),"",COUNTIFS($G$7:$G$850,$G382,$S$7:$S$850,"&lt;"&amp;$S382)+COUNTIFS($G$7:$G382,$G382,$S$7:$S382,$S382))</f>
        <v/>
      </c>
      <c r="X382" s="17">
        <f>IF($V382="","",$G382&amp;"|"&amp;$V382)</f>
        <v/>
      </c>
      <c r="Y382" s="17">
        <f>IF($W382="","",$G382&amp;"|"&amp;$W382)</f>
        <v/>
      </c>
    </row>
    <row r="383">
      <c r="A383" s="7" t="inlineStr">
        <is>
          <t>US30216KAG76</t>
        </is>
      </c>
      <c r="B383" s="8">
        <f>IF($A383="","",PROPER(_xll.BDP($A383&amp;" Corp","NAME")))</f>
        <v/>
      </c>
      <c r="C383" s="8">
        <f>IF($A383="","",IFERROR(INDEX(Company_desc!$B$2:$B$1144,MATCH($A383,Company_desc!$A$2:$A$1144,0)),IFERROR(INDEX(SYZ_static!$Q$2:$Q$806,MATCH($A383,SYZ_static!$A$2:$A$806,0)),"")))</f>
        <v/>
      </c>
      <c r="D383" s="8">
        <f>IF($A383="","",IFERROR(INDEX(SYZ_static!$B$2:$B$806,MATCH($A383,SYZ_static!$A$2:$A$806,0)),""))</f>
        <v/>
      </c>
      <c r="E383" s="8">
        <f>IF($A383="","",_xll.BDP($A383&amp;" Corp","INDUSTRY_SECTOR"))</f>
        <v/>
      </c>
      <c r="F383" s="8">
        <f>IF($A383="","",PROPER(_xll.BDP($A383&amp;" Corp","COUNTRY_FULL_NAME")))</f>
        <v/>
      </c>
      <c r="G383" s="8">
        <f>IF($A383="","",_xll.BDP($A383&amp;" Corp","CRNCY"))</f>
        <v/>
      </c>
      <c r="H383" s="8">
        <f>IF($A383="","",IFERROR(INDEX(SYZ_static!$T$2:$T$806,MATCH($A383,SYZ_static!$A$2:$A$806,0)),_xll.BDP($A383&amp;" Corp","RTG_SP")))</f>
        <v/>
      </c>
      <c r="I383" s="8">
        <f>IF($A383="","",IFERROR(INDEX(SYZ_static!$S$2:$S$806,MATCH($A383,SYZ_static!$A$2:$A$806,0)),""))</f>
        <v/>
      </c>
      <c r="J383" s="8">
        <f>IF($A383="","",_xll.BDP($A383&amp;" Corp","PAYMENT_RANK"))</f>
        <v/>
      </c>
      <c r="K383" s="9">
        <f>IF($A383="","",_xll.BDP($A383&amp;" Corp","CPN"))</f>
        <v/>
      </c>
      <c r="L383" s="10">
        <f>IF($A383="","",_xll.BDP($A383&amp;" Corp","MATURITY"))</f>
        <v/>
      </c>
      <c r="M383" s="11">
        <f>IF($A383="","",IFERROR(_xll.BDP($A383&amp;" Corp","MIN_PIECE")/1000,""))</f>
        <v/>
      </c>
      <c r="N383" s="12">
        <f>IF($A383="","",_xll.BDP($A383&amp;" Corp","PX_LAST"))</f>
        <v/>
      </c>
      <c r="O383" s="12">
        <f>IF($A383="","",_xll.BDP($A383&amp;" Corp","YAS_BOND_YLD","YAS_YLD_FLAG=15"))</f>
        <v/>
      </c>
      <c r="P383" s="12">
        <f>IF($A383="","",_xll.BDP($A383&amp;" Corp","YAS_MOD_DUR"))</f>
        <v/>
      </c>
      <c r="Q383" s="13">
        <f>IF($A383="","",_xll.BDP($A383&amp;" Corp","YAS_OAS_SPRD"))</f>
        <v/>
      </c>
      <c r="R383" s="13">
        <f>IF($A383="","",_xll.BDP($A383&amp;" Corp","YAS_OAS_SPRD","SETTLE_DT",$B$2))</f>
        <v/>
      </c>
      <c r="S383" s="14">
        <f>IF($A383="","",IF(OR(NOT(ISNUMBER($Q383)),NOT(ISNUMBER($R383))),"",$Q383-$R383))</f>
        <v/>
      </c>
      <c r="T383" s="12">
        <f>IF($A383="","",_xll.BDP($A383&amp;" Corp","YAS_BOND_YLD","YAS_YLD_FLAG=15","SETTLE_DT",$B$2))</f>
        <v/>
      </c>
      <c r="U383" s="15">
        <f>IF($A383="","",IF(OR(NOT(ISNUMBER($O383)),NOT(ISNUMBER($T383))),"",$O383-$T383))</f>
        <v/>
      </c>
      <c r="V383" s="13">
        <f>IF(NOT(ISNUMBER($S383)),"",COUNTIFS($G$7:$G$850,$G383,$S$7:$S$850,"&gt;"&amp;$S383)+COUNTIFS($G$7:$G383,$G383,$S$7:$S383,$S383))</f>
        <v/>
      </c>
      <c r="W383" s="13">
        <f>IF(NOT(ISNUMBER($S383)),"",COUNTIFS($G$7:$G$850,$G383,$S$7:$S$850,"&lt;"&amp;$S383)+COUNTIFS($G$7:$G383,$G383,$S$7:$S383,$S383))</f>
        <v/>
      </c>
      <c r="X383" s="8">
        <f>IF($V383="","",$G383&amp;"|"&amp;$V383)</f>
        <v/>
      </c>
      <c r="Y383" s="8">
        <f>IF($W383="","",$G383&amp;"|"&amp;$W383)</f>
        <v/>
      </c>
    </row>
    <row r="384">
      <c r="A384" s="16" t="inlineStr">
        <is>
          <t>US30303M8Q83</t>
        </is>
      </c>
      <c r="B384" s="17">
        <f>IF($A384="","",PROPER(_xll.BDP($A384&amp;" Corp","NAME")))</f>
        <v/>
      </c>
      <c r="C384" s="17">
        <f>IF($A384="","",IFERROR(INDEX(Company_desc!$B$2:$B$1144,MATCH($A384,Company_desc!$A$2:$A$1144,0)),IFERROR(INDEX(SYZ_static!$Q$2:$Q$806,MATCH($A384,SYZ_static!$A$2:$A$806,0)),"")))</f>
        <v/>
      </c>
      <c r="D384" s="17">
        <f>IF($A384="","",IFERROR(INDEX(SYZ_static!$B$2:$B$806,MATCH($A384,SYZ_static!$A$2:$A$806,0)),""))</f>
        <v/>
      </c>
      <c r="E384" s="17">
        <f>IF($A384="","",_xll.BDP($A384&amp;" Corp","INDUSTRY_SECTOR"))</f>
        <v/>
      </c>
      <c r="F384" s="17">
        <f>IF($A384="","",PROPER(_xll.BDP($A384&amp;" Corp","COUNTRY_FULL_NAME")))</f>
        <v/>
      </c>
      <c r="G384" s="17">
        <f>IF($A384="","",_xll.BDP($A384&amp;" Corp","CRNCY"))</f>
        <v/>
      </c>
      <c r="H384" s="17">
        <f>IF($A384="","",IFERROR(INDEX(SYZ_static!$T$2:$T$806,MATCH($A384,SYZ_static!$A$2:$A$806,0)),_xll.BDP($A384&amp;" Corp","RTG_SP")))</f>
        <v/>
      </c>
      <c r="I384" s="17">
        <f>IF($A384="","",IFERROR(INDEX(SYZ_static!$S$2:$S$806,MATCH($A384,SYZ_static!$A$2:$A$806,0)),""))</f>
        <v/>
      </c>
      <c r="J384" s="17">
        <f>IF($A384="","",_xll.BDP($A384&amp;" Corp","PAYMENT_RANK"))</f>
        <v/>
      </c>
      <c r="K384" s="18">
        <f>IF($A384="","",_xll.BDP($A384&amp;" Corp","CPN"))</f>
        <v/>
      </c>
      <c r="L384" s="19">
        <f>IF($A384="","",_xll.BDP($A384&amp;" Corp","MATURITY"))</f>
        <v/>
      </c>
      <c r="M384" s="20">
        <f>IF($A384="","",IFERROR(_xll.BDP($A384&amp;" Corp","MIN_PIECE")/1000,""))</f>
        <v/>
      </c>
      <c r="N384" s="21">
        <f>IF($A384="","",_xll.BDP($A384&amp;" Corp","PX_LAST"))</f>
        <v/>
      </c>
      <c r="O384" s="21">
        <f>IF($A384="","",_xll.BDP($A384&amp;" Corp","YAS_BOND_YLD","YAS_YLD_FLAG=15"))</f>
        <v/>
      </c>
      <c r="P384" s="21">
        <f>IF($A384="","",_xll.BDP($A384&amp;" Corp","YAS_MOD_DUR"))</f>
        <v/>
      </c>
      <c r="Q384" s="22">
        <f>IF($A384="","",_xll.BDP($A384&amp;" Corp","YAS_OAS_SPRD"))</f>
        <v/>
      </c>
      <c r="R384" s="22">
        <f>IF($A384="","",_xll.BDP($A384&amp;" Corp","YAS_OAS_SPRD","SETTLE_DT",$B$2))</f>
        <v/>
      </c>
      <c r="S384" s="23">
        <f>IF($A384="","",IF(OR(NOT(ISNUMBER($Q384)),NOT(ISNUMBER($R384))),"",$Q384-$R384))</f>
        <v/>
      </c>
      <c r="T384" s="21">
        <f>IF($A384="","",_xll.BDP($A384&amp;" Corp","YAS_BOND_YLD","YAS_YLD_FLAG=15","SETTLE_DT",$B$2))</f>
        <v/>
      </c>
      <c r="U384" s="24">
        <f>IF($A384="","",IF(OR(NOT(ISNUMBER($O384)),NOT(ISNUMBER($T384))),"",$O384-$T384))</f>
        <v/>
      </c>
      <c r="V384" s="22">
        <f>IF(NOT(ISNUMBER($S384)),"",COUNTIFS($G$7:$G$850,$G384,$S$7:$S$850,"&gt;"&amp;$S384)+COUNTIFS($G$7:$G384,$G384,$S$7:$S384,$S384))</f>
        <v/>
      </c>
      <c r="W384" s="22">
        <f>IF(NOT(ISNUMBER($S384)),"",COUNTIFS($G$7:$G$850,$G384,$S$7:$S$850,"&lt;"&amp;$S384)+COUNTIFS($G$7:$G384,$G384,$S$7:$S384,$S384))</f>
        <v/>
      </c>
      <c r="X384" s="17">
        <f>IF($V384="","",$G384&amp;"|"&amp;$V384)</f>
        <v/>
      </c>
      <c r="Y384" s="17">
        <f>IF($W384="","",$G384&amp;"|"&amp;$W384)</f>
        <v/>
      </c>
    </row>
    <row r="385">
      <c r="A385" s="7" t="inlineStr">
        <is>
          <t>XS2057072121</t>
        </is>
      </c>
      <c r="B385" s="8">
        <f>IF($A385="","",PROPER(_xll.BDP($A385&amp;" Corp","NAME")))</f>
        <v/>
      </c>
      <c r="C385" s="8">
        <f>IF($A385="","",IFERROR(INDEX(Company_desc!$B$2:$B$1144,MATCH($A385,Company_desc!$A$2:$A$1144,0)),IFERROR(INDEX(SYZ_static!$Q$2:$Q$806,MATCH($A385,SYZ_static!$A$2:$A$806,0)),"")))</f>
        <v/>
      </c>
      <c r="D385" s="8">
        <f>IF($A385="","",IFERROR(INDEX(SYZ_static!$B$2:$B$806,MATCH($A385,SYZ_static!$A$2:$A$806,0)),""))</f>
        <v/>
      </c>
      <c r="E385" s="8">
        <f>IF($A385="","",_xll.BDP($A385&amp;" Corp","INDUSTRY_SECTOR"))</f>
        <v/>
      </c>
      <c r="F385" s="8">
        <f>IF($A385="","",PROPER(_xll.BDP($A385&amp;" Corp","COUNTRY_FULL_NAME")))</f>
        <v/>
      </c>
      <c r="G385" s="8">
        <f>IF($A385="","",_xll.BDP($A385&amp;" Corp","CRNCY"))</f>
        <v/>
      </c>
      <c r="H385" s="8">
        <f>IF($A385="","",IFERROR(INDEX(SYZ_static!$T$2:$T$806,MATCH($A385,SYZ_static!$A$2:$A$806,0)),_xll.BDP($A385&amp;" Corp","RTG_SP")))</f>
        <v/>
      </c>
      <c r="I385" s="8">
        <f>IF($A385="","",IFERROR(INDEX(SYZ_static!$S$2:$S$806,MATCH($A385,SYZ_static!$A$2:$A$806,0)),""))</f>
        <v/>
      </c>
      <c r="J385" s="8">
        <f>IF($A385="","",_xll.BDP($A385&amp;" Corp","PAYMENT_RANK"))</f>
        <v/>
      </c>
      <c r="K385" s="9">
        <f>IF($A385="","",_xll.BDP($A385&amp;" Corp","CPN"))</f>
        <v/>
      </c>
      <c r="L385" s="10">
        <f>IF($A385="","",_xll.BDP($A385&amp;" Corp","MATURITY"))</f>
        <v/>
      </c>
      <c r="M385" s="11">
        <f>IF($A385="","",IFERROR(_xll.BDP($A385&amp;" Corp","MIN_PIECE")/1000,""))</f>
        <v/>
      </c>
      <c r="N385" s="12">
        <f>IF($A385="","",_xll.BDP($A385&amp;" Corp","PX_LAST"))</f>
        <v/>
      </c>
      <c r="O385" s="12">
        <f>IF($A385="","",_xll.BDP($A385&amp;" Corp","YAS_BOND_YLD","YAS_YLD_FLAG=15"))</f>
        <v/>
      </c>
      <c r="P385" s="12">
        <f>IF($A385="","",_xll.BDP($A385&amp;" Corp","YAS_MOD_DUR"))</f>
        <v/>
      </c>
      <c r="Q385" s="13">
        <f>IF($A385="","",_xll.BDP($A385&amp;" Corp","YAS_OAS_SPRD"))</f>
        <v/>
      </c>
      <c r="R385" s="13">
        <f>IF($A385="","",_xll.BDP($A385&amp;" Corp","YAS_OAS_SPRD","SETTLE_DT",$B$2))</f>
        <v/>
      </c>
      <c r="S385" s="14">
        <f>IF($A385="","",IF(OR(NOT(ISNUMBER($Q385)),NOT(ISNUMBER($R385))),"",$Q385-$R385))</f>
        <v/>
      </c>
      <c r="T385" s="12">
        <f>IF($A385="","",_xll.BDP($A385&amp;" Corp","YAS_BOND_YLD","YAS_YLD_FLAG=15","SETTLE_DT",$B$2))</f>
        <v/>
      </c>
      <c r="U385" s="15">
        <f>IF($A385="","",IF(OR(NOT(ISNUMBER($O385)),NOT(ISNUMBER($T385))),"",$O385-$T385))</f>
        <v/>
      </c>
      <c r="V385" s="13">
        <f>IF(NOT(ISNUMBER($S385)),"",COUNTIFS($G$7:$G$850,$G385,$S$7:$S$850,"&gt;"&amp;$S385)+COUNTIFS($G$7:$G385,$G385,$S$7:$S385,$S385))</f>
        <v/>
      </c>
      <c r="W385" s="13">
        <f>IF(NOT(ISNUMBER($S385)),"",COUNTIFS($G$7:$G$850,$G385,$S$7:$S$850,"&lt;"&amp;$S385)+COUNTIFS($G$7:$G385,$G385,$S$7:$S385,$S385))</f>
        <v/>
      </c>
      <c r="X385" s="8">
        <f>IF($V385="","",$G385&amp;"|"&amp;$V385)</f>
        <v/>
      </c>
      <c r="Y385" s="8">
        <f>IF($W385="","",$G385&amp;"|"&amp;$W385)</f>
        <v/>
      </c>
    </row>
    <row r="386">
      <c r="A386" s="16" t="inlineStr">
        <is>
          <t>US455780DS23</t>
        </is>
      </c>
      <c r="B386" s="17">
        <f>IF($A386="","",PROPER(_xll.BDP($A386&amp;" Corp","NAME")))</f>
        <v/>
      </c>
      <c r="C386" s="17">
        <f>IF($A386="","",IFERROR(INDEX(Company_desc!$B$2:$B$1144,MATCH($A386,Company_desc!$A$2:$A$1144,0)),IFERROR(INDEX(SYZ_static!$Q$2:$Q$806,MATCH($A386,SYZ_static!$A$2:$A$806,0)),"")))</f>
        <v/>
      </c>
      <c r="D386" s="17">
        <f>IF($A386="","",IFERROR(INDEX(SYZ_static!$B$2:$B$806,MATCH($A386,SYZ_static!$A$2:$A$806,0)),""))</f>
        <v/>
      </c>
      <c r="E386" s="17">
        <f>IF($A386="","",_xll.BDP($A386&amp;" Corp","INDUSTRY_SECTOR"))</f>
        <v/>
      </c>
      <c r="F386" s="17">
        <f>IF($A386="","",PROPER(_xll.BDP($A386&amp;" Corp","COUNTRY_FULL_NAME")))</f>
        <v/>
      </c>
      <c r="G386" s="17">
        <f>IF($A386="","",_xll.BDP($A386&amp;" Corp","CRNCY"))</f>
        <v/>
      </c>
      <c r="H386" s="17">
        <f>IF($A386="","",IFERROR(INDEX(SYZ_static!$T$2:$T$806,MATCH($A386,SYZ_static!$A$2:$A$806,0)),_xll.BDP($A386&amp;" Corp","RTG_SP")))</f>
        <v/>
      </c>
      <c r="I386" s="17">
        <f>IF($A386="","",IFERROR(INDEX(SYZ_static!$S$2:$S$806,MATCH($A386,SYZ_static!$A$2:$A$806,0)),""))</f>
        <v/>
      </c>
      <c r="J386" s="17">
        <f>IF($A386="","",_xll.BDP($A386&amp;" Corp","PAYMENT_RANK"))</f>
        <v/>
      </c>
      <c r="K386" s="18">
        <f>IF($A386="","",_xll.BDP($A386&amp;" Corp","CPN"))</f>
        <v/>
      </c>
      <c r="L386" s="19">
        <f>IF($A386="","",_xll.BDP($A386&amp;" Corp","MATURITY"))</f>
        <v/>
      </c>
      <c r="M386" s="20">
        <f>IF($A386="","",IFERROR(_xll.BDP($A386&amp;" Corp","MIN_PIECE")/1000,""))</f>
        <v/>
      </c>
      <c r="N386" s="21">
        <f>IF($A386="","",_xll.BDP($A386&amp;" Corp","PX_LAST"))</f>
        <v/>
      </c>
      <c r="O386" s="21">
        <f>IF($A386="","",_xll.BDP($A386&amp;" Corp","YAS_BOND_YLD","YAS_YLD_FLAG=15"))</f>
        <v/>
      </c>
      <c r="P386" s="21">
        <f>IF($A386="","",_xll.BDP($A386&amp;" Corp","YAS_MOD_DUR"))</f>
        <v/>
      </c>
      <c r="Q386" s="22">
        <f>IF($A386="","",_xll.BDP($A386&amp;" Corp","YAS_OAS_SPRD"))</f>
        <v/>
      </c>
      <c r="R386" s="22">
        <f>IF($A386="","",_xll.BDP($A386&amp;" Corp","YAS_OAS_SPRD","SETTLE_DT",$B$2))</f>
        <v/>
      </c>
      <c r="S386" s="23">
        <f>IF($A386="","",IF(OR(NOT(ISNUMBER($Q386)),NOT(ISNUMBER($R386))),"",$Q386-$R386))</f>
        <v/>
      </c>
      <c r="T386" s="21">
        <f>IF($A386="","",_xll.BDP($A386&amp;" Corp","YAS_BOND_YLD","YAS_YLD_FLAG=15","SETTLE_DT",$B$2))</f>
        <v/>
      </c>
      <c r="U386" s="24">
        <f>IF($A386="","",IF(OR(NOT(ISNUMBER($O386)),NOT(ISNUMBER($T386))),"",$O386-$T386))</f>
        <v/>
      </c>
      <c r="V386" s="22">
        <f>IF(NOT(ISNUMBER($S386)),"",COUNTIFS($G$7:$G$850,$G386,$S$7:$S$850,"&gt;"&amp;$S386)+COUNTIFS($G$7:$G386,$G386,$S$7:$S386,$S386))</f>
        <v/>
      </c>
      <c r="W386" s="22">
        <f>IF(NOT(ISNUMBER($S386)),"",COUNTIFS($G$7:$G$850,$G386,$S$7:$S$850,"&lt;"&amp;$S386)+COUNTIFS($G$7:$G386,$G386,$S$7:$S386,$S386))</f>
        <v/>
      </c>
      <c r="X386" s="17">
        <f>IF($V386="","",$G386&amp;"|"&amp;$V386)</f>
        <v/>
      </c>
      <c r="Y386" s="17">
        <f>IF($W386="","",$G386&amp;"|"&amp;$W386)</f>
        <v/>
      </c>
    </row>
    <row r="387">
      <c r="A387" s="7" t="inlineStr">
        <is>
          <t>US87264ACY91</t>
        </is>
      </c>
      <c r="B387" s="8">
        <f>IF($A387="","",PROPER(_xll.BDP($A387&amp;" Corp","NAME")))</f>
        <v/>
      </c>
      <c r="C387" s="8">
        <f>IF($A387="","",IFERROR(INDEX(Company_desc!$B$2:$B$1144,MATCH($A387,Company_desc!$A$2:$A$1144,0)),IFERROR(INDEX(SYZ_static!$Q$2:$Q$806,MATCH($A387,SYZ_static!$A$2:$A$806,0)),"")))</f>
        <v/>
      </c>
      <c r="D387" s="8">
        <f>IF($A387="","",IFERROR(INDEX(SYZ_static!$B$2:$B$806,MATCH($A387,SYZ_static!$A$2:$A$806,0)),""))</f>
        <v/>
      </c>
      <c r="E387" s="8">
        <f>IF($A387="","",_xll.BDP($A387&amp;" Corp","INDUSTRY_SECTOR"))</f>
        <v/>
      </c>
      <c r="F387" s="8">
        <f>IF($A387="","",PROPER(_xll.BDP($A387&amp;" Corp","COUNTRY_FULL_NAME")))</f>
        <v/>
      </c>
      <c r="G387" s="8">
        <f>IF($A387="","",_xll.BDP($A387&amp;" Corp","CRNCY"))</f>
        <v/>
      </c>
      <c r="H387" s="8">
        <f>IF($A387="","",IFERROR(INDEX(SYZ_static!$T$2:$T$806,MATCH($A387,SYZ_static!$A$2:$A$806,0)),_xll.BDP($A387&amp;" Corp","RTG_SP")))</f>
        <v/>
      </c>
      <c r="I387" s="8">
        <f>IF($A387="","",IFERROR(INDEX(SYZ_static!$S$2:$S$806,MATCH($A387,SYZ_static!$A$2:$A$806,0)),""))</f>
        <v/>
      </c>
      <c r="J387" s="8">
        <f>IF($A387="","",_xll.BDP($A387&amp;" Corp","PAYMENT_RANK"))</f>
        <v/>
      </c>
      <c r="K387" s="9">
        <f>IF($A387="","",_xll.BDP($A387&amp;" Corp","CPN"))</f>
        <v/>
      </c>
      <c r="L387" s="10">
        <f>IF($A387="","",_xll.BDP($A387&amp;" Corp","MATURITY"))</f>
        <v/>
      </c>
      <c r="M387" s="11">
        <f>IF($A387="","",IFERROR(_xll.BDP($A387&amp;" Corp","MIN_PIECE")/1000,""))</f>
        <v/>
      </c>
      <c r="N387" s="12">
        <f>IF($A387="","",_xll.BDP($A387&amp;" Corp","PX_LAST"))</f>
        <v/>
      </c>
      <c r="O387" s="12">
        <f>IF($A387="","",_xll.BDP($A387&amp;" Corp","YAS_BOND_YLD","YAS_YLD_FLAG=15"))</f>
        <v/>
      </c>
      <c r="P387" s="12">
        <f>IF($A387="","",_xll.BDP($A387&amp;" Corp","YAS_MOD_DUR"))</f>
        <v/>
      </c>
      <c r="Q387" s="13">
        <f>IF($A387="","",_xll.BDP($A387&amp;" Corp","YAS_OAS_SPRD"))</f>
        <v/>
      </c>
      <c r="R387" s="13">
        <f>IF($A387="","",_xll.BDP($A387&amp;" Corp","YAS_OAS_SPRD","SETTLE_DT",$B$2))</f>
        <v/>
      </c>
      <c r="S387" s="14">
        <f>IF($A387="","",IF(OR(NOT(ISNUMBER($Q387)),NOT(ISNUMBER($R387))),"",$Q387-$R387))</f>
        <v/>
      </c>
      <c r="T387" s="12">
        <f>IF($A387="","",_xll.BDP($A387&amp;" Corp","YAS_BOND_YLD","YAS_YLD_FLAG=15","SETTLE_DT",$B$2))</f>
        <v/>
      </c>
      <c r="U387" s="15">
        <f>IF($A387="","",IF(OR(NOT(ISNUMBER($O387)),NOT(ISNUMBER($T387))),"",$O387-$T387))</f>
        <v/>
      </c>
      <c r="V387" s="13">
        <f>IF(NOT(ISNUMBER($S387)),"",COUNTIFS($G$7:$G$850,$G387,$S$7:$S$850,"&gt;"&amp;$S387)+COUNTIFS($G$7:$G387,$G387,$S$7:$S387,$S387))</f>
        <v/>
      </c>
      <c r="W387" s="13">
        <f>IF(NOT(ISNUMBER($S387)),"",COUNTIFS($G$7:$G$850,$G387,$S$7:$S$850,"&lt;"&amp;$S387)+COUNTIFS($G$7:$G387,$G387,$S$7:$S387,$S387))</f>
        <v/>
      </c>
      <c r="X387" s="8">
        <f>IF($V387="","",$G387&amp;"|"&amp;$V387)</f>
        <v/>
      </c>
      <c r="Y387" s="8">
        <f>IF($W387="","",$G387&amp;"|"&amp;$W387)</f>
        <v/>
      </c>
    </row>
    <row r="388">
      <c r="A388" s="16" t="inlineStr">
        <is>
          <t>XS1792122266</t>
        </is>
      </c>
      <c r="B388" s="17">
        <f>IF($A388="","",PROPER(_xll.BDP($A388&amp;" Corp","NAME")))</f>
        <v/>
      </c>
      <c r="C388" s="17">
        <f>IF($A388="","",IFERROR(INDEX(Company_desc!$B$2:$B$1144,MATCH($A388,Company_desc!$A$2:$A$1144,0)),IFERROR(INDEX(SYZ_static!$Q$2:$Q$806,MATCH($A388,SYZ_static!$A$2:$A$806,0)),"")))</f>
        <v/>
      </c>
      <c r="D388" s="17">
        <f>IF($A388="","",IFERROR(INDEX(SYZ_static!$B$2:$B$806,MATCH($A388,SYZ_static!$A$2:$A$806,0)),""))</f>
        <v/>
      </c>
      <c r="E388" s="17">
        <f>IF($A388="","",_xll.BDP($A388&amp;" Corp","INDUSTRY_SECTOR"))</f>
        <v/>
      </c>
      <c r="F388" s="17">
        <f>IF($A388="","",PROPER(_xll.BDP($A388&amp;" Corp","COUNTRY_FULL_NAME")))</f>
        <v/>
      </c>
      <c r="G388" s="17">
        <f>IF($A388="","",_xll.BDP($A388&amp;" Corp","CRNCY"))</f>
        <v/>
      </c>
      <c r="H388" s="17">
        <f>IF($A388="","",IFERROR(INDEX(SYZ_static!$T$2:$T$806,MATCH($A388,SYZ_static!$A$2:$A$806,0)),_xll.BDP($A388&amp;" Corp","RTG_SP")))</f>
        <v/>
      </c>
      <c r="I388" s="17">
        <f>IF($A388="","",IFERROR(INDEX(SYZ_static!$S$2:$S$806,MATCH($A388,SYZ_static!$A$2:$A$806,0)),""))</f>
        <v/>
      </c>
      <c r="J388" s="17">
        <f>IF($A388="","",_xll.BDP($A388&amp;" Corp","PAYMENT_RANK"))</f>
        <v/>
      </c>
      <c r="K388" s="18">
        <f>IF($A388="","",_xll.BDP($A388&amp;" Corp","CPN"))</f>
        <v/>
      </c>
      <c r="L388" s="19">
        <f>IF($A388="","",_xll.BDP($A388&amp;" Corp","MATURITY"))</f>
        <v/>
      </c>
      <c r="M388" s="20">
        <f>IF($A388="","",IFERROR(_xll.BDP($A388&amp;" Corp","MIN_PIECE")/1000,""))</f>
        <v/>
      </c>
      <c r="N388" s="21">
        <f>IF($A388="","",_xll.BDP($A388&amp;" Corp","PX_LAST"))</f>
        <v/>
      </c>
      <c r="O388" s="21">
        <f>IF($A388="","",_xll.BDP($A388&amp;" Corp","YAS_BOND_YLD","YAS_YLD_FLAG=15"))</f>
        <v/>
      </c>
      <c r="P388" s="21">
        <f>IF($A388="","",_xll.BDP($A388&amp;" Corp","YAS_MOD_DUR"))</f>
        <v/>
      </c>
      <c r="Q388" s="22">
        <f>IF($A388="","",_xll.BDP($A388&amp;" Corp","YAS_OAS_SPRD"))</f>
        <v/>
      </c>
      <c r="R388" s="22">
        <f>IF($A388="","",_xll.BDP($A388&amp;" Corp","YAS_OAS_SPRD","SETTLE_DT",$B$2))</f>
        <v/>
      </c>
      <c r="S388" s="23">
        <f>IF($A388="","",IF(OR(NOT(ISNUMBER($Q388)),NOT(ISNUMBER($R388))),"",$Q388-$R388))</f>
        <v/>
      </c>
      <c r="T388" s="21">
        <f>IF($A388="","",_xll.BDP($A388&amp;" Corp","YAS_BOND_YLD","YAS_YLD_FLAG=15","SETTLE_DT",$B$2))</f>
        <v/>
      </c>
      <c r="U388" s="24">
        <f>IF($A388="","",IF(OR(NOT(ISNUMBER($O388)),NOT(ISNUMBER($T388))),"",$O388-$T388))</f>
        <v/>
      </c>
      <c r="V388" s="22">
        <f>IF(NOT(ISNUMBER($S388)),"",COUNTIFS($G$7:$G$850,$G388,$S$7:$S$850,"&gt;"&amp;$S388)+COUNTIFS($G$7:$G388,$G388,$S$7:$S388,$S388))</f>
        <v/>
      </c>
      <c r="W388" s="22">
        <f>IF(NOT(ISNUMBER($S388)),"",COUNTIFS($G$7:$G$850,$G388,$S$7:$S$850,"&lt;"&amp;$S388)+COUNTIFS($G$7:$G388,$G388,$S$7:$S388,$S388))</f>
        <v/>
      </c>
      <c r="X388" s="17">
        <f>IF($V388="","",$G388&amp;"|"&amp;$V388)</f>
        <v/>
      </c>
      <c r="Y388" s="17">
        <f>IF($W388="","",$G388&amp;"|"&amp;$W388)</f>
        <v/>
      </c>
    </row>
    <row r="389">
      <c r="A389" s="7" t="inlineStr">
        <is>
          <t>US44891CCT80</t>
        </is>
      </c>
      <c r="B389" s="8">
        <f>IF($A389="","",PROPER(_xll.BDP($A389&amp;" Corp","NAME")))</f>
        <v/>
      </c>
      <c r="C389" s="8">
        <f>IF($A389="","",IFERROR(INDEX(Company_desc!$B$2:$B$1144,MATCH($A389,Company_desc!$A$2:$A$1144,0)),IFERROR(INDEX(SYZ_static!$Q$2:$Q$806,MATCH($A389,SYZ_static!$A$2:$A$806,0)),"")))</f>
        <v/>
      </c>
      <c r="D389" s="8">
        <f>IF($A389="","",IFERROR(INDEX(SYZ_static!$B$2:$B$806,MATCH($A389,SYZ_static!$A$2:$A$806,0)),""))</f>
        <v/>
      </c>
      <c r="E389" s="8">
        <f>IF($A389="","",_xll.BDP($A389&amp;" Corp","INDUSTRY_SECTOR"))</f>
        <v/>
      </c>
      <c r="F389" s="8">
        <f>IF($A389="","",PROPER(_xll.BDP($A389&amp;" Corp","COUNTRY_FULL_NAME")))</f>
        <v/>
      </c>
      <c r="G389" s="8">
        <f>IF($A389="","",_xll.BDP($A389&amp;" Corp","CRNCY"))</f>
        <v/>
      </c>
      <c r="H389" s="8">
        <f>IF($A389="","",IFERROR(INDEX(SYZ_static!$T$2:$T$806,MATCH($A389,SYZ_static!$A$2:$A$806,0)),_xll.BDP($A389&amp;" Corp","RTG_SP")))</f>
        <v/>
      </c>
      <c r="I389" s="8">
        <f>IF($A389="","",IFERROR(INDEX(SYZ_static!$S$2:$S$806,MATCH($A389,SYZ_static!$A$2:$A$806,0)),""))</f>
        <v/>
      </c>
      <c r="J389" s="8">
        <f>IF($A389="","",_xll.BDP($A389&amp;" Corp","PAYMENT_RANK"))</f>
        <v/>
      </c>
      <c r="K389" s="9">
        <f>IF($A389="","",_xll.BDP($A389&amp;" Corp","CPN"))</f>
        <v/>
      </c>
      <c r="L389" s="10">
        <f>IF($A389="","",_xll.BDP($A389&amp;" Corp","MATURITY"))</f>
        <v/>
      </c>
      <c r="M389" s="11">
        <f>IF($A389="","",IFERROR(_xll.BDP($A389&amp;" Corp","MIN_PIECE")/1000,""))</f>
        <v/>
      </c>
      <c r="N389" s="12">
        <f>IF($A389="","",_xll.BDP($A389&amp;" Corp","PX_LAST"))</f>
        <v/>
      </c>
      <c r="O389" s="12">
        <f>IF($A389="","",_xll.BDP($A389&amp;" Corp","YAS_BOND_YLD","YAS_YLD_FLAG=15"))</f>
        <v/>
      </c>
      <c r="P389" s="12">
        <f>IF($A389="","",_xll.BDP($A389&amp;" Corp","YAS_MOD_DUR"))</f>
        <v/>
      </c>
      <c r="Q389" s="13">
        <f>IF($A389="","",_xll.BDP($A389&amp;" Corp","YAS_OAS_SPRD"))</f>
        <v/>
      </c>
      <c r="R389" s="13">
        <f>IF($A389="","",_xll.BDP($A389&amp;" Corp","YAS_OAS_SPRD","SETTLE_DT",$B$2))</f>
        <v/>
      </c>
      <c r="S389" s="14">
        <f>IF($A389="","",IF(OR(NOT(ISNUMBER($Q389)),NOT(ISNUMBER($R389))),"",$Q389-$R389))</f>
        <v/>
      </c>
      <c r="T389" s="12">
        <f>IF($A389="","",_xll.BDP($A389&amp;" Corp","YAS_BOND_YLD","YAS_YLD_FLAG=15","SETTLE_DT",$B$2))</f>
        <v/>
      </c>
      <c r="U389" s="15">
        <f>IF($A389="","",IF(OR(NOT(ISNUMBER($O389)),NOT(ISNUMBER($T389))),"",$O389-$T389))</f>
        <v/>
      </c>
      <c r="V389" s="13">
        <f>IF(NOT(ISNUMBER($S389)),"",COUNTIFS($G$7:$G$850,$G389,$S$7:$S$850,"&gt;"&amp;$S389)+COUNTIFS($G$7:$G389,$G389,$S$7:$S389,$S389))</f>
        <v/>
      </c>
      <c r="W389" s="13">
        <f>IF(NOT(ISNUMBER($S389)),"",COUNTIFS($G$7:$G$850,$G389,$S$7:$S$850,"&lt;"&amp;$S389)+COUNTIFS($G$7:$G389,$G389,$S$7:$S389,$S389))</f>
        <v/>
      </c>
      <c r="X389" s="8">
        <f>IF($V389="","",$G389&amp;"|"&amp;$V389)</f>
        <v/>
      </c>
      <c r="Y389" s="8">
        <f>IF($W389="","",$G389&amp;"|"&amp;$W389)</f>
        <v/>
      </c>
    </row>
    <row r="390">
      <c r="A390" s="16" t="inlineStr">
        <is>
          <t>US03027XBG43</t>
        </is>
      </c>
      <c r="B390" s="17">
        <f>IF($A390="","",PROPER(_xll.BDP($A390&amp;" Corp","NAME")))</f>
        <v/>
      </c>
      <c r="C390" s="17">
        <f>IF($A390="","",IFERROR(INDEX(Company_desc!$B$2:$B$1144,MATCH($A390,Company_desc!$A$2:$A$1144,0)),IFERROR(INDEX(SYZ_static!$Q$2:$Q$806,MATCH($A390,SYZ_static!$A$2:$A$806,0)),"")))</f>
        <v/>
      </c>
      <c r="D390" s="17">
        <f>IF($A390="","",IFERROR(INDEX(SYZ_static!$B$2:$B$806,MATCH($A390,SYZ_static!$A$2:$A$806,0)),""))</f>
        <v/>
      </c>
      <c r="E390" s="17">
        <f>IF($A390="","",_xll.BDP($A390&amp;" Corp","INDUSTRY_SECTOR"))</f>
        <v/>
      </c>
      <c r="F390" s="17">
        <f>IF($A390="","",PROPER(_xll.BDP($A390&amp;" Corp","COUNTRY_FULL_NAME")))</f>
        <v/>
      </c>
      <c r="G390" s="17">
        <f>IF($A390="","",_xll.BDP($A390&amp;" Corp","CRNCY"))</f>
        <v/>
      </c>
      <c r="H390" s="17">
        <f>IF($A390="","",IFERROR(INDEX(SYZ_static!$T$2:$T$806,MATCH($A390,SYZ_static!$A$2:$A$806,0)),_xll.BDP($A390&amp;" Corp","RTG_SP")))</f>
        <v/>
      </c>
      <c r="I390" s="17">
        <f>IF($A390="","",IFERROR(INDEX(SYZ_static!$S$2:$S$806,MATCH($A390,SYZ_static!$A$2:$A$806,0)),""))</f>
        <v/>
      </c>
      <c r="J390" s="17">
        <f>IF($A390="","",_xll.BDP($A390&amp;" Corp","PAYMENT_RANK"))</f>
        <v/>
      </c>
      <c r="K390" s="18">
        <f>IF($A390="","",_xll.BDP($A390&amp;" Corp","CPN"))</f>
        <v/>
      </c>
      <c r="L390" s="19">
        <f>IF($A390="","",_xll.BDP($A390&amp;" Corp","MATURITY"))</f>
        <v/>
      </c>
      <c r="M390" s="20">
        <f>IF($A390="","",IFERROR(_xll.BDP($A390&amp;" Corp","MIN_PIECE")/1000,""))</f>
        <v/>
      </c>
      <c r="N390" s="21">
        <f>IF($A390="","",_xll.BDP($A390&amp;" Corp","PX_LAST"))</f>
        <v/>
      </c>
      <c r="O390" s="21">
        <f>IF($A390="","",_xll.BDP($A390&amp;" Corp","YAS_BOND_YLD","YAS_YLD_FLAG=15"))</f>
        <v/>
      </c>
      <c r="P390" s="21">
        <f>IF($A390="","",_xll.BDP($A390&amp;" Corp","YAS_MOD_DUR"))</f>
        <v/>
      </c>
      <c r="Q390" s="22">
        <f>IF($A390="","",_xll.BDP($A390&amp;" Corp","YAS_OAS_SPRD"))</f>
        <v/>
      </c>
      <c r="R390" s="22">
        <f>IF($A390="","",_xll.BDP($A390&amp;" Corp","YAS_OAS_SPRD","SETTLE_DT",$B$2))</f>
        <v/>
      </c>
      <c r="S390" s="23">
        <f>IF($A390="","",IF(OR(NOT(ISNUMBER($Q390)),NOT(ISNUMBER($R390))),"",$Q390-$R390))</f>
        <v/>
      </c>
      <c r="T390" s="21">
        <f>IF($A390="","",_xll.BDP($A390&amp;" Corp","YAS_BOND_YLD","YAS_YLD_FLAG=15","SETTLE_DT",$B$2))</f>
        <v/>
      </c>
      <c r="U390" s="24">
        <f>IF($A390="","",IF(OR(NOT(ISNUMBER($O390)),NOT(ISNUMBER($T390))),"",$O390-$T390))</f>
        <v/>
      </c>
      <c r="V390" s="22">
        <f>IF(NOT(ISNUMBER($S390)),"",COUNTIFS($G$7:$G$850,$G390,$S$7:$S$850,"&gt;"&amp;$S390)+COUNTIFS($G$7:$G390,$G390,$S$7:$S390,$S390))</f>
        <v/>
      </c>
      <c r="W390" s="22">
        <f>IF(NOT(ISNUMBER($S390)),"",COUNTIFS($G$7:$G$850,$G390,$S$7:$S$850,"&lt;"&amp;$S390)+COUNTIFS($G$7:$G390,$G390,$S$7:$S390,$S390))</f>
        <v/>
      </c>
      <c r="X390" s="17">
        <f>IF($V390="","",$G390&amp;"|"&amp;$V390)</f>
        <v/>
      </c>
      <c r="Y390" s="17">
        <f>IF($W390="","",$G390&amp;"|"&amp;$W390)</f>
        <v/>
      </c>
    </row>
    <row r="391">
      <c r="A391" s="7" t="inlineStr">
        <is>
          <t>XS2384274366</t>
        </is>
      </c>
      <c r="B391" s="8">
        <f>IF($A391="","",PROPER(_xll.BDP($A391&amp;" Corp","NAME")))</f>
        <v/>
      </c>
      <c r="C391" s="8">
        <f>IF($A391="","",IFERROR(INDEX(Company_desc!$B$2:$B$1144,MATCH($A391,Company_desc!$A$2:$A$1144,0)),IFERROR(INDEX(SYZ_static!$Q$2:$Q$806,MATCH($A391,SYZ_static!$A$2:$A$806,0)),"")))</f>
        <v/>
      </c>
      <c r="D391" s="8">
        <f>IF($A391="","",IFERROR(INDEX(SYZ_static!$B$2:$B$806,MATCH($A391,SYZ_static!$A$2:$A$806,0)),""))</f>
        <v/>
      </c>
      <c r="E391" s="8">
        <f>IF($A391="","",_xll.BDP($A391&amp;" Corp","INDUSTRY_SECTOR"))</f>
        <v/>
      </c>
      <c r="F391" s="8">
        <f>IF($A391="","",PROPER(_xll.BDP($A391&amp;" Corp","COUNTRY_FULL_NAME")))</f>
        <v/>
      </c>
      <c r="G391" s="8">
        <f>IF($A391="","",_xll.BDP($A391&amp;" Corp","CRNCY"))</f>
        <v/>
      </c>
      <c r="H391" s="8">
        <f>IF($A391="","",IFERROR(INDEX(SYZ_static!$T$2:$T$806,MATCH($A391,SYZ_static!$A$2:$A$806,0)),_xll.BDP($A391&amp;" Corp","RTG_SP")))</f>
        <v/>
      </c>
      <c r="I391" s="8">
        <f>IF($A391="","",IFERROR(INDEX(SYZ_static!$S$2:$S$806,MATCH($A391,SYZ_static!$A$2:$A$806,0)),""))</f>
        <v/>
      </c>
      <c r="J391" s="8">
        <f>IF($A391="","",_xll.BDP($A391&amp;" Corp","PAYMENT_RANK"))</f>
        <v/>
      </c>
      <c r="K391" s="9">
        <f>IF($A391="","",_xll.BDP($A391&amp;" Corp","CPN"))</f>
        <v/>
      </c>
      <c r="L391" s="10">
        <f>IF($A391="","",_xll.BDP($A391&amp;" Corp","MATURITY"))</f>
        <v/>
      </c>
      <c r="M391" s="11">
        <f>IF($A391="","",IFERROR(_xll.BDP($A391&amp;" Corp","MIN_PIECE")/1000,""))</f>
        <v/>
      </c>
      <c r="N391" s="12">
        <f>IF($A391="","",_xll.BDP($A391&amp;" Corp","PX_LAST"))</f>
        <v/>
      </c>
      <c r="O391" s="12">
        <f>IF($A391="","",_xll.BDP($A391&amp;" Corp","YAS_BOND_YLD","YAS_YLD_FLAG=15"))</f>
        <v/>
      </c>
      <c r="P391" s="12">
        <f>IF($A391="","",_xll.BDP($A391&amp;" Corp","YAS_MOD_DUR"))</f>
        <v/>
      </c>
      <c r="Q391" s="13">
        <f>IF($A391="","",_xll.BDP($A391&amp;" Corp","YAS_OAS_SPRD"))</f>
        <v/>
      </c>
      <c r="R391" s="13">
        <f>IF($A391="","",_xll.BDP($A391&amp;" Corp","YAS_OAS_SPRD","SETTLE_DT",$B$2))</f>
        <v/>
      </c>
      <c r="S391" s="14">
        <f>IF($A391="","",IF(OR(NOT(ISNUMBER($Q391)),NOT(ISNUMBER($R391))),"",$Q391-$R391))</f>
        <v/>
      </c>
      <c r="T391" s="12">
        <f>IF($A391="","",_xll.BDP($A391&amp;" Corp","YAS_BOND_YLD","YAS_YLD_FLAG=15","SETTLE_DT",$B$2))</f>
        <v/>
      </c>
      <c r="U391" s="15">
        <f>IF($A391="","",IF(OR(NOT(ISNUMBER($O391)),NOT(ISNUMBER($T391))),"",$O391-$T391))</f>
        <v/>
      </c>
      <c r="V391" s="13">
        <f>IF(NOT(ISNUMBER($S391)),"",COUNTIFS($G$7:$G$850,$G391,$S$7:$S$850,"&gt;"&amp;$S391)+COUNTIFS($G$7:$G391,$G391,$S$7:$S391,$S391))</f>
        <v/>
      </c>
      <c r="W391" s="13">
        <f>IF(NOT(ISNUMBER($S391)),"",COUNTIFS($G$7:$G$850,$G391,$S$7:$S$850,"&lt;"&amp;$S391)+COUNTIFS($G$7:$G391,$G391,$S$7:$S391,$S391))</f>
        <v/>
      </c>
      <c r="X391" s="8">
        <f>IF($V391="","",$G391&amp;"|"&amp;$V391)</f>
        <v/>
      </c>
      <c r="Y391" s="8">
        <f>IF($W391="","",$G391&amp;"|"&amp;$W391)</f>
        <v/>
      </c>
    </row>
    <row r="392">
      <c r="A392" s="16" t="inlineStr">
        <is>
          <t>XS2861550817</t>
        </is>
      </c>
      <c r="B392" s="17">
        <f>IF($A392="","",PROPER(_xll.BDP($A392&amp;" Corp","NAME")))</f>
        <v/>
      </c>
      <c r="C392" s="17">
        <f>IF($A392="","",IFERROR(INDEX(Company_desc!$B$2:$B$1144,MATCH($A392,Company_desc!$A$2:$A$1144,0)),IFERROR(INDEX(SYZ_static!$Q$2:$Q$806,MATCH($A392,SYZ_static!$A$2:$A$806,0)),"")))</f>
        <v/>
      </c>
      <c r="D392" s="17">
        <f>IF($A392="","",IFERROR(INDEX(SYZ_static!$B$2:$B$806,MATCH($A392,SYZ_static!$A$2:$A$806,0)),""))</f>
        <v/>
      </c>
      <c r="E392" s="17">
        <f>IF($A392="","",_xll.BDP($A392&amp;" Corp","INDUSTRY_SECTOR"))</f>
        <v/>
      </c>
      <c r="F392" s="17">
        <f>IF($A392="","",PROPER(_xll.BDP($A392&amp;" Corp","COUNTRY_FULL_NAME")))</f>
        <v/>
      </c>
      <c r="G392" s="17">
        <f>IF($A392="","",_xll.BDP($A392&amp;" Corp","CRNCY"))</f>
        <v/>
      </c>
      <c r="H392" s="17">
        <f>IF($A392="","",IFERROR(INDEX(SYZ_static!$T$2:$T$806,MATCH($A392,SYZ_static!$A$2:$A$806,0)),_xll.BDP($A392&amp;" Corp","RTG_SP")))</f>
        <v/>
      </c>
      <c r="I392" s="17">
        <f>IF($A392="","",IFERROR(INDEX(SYZ_static!$S$2:$S$806,MATCH($A392,SYZ_static!$A$2:$A$806,0)),""))</f>
        <v/>
      </c>
      <c r="J392" s="17">
        <f>IF($A392="","",_xll.BDP($A392&amp;" Corp","PAYMENT_RANK"))</f>
        <v/>
      </c>
      <c r="K392" s="18">
        <f>IF($A392="","",_xll.BDP($A392&amp;" Corp","CPN"))</f>
        <v/>
      </c>
      <c r="L392" s="19">
        <f>IF($A392="","",_xll.BDP($A392&amp;" Corp","MATURITY"))</f>
        <v/>
      </c>
      <c r="M392" s="20">
        <f>IF($A392="","",IFERROR(_xll.BDP($A392&amp;" Corp","MIN_PIECE")/1000,""))</f>
        <v/>
      </c>
      <c r="N392" s="21">
        <f>IF($A392="","",_xll.BDP($A392&amp;" Corp","PX_LAST"))</f>
        <v/>
      </c>
      <c r="O392" s="21">
        <f>IF($A392="","",_xll.BDP($A392&amp;" Corp","YAS_BOND_YLD","YAS_YLD_FLAG=15"))</f>
        <v/>
      </c>
      <c r="P392" s="21">
        <f>IF($A392="","",_xll.BDP($A392&amp;" Corp","YAS_MOD_DUR"))</f>
        <v/>
      </c>
      <c r="Q392" s="22">
        <f>IF($A392="","",_xll.BDP($A392&amp;" Corp","YAS_OAS_SPRD"))</f>
        <v/>
      </c>
      <c r="R392" s="22">
        <f>IF($A392="","",_xll.BDP($A392&amp;" Corp","YAS_OAS_SPRD","SETTLE_DT",$B$2))</f>
        <v/>
      </c>
      <c r="S392" s="23">
        <f>IF($A392="","",IF(OR(NOT(ISNUMBER($Q392)),NOT(ISNUMBER($R392))),"",$Q392-$R392))</f>
        <v/>
      </c>
      <c r="T392" s="21">
        <f>IF($A392="","",_xll.BDP($A392&amp;" Corp","YAS_BOND_YLD","YAS_YLD_FLAG=15","SETTLE_DT",$B$2))</f>
        <v/>
      </c>
      <c r="U392" s="24">
        <f>IF($A392="","",IF(OR(NOT(ISNUMBER($O392)),NOT(ISNUMBER($T392))),"",$O392-$T392))</f>
        <v/>
      </c>
      <c r="V392" s="22">
        <f>IF(NOT(ISNUMBER($S392)),"",COUNTIFS($G$7:$G$850,$G392,$S$7:$S$850,"&gt;"&amp;$S392)+COUNTIFS($G$7:$G392,$G392,$S$7:$S392,$S392))</f>
        <v/>
      </c>
      <c r="W392" s="22">
        <f>IF(NOT(ISNUMBER($S392)),"",COUNTIFS($G$7:$G$850,$G392,$S$7:$S$850,"&lt;"&amp;$S392)+COUNTIFS($G$7:$G392,$G392,$S$7:$S392,$S392))</f>
        <v/>
      </c>
      <c r="X392" s="17">
        <f>IF($V392="","",$G392&amp;"|"&amp;$V392)</f>
        <v/>
      </c>
      <c r="Y392" s="17">
        <f>IF($W392="","",$G392&amp;"|"&amp;$W392)</f>
        <v/>
      </c>
    </row>
    <row r="393">
      <c r="A393" s="7" t="inlineStr">
        <is>
          <t>USN29505AA70</t>
        </is>
      </c>
      <c r="B393" s="8">
        <f>IF($A393="","",PROPER(_xll.BDP($A393&amp;" Corp","NAME")))</f>
        <v/>
      </c>
      <c r="C393" s="8">
        <f>IF($A393="","",IFERROR(INDEX(Company_desc!$B$2:$B$1144,MATCH($A393,Company_desc!$A$2:$A$1144,0)),IFERROR(INDEX(SYZ_static!$Q$2:$Q$806,MATCH($A393,SYZ_static!$A$2:$A$806,0)),"")))</f>
        <v/>
      </c>
      <c r="D393" s="8">
        <f>IF($A393="","",IFERROR(INDEX(SYZ_static!$B$2:$B$806,MATCH($A393,SYZ_static!$A$2:$A$806,0)),""))</f>
        <v/>
      </c>
      <c r="E393" s="8">
        <f>IF($A393="","",_xll.BDP($A393&amp;" Corp","INDUSTRY_SECTOR"))</f>
        <v/>
      </c>
      <c r="F393" s="8">
        <f>IF($A393="","",PROPER(_xll.BDP($A393&amp;" Corp","COUNTRY_FULL_NAME")))</f>
        <v/>
      </c>
      <c r="G393" s="8">
        <f>IF($A393="","",_xll.BDP($A393&amp;" Corp","CRNCY"))</f>
        <v/>
      </c>
      <c r="H393" s="8">
        <f>IF($A393="","",IFERROR(INDEX(SYZ_static!$T$2:$T$806,MATCH($A393,SYZ_static!$A$2:$A$806,0)),_xll.BDP($A393&amp;" Corp","RTG_SP")))</f>
        <v/>
      </c>
      <c r="I393" s="8">
        <f>IF($A393="","",IFERROR(INDEX(SYZ_static!$S$2:$S$806,MATCH($A393,SYZ_static!$A$2:$A$806,0)),""))</f>
        <v/>
      </c>
      <c r="J393" s="8">
        <f>IF($A393="","",_xll.BDP($A393&amp;" Corp","PAYMENT_RANK"))</f>
        <v/>
      </c>
      <c r="K393" s="9">
        <f>IF($A393="","",_xll.BDP($A393&amp;" Corp","CPN"))</f>
        <v/>
      </c>
      <c r="L393" s="10">
        <f>IF($A393="","",_xll.BDP($A393&amp;" Corp","MATURITY"))</f>
        <v/>
      </c>
      <c r="M393" s="11">
        <f>IF($A393="","",IFERROR(_xll.BDP($A393&amp;" Corp","MIN_PIECE")/1000,""))</f>
        <v/>
      </c>
      <c r="N393" s="12">
        <f>IF($A393="","",_xll.BDP($A393&amp;" Corp","PX_LAST"))</f>
        <v/>
      </c>
      <c r="O393" s="12">
        <f>IF($A393="","",_xll.BDP($A393&amp;" Corp","YAS_BOND_YLD","YAS_YLD_FLAG=15"))</f>
        <v/>
      </c>
      <c r="P393" s="12">
        <f>IF($A393="","",_xll.BDP($A393&amp;" Corp","YAS_MOD_DUR"))</f>
        <v/>
      </c>
      <c r="Q393" s="13">
        <f>IF($A393="","",_xll.BDP($A393&amp;" Corp","YAS_OAS_SPRD"))</f>
        <v/>
      </c>
      <c r="R393" s="13">
        <f>IF($A393="","",_xll.BDP($A393&amp;" Corp","YAS_OAS_SPRD","SETTLE_DT",$B$2))</f>
        <v/>
      </c>
      <c r="S393" s="14">
        <f>IF($A393="","",IF(OR(NOT(ISNUMBER($Q393)),NOT(ISNUMBER($R393))),"",$Q393-$R393))</f>
        <v/>
      </c>
      <c r="T393" s="12">
        <f>IF($A393="","",_xll.BDP($A393&amp;" Corp","YAS_BOND_YLD","YAS_YLD_FLAG=15","SETTLE_DT",$B$2))</f>
        <v/>
      </c>
      <c r="U393" s="15">
        <f>IF($A393="","",IF(OR(NOT(ISNUMBER($O393)),NOT(ISNUMBER($T393))),"",$O393-$T393))</f>
        <v/>
      </c>
      <c r="V393" s="13">
        <f>IF(NOT(ISNUMBER($S393)),"",COUNTIFS($G$7:$G$850,$G393,$S$7:$S$850,"&gt;"&amp;$S393)+COUNTIFS($G$7:$G393,$G393,$S$7:$S393,$S393))</f>
        <v/>
      </c>
      <c r="W393" s="13">
        <f>IF(NOT(ISNUMBER($S393)),"",COUNTIFS($G$7:$G$850,$G393,$S$7:$S$850,"&lt;"&amp;$S393)+COUNTIFS($G$7:$G393,$G393,$S$7:$S393,$S393))</f>
        <v/>
      </c>
      <c r="X393" s="8">
        <f>IF($V393="","",$G393&amp;"|"&amp;$V393)</f>
        <v/>
      </c>
      <c r="Y393" s="8">
        <f>IF($W393="","",$G393&amp;"|"&amp;$W393)</f>
        <v/>
      </c>
    </row>
    <row r="394">
      <c r="A394" s="16" t="inlineStr">
        <is>
          <t>XS2771418097</t>
        </is>
      </c>
      <c r="B394" s="17">
        <f>IF($A394="","",PROPER(_xll.BDP($A394&amp;" Corp","NAME")))</f>
        <v/>
      </c>
      <c r="C394" s="17">
        <f>IF($A394="","",IFERROR(INDEX(Company_desc!$B$2:$B$1144,MATCH($A394,Company_desc!$A$2:$A$1144,0)),IFERROR(INDEX(SYZ_static!$Q$2:$Q$806,MATCH($A394,SYZ_static!$A$2:$A$806,0)),"")))</f>
        <v/>
      </c>
      <c r="D394" s="17">
        <f>IF($A394="","",IFERROR(INDEX(SYZ_static!$B$2:$B$806,MATCH($A394,SYZ_static!$A$2:$A$806,0)),""))</f>
        <v/>
      </c>
      <c r="E394" s="17">
        <f>IF($A394="","",_xll.BDP($A394&amp;" Corp","INDUSTRY_SECTOR"))</f>
        <v/>
      </c>
      <c r="F394" s="17">
        <f>IF($A394="","",PROPER(_xll.BDP($A394&amp;" Corp","COUNTRY_FULL_NAME")))</f>
        <v/>
      </c>
      <c r="G394" s="17">
        <f>IF($A394="","",_xll.BDP($A394&amp;" Corp","CRNCY"))</f>
        <v/>
      </c>
      <c r="H394" s="17">
        <f>IF($A394="","",IFERROR(INDEX(SYZ_static!$T$2:$T$806,MATCH($A394,SYZ_static!$A$2:$A$806,0)),_xll.BDP($A394&amp;" Corp","RTG_SP")))</f>
        <v/>
      </c>
      <c r="I394" s="17">
        <f>IF($A394="","",IFERROR(INDEX(SYZ_static!$S$2:$S$806,MATCH($A394,SYZ_static!$A$2:$A$806,0)),""))</f>
        <v/>
      </c>
      <c r="J394" s="17">
        <f>IF($A394="","",_xll.BDP($A394&amp;" Corp","PAYMENT_RANK"))</f>
        <v/>
      </c>
      <c r="K394" s="18">
        <f>IF($A394="","",_xll.BDP($A394&amp;" Corp","CPN"))</f>
        <v/>
      </c>
      <c r="L394" s="19">
        <f>IF($A394="","",_xll.BDP($A394&amp;" Corp","MATURITY"))</f>
        <v/>
      </c>
      <c r="M394" s="20">
        <f>IF($A394="","",IFERROR(_xll.BDP($A394&amp;" Corp","MIN_PIECE")/1000,""))</f>
        <v/>
      </c>
      <c r="N394" s="21">
        <f>IF($A394="","",_xll.BDP($A394&amp;" Corp","PX_LAST"))</f>
        <v/>
      </c>
      <c r="O394" s="21">
        <f>IF($A394="","",_xll.BDP($A394&amp;" Corp","YAS_BOND_YLD","YAS_YLD_FLAG=15"))</f>
        <v/>
      </c>
      <c r="P394" s="21">
        <f>IF($A394="","",_xll.BDP($A394&amp;" Corp","YAS_MOD_DUR"))</f>
        <v/>
      </c>
      <c r="Q394" s="22">
        <f>IF($A394="","",_xll.BDP($A394&amp;" Corp","YAS_OAS_SPRD"))</f>
        <v/>
      </c>
      <c r="R394" s="22">
        <f>IF($A394="","",_xll.BDP($A394&amp;" Corp","YAS_OAS_SPRD","SETTLE_DT",$B$2))</f>
        <v/>
      </c>
      <c r="S394" s="23">
        <f>IF($A394="","",IF(OR(NOT(ISNUMBER($Q394)),NOT(ISNUMBER($R394))),"",$Q394-$R394))</f>
        <v/>
      </c>
      <c r="T394" s="21">
        <f>IF($A394="","",_xll.BDP($A394&amp;" Corp","YAS_BOND_YLD","YAS_YLD_FLAG=15","SETTLE_DT",$B$2))</f>
        <v/>
      </c>
      <c r="U394" s="24">
        <f>IF($A394="","",IF(OR(NOT(ISNUMBER($O394)),NOT(ISNUMBER($T394))),"",$O394-$T394))</f>
        <v/>
      </c>
      <c r="V394" s="22">
        <f>IF(NOT(ISNUMBER($S394)),"",COUNTIFS($G$7:$G$850,$G394,$S$7:$S$850,"&gt;"&amp;$S394)+COUNTIFS($G$7:$G394,$G394,$S$7:$S394,$S394))</f>
        <v/>
      </c>
      <c r="W394" s="22">
        <f>IF(NOT(ISNUMBER($S394)),"",COUNTIFS($G$7:$G$850,$G394,$S$7:$S$850,"&lt;"&amp;$S394)+COUNTIFS($G$7:$G394,$G394,$S$7:$S394,$S394))</f>
        <v/>
      </c>
      <c r="X394" s="17">
        <f>IF($V394="","",$G394&amp;"|"&amp;$V394)</f>
        <v/>
      </c>
      <c r="Y394" s="17">
        <f>IF($W394="","",$G394&amp;"|"&amp;$W394)</f>
        <v/>
      </c>
    </row>
    <row r="395">
      <c r="A395" s="7" t="inlineStr">
        <is>
          <t>XS2247936342</t>
        </is>
      </c>
      <c r="B395" s="8">
        <f>IF($A395="","",PROPER(_xll.BDP($A395&amp;" Corp","NAME")))</f>
        <v/>
      </c>
      <c r="C395" s="8">
        <f>IF($A395="","",IFERROR(INDEX(Company_desc!$B$2:$B$1144,MATCH($A395,Company_desc!$A$2:$A$1144,0)),IFERROR(INDEX(SYZ_static!$Q$2:$Q$806,MATCH($A395,SYZ_static!$A$2:$A$806,0)),"")))</f>
        <v/>
      </c>
      <c r="D395" s="8">
        <f>IF($A395="","",IFERROR(INDEX(SYZ_static!$B$2:$B$806,MATCH($A395,SYZ_static!$A$2:$A$806,0)),""))</f>
        <v/>
      </c>
      <c r="E395" s="8">
        <f>IF($A395="","",_xll.BDP($A395&amp;" Corp","INDUSTRY_SECTOR"))</f>
        <v/>
      </c>
      <c r="F395" s="8">
        <f>IF($A395="","",PROPER(_xll.BDP($A395&amp;" Corp","COUNTRY_FULL_NAME")))</f>
        <v/>
      </c>
      <c r="G395" s="8">
        <f>IF($A395="","",_xll.BDP($A395&amp;" Corp","CRNCY"))</f>
        <v/>
      </c>
      <c r="H395" s="8">
        <f>IF($A395="","",IFERROR(INDEX(SYZ_static!$T$2:$T$806,MATCH($A395,SYZ_static!$A$2:$A$806,0)),_xll.BDP($A395&amp;" Corp","RTG_SP")))</f>
        <v/>
      </c>
      <c r="I395" s="8">
        <f>IF($A395="","",IFERROR(INDEX(SYZ_static!$S$2:$S$806,MATCH($A395,SYZ_static!$A$2:$A$806,0)),""))</f>
        <v/>
      </c>
      <c r="J395" s="8">
        <f>IF($A395="","",_xll.BDP($A395&amp;" Corp","PAYMENT_RANK"))</f>
        <v/>
      </c>
      <c r="K395" s="9">
        <f>IF($A395="","",_xll.BDP($A395&amp;" Corp","CPN"))</f>
        <v/>
      </c>
      <c r="L395" s="10">
        <f>IF($A395="","",_xll.BDP($A395&amp;" Corp","MATURITY"))</f>
        <v/>
      </c>
      <c r="M395" s="11">
        <f>IF($A395="","",IFERROR(_xll.BDP($A395&amp;" Corp","MIN_PIECE")/1000,""))</f>
        <v/>
      </c>
      <c r="N395" s="12">
        <f>IF($A395="","",_xll.BDP($A395&amp;" Corp","PX_LAST"))</f>
        <v/>
      </c>
      <c r="O395" s="12">
        <f>IF($A395="","",_xll.BDP($A395&amp;" Corp","YAS_BOND_YLD","YAS_YLD_FLAG=15"))</f>
        <v/>
      </c>
      <c r="P395" s="12">
        <f>IF($A395="","",_xll.BDP($A395&amp;" Corp","YAS_MOD_DUR"))</f>
        <v/>
      </c>
      <c r="Q395" s="13">
        <f>IF($A395="","",_xll.BDP($A395&amp;" Corp","YAS_OAS_SPRD"))</f>
        <v/>
      </c>
      <c r="R395" s="13">
        <f>IF($A395="","",_xll.BDP($A395&amp;" Corp","YAS_OAS_SPRD","SETTLE_DT",$B$2))</f>
        <v/>
      </c>
      <c r="S395" s="14">
        <f>IF($A395="","",IF(OR(NOT(ISNUMBER($Q395)),NOT(ISNUMBER($R395))),"",$Q395-$R395))</f>
        <v/>
      </c>
      <c r="T395" s="12">
        <f>IF($A395="","",_xll.BDP($A395&amp;" Corp","YAS_BOND_YLD","YAS_YLD_FLAG=15","SETTLE_DT",$B$2))</f>
        <v/>
      </c>
      <c r="U395" s="15">
        <f>IF($A395="","",IF(OR(NOT(ISNUMBER($O395)),NOT(ISNUMBER($T395))),"",$O395-$T395))</f>
        <v/>
      </c>
      <c r="V395" s="13">
        <f>IF(NOT(ISNUMBER($S395)),"",COUNTIFS($G$7:$G$850,$G395,$S$7:$S$850,"&gt;"&amp;$S395)+COUNTIFS($G$7:$G395,$G395,$S$7:$S395,$S395))</f>
        <v/>
      </c>
      <c r="W395" s="13">
        <f>IF(NOT(ISNUMBER($S395)),"",COUNTIFS($G$7:$G$850,$G395,$S$7:$S$850,"&lt;"&amp;$S395)+COUNTIFS($G$7:$G395,$G395,$S$7:$S395,$S395))</f>
        <v/>
      </c>
      <c r="X395" s="8">
        <f>IF($V395="","",$G395&amp;"|"&amp;$V395)</f>
        <v/>
      </c>
      <c r="Y395" s="8">
        <f>IF($W395="","",$G395&amp;"|"&amp;$W395)</f>
        <v/>
      </c>
    </row>
    <row r="396">
      <c r="A396" s="16" t="inlineStr">
        <is>
          <t>US817565CD49</t>
        </is>
      </c>
      <c r="B396" s="17">
        <f>IF($A396="","",PROPER(_xll.BDP($A396&amp;" Corp","NAME")))</f>
        <v/>
      </c>
      <c r="C396" s="17">
        <f>IF($A396="","",IFERROR(INDEX(Company_desc!$B$2:$B$1144,MATCH($A396,Company_desc!$A$2:$A$1144,0)),IFERROR(INDEX(SYZ_static!$Q$2:$Q$806,MATCH($A396,SYZ_static!$A$2:$A$806,0)),"")))</f>
        <v/>
      </c>
      <c r="D396" s="17">
        <f>IF($A396="","",IFERROR(INDEX(SYZ_static!$B$2:$B$806,MATCH($A396,SYZ_static!$A$2:$A$806,0)),""))</f>
        <v/>
      </c>
      <c r="E396" s="17">
        <f>IF($A396="","",_xll.BDP($A396&amp;" Corp","INDUSTRY_SECTOR"))</f>
        <v/>
      </c>
      <c r="F396" s="17">
        <f>IF($A396="","",PROPER(_xll.BDP($A396&amp;" Corp","COUNTRY_FULL_NAME")))</f>
        <v/>
      </c>
      <c r="G396" s="17">
        <f>IF($A396="","",_xll.BDP($A396&amp;" Corp","CRNCY"))</f>
        <v/>
      </c>
      <c r="H396" s="17">
        <f>IF($A396="","",IFERROR(INDEX(SYZ_static!$T$2:$T$806,MATCH($A396,SYZ_static!$A$2:$A$806,0)),_xll.BDP($A396&amp;" Corp","RTG_SP")))</f>
        <v/>
      </c>
      <c r="I396" s="17">
        <f>IF($A396="","",IFERROR(INDEX(SYZ_static!$S$2:$S$806,MATCH($A396,SYZ_static!$A$2:$A$806,0)),""))</f>
        <v/>
      </c>
      <c r="J396" s="17">
        <f>IF($A396="","",_xll.BDP($A396&amp;" Corp","PAYMENT_RANK"))</f>
        <v/>
      </c>
      <c r="K396" s="18">
        <f>IF($A396="","",_xll.BDP($A396&amp;" Corp","CPN"))</f>
        <v/>
      </c>
      <c r="L396" s="19">
        <f>IF($A396="","",_xll.BDP($A396&amp;" Corp","MATURITY"))</f>
        <v/>
      </c>
      <c r="M396" s="20">
        <f>IF($A396="","",IFERROR(_xll.BDP($A396&amp;" Corp","MIN_PIECE")/1000,""))</f>
        <v/>
      </c>
      <c r="N396" s="21">
        <f>IF($A396="","",_xll.BDP($A396&amp;" Corp","PX_LAST"))</f>
        <v/>
      </c>
      <c r="O396" s="21">
        <f>IF($A396="","",_xll.BDP($A396&amp;" Corp","YAS_BOND_YLD","YAS_YLD_FLAG=15"))</f>
        <v/>
      </c>
      <c r="P396" s="21">
        <f>IF($A396="","",_xll.BDP($A396&amp;" Corp","YAS_MOD_DUR"))</f>
        <v/>
      </c>
      <c r="Q396" s="22">
        <f>IF($A396="","",_xll.BDP($A396&amp;" Corp","YAS_OAS_SPRD"))</f>
        <v/>
      </c>
      <c r="R396" s="22">
        <f>IF($A396="","",_xll.BDP($A396&amp;" Corp","YAS_OAS_SPRD","SETTLE_DT",$B$2))</f>
        <v/>
      </c>
      <c r="S396" s="23">
        <f>IF($A396="","",IF(OR(NOT(ISNUMBER($Q396)),NOT(ISNUMBER($R396))),"",$Q396-$R396))</f>
        <v/>
      </c>
      <c r="T396" s="21">
        <f>IF($A396="","",_xll.BDP($A396&amp;" Corp","YAS_BOND_YLD","YAS_YLD_FLAG=15","SETTLE_DT",$B$2))</f>
        <v/>
      </c>
      <c r="U396" s="24">
        <f>IF($A396="","",IF(OR(NOT(ISNUMBER($O396)),NOT(ISNUMBER($T396))),"",$O396-$T396))</f>
        <v/>
      </c>
      <c r="V396" s="22">
        <f>IF(NOT(ISNUMBER($S396)),"",COUNTIFS($G$7:$G$850,$G396,$S$7:$S$850,"&gt;"&amp;$S396)+COUNTIFS($G$7:$G396,$G396,$S$7:$S396,$S396))</f>
        <v/>
      </c>
      <c r="W396" s="22">
        <f>IF(NOT(ISNUMBER($S396)),"",COUNTIFS($G$7:$G$850,$G396,$S$7:$S$850,"&lt;"&amp;$S396)+COUNTIFS($G$7:$G396,$G396,$S$7:$S396,$S396))</f>
        <v/>
      </c>
      <c r="X396" s="17">
        <f>IF($V396="","",$G396&amp;"|"&amp;$V396)</f>
        <v/>
      </c>
      <c r="Y396" s="17">
        <f>IF($W396="","",$G396&amp;"|"&amp;$W396)</f>
        <v/>
      </c>
    </row>
    <row r="397">
      <c r="A397" s="7" t="inlineStr">
        <is>
          <t>FR001400FAR2</t>
        </is>
      </c>
      <c r="B397" s="8">
        <f>IF($A397="","",PROPER(_xll.BDP($A397&amp;" Corp","NAME")))</f>
        <v/>
      </c>
      <c r="C397" s="8">
        <f>IF($A397="","",IFERROR(INDEX(Company_desc!$B$2:$B$1144,MATCH($A397,Company_desc!$A$2:$A$1144,0)),IFERROR(INDEX(SYZ_static!$Q$2:$Q$806,MATCH($A397,SYZ_static!$A$2:$A$806,0)),"")))</f>
        <v/>
      </c>
      <c r="D397" s="8">
        <f>IF($A397="","",IFERROR(INDEX(SYZ_static!$B$2:$B$806,MATCH($A397,SYZ_static!$A$2:$A$806,0)),""))</f>
        <v/>
      </c>
      <c r="E397" s="8">
        <f>IF($A397="","",_xll.BDP($A397&amp;" Corp","INDUSTRY_SECTOR"))</f>
        <v/>
      </c>
      <c r="F397" s="8">
        <f>IF($A397="","",PROPER(_xll.BDP($A397&amp;" Corp","COUNTRY_FULL_NAME")))</f>
        <v/>
      </c>
      <c r="G397" s="8">
        <f>IF($A397="","",_xll.BDP($A397&amp;" Corp","CRNCY"))</f>
        <v/>
      </c>
      <c r="H397" s="8">
        <f>IF($A397="","",IFERROR(INDEX(SYZ_static!$T$2:$T$806,MATCH($A397,SYZ_static!$A$2:$A$806,0)),_xll.BDP($A397&amp;" Corp","RTG_SP")))</f>
        <v/>
      </c>
      <c r="I397" s="8">
        <f>IF($A397="","",IFERROR(INDEX(SYZ_static!$S$2:$S$806,MATCH($A397,SYZ_static!$A$2:$A$806,0)),""))</f>
        <v/>
      </c>
      <c r="J397" s="8">
        <f>IF($A397="","",_xll.BDP($A397&amp;" Corp","PAYMENT_RANK"))</f>
        <v/>
      </c>
      <c r="K397" s="9">
        <f>IF($A397="","",_xll.BDP($A397&amp;" Corp","CPN"))</f>
        <v/>
      </c>
      <c r="L397" s="10">
        <f>IF($A397="","",_xll.BDP($A397&amp;" Corp","MATURITY"))</f>
        <v/>
      </c>
      <c r="M397" s="11">
        <f>IF($A397="","",IFERROR(_xll.BDP($A397&amp;" Corp","MIN_PIECE")/1000,""))</f>
        <v/>
      </c>
      <c r="N397" s="12">
        <f>IF($A397="","",_xll.BDP($A397&amp;" Corp","PX_LAST"))</f>
        <v/>
      </c>
      <c r="O397" s="12">
        <f>IF($A397="","",_xll.BDP($A397&amp;" Corp","YAS_BOND_YLD","YAS_YLD_FLAG=15"))</f>
        <v/>
      </c>
      <c r="P397" s="12">
        <f>IF($A397="","",_xll.BDP($A397&amp;" Corp","YAS_MOD_DUR"))</f>
        <v/>
      </c>
      <c r="Q397" s="13">
        <f>IF($A397="","",_xll.BDP($A397&amp;" Corp","YAS_OAS_SPRD"))</f>
        <v/>
      </c>
      <c r="R397" s="13">
        <f>IF($A397="","",_xll.BDP($A397&amp;" Corp","YAS_OAS_SPRD","SETTLE_DT",$B$2))</f>
        <v/>
      </c>
      <c r="S397" s="14">
        <f>IF($A397="","",IF(OR(NOT(ISNUMBER($Q397)),NOT(ISNUMBER($R397))),"",$Q397-$R397))</f>
        <v/>
      </c>
      <c r="T397" s="12">
        <f>IF($A397="","",_xll.BDP($A397&amp;" Corp","YAS_BOND_YLD","YAS_YLD_FLAG=15","SETTLE_DT",$B$2))</f>
        <v/>
      </c>
      <c r="U397" s="15">
        <f>IF($A397="","",IF(OR(NOT(ISNUMBER($O397)),NOT(ISNUMBER($T397))),"",$O397-$T397))</f>
        <v/>
      </c>
      <c r="V397" s="13">
        <f>IF(NOT(ISNUMBER($S397)),"",COUNTIFS($G$7:$G$850,$G397,$S$7:$S$850,"&gt;"&amp;$S397)+COUNTIFS($G$7:$G397,$G397,$S$7:$S397,$S397))</f>
        <v/>
      </c>
      <c r="W397" s="13">
        <f>IF(NOT(ISNUMBER($S397)),"",COUNTIFS($G$7:$G$850,$G397,$S$7:$S$850,"&lt;"&amp;$S397)+COUNTIFS($G$7:$G397,$G397,$S$7:$S397,$S397))</f>
        <v/>
      </c>
      <c r="X397" s="8">
        <f>IF($V397="","",$G397&amp;"|"&amp;$V397)</f>
        <v/>
      </c>
      <c r="Y397" s="8">
        <f>IF($W397="","",$G397&amp;"|"&amp;$W397)</f>
        <v/>
      </c>
    </row>
    <row r="398">
      <c r="A398" s="16" t="inlineStr">
        <is>
          <t>XS2583742668</t>
        </is>
      </c>
      <c r="B398" s="17">
        <f>IF($A398="","",PROPER(_xll.BDP($A398&amp;" Corp","NAME")))</f>
        <v/>
      </c>
      <c r="C398" s="17">
        <f>IF($A398="","",IFERROR(INDEX(Company_desc!$B$2:$B$1144,MATCH($A398,Company_desc!$A$2:$A$1144,0)),IFERROR(INDEX(SYZ_static!$Q$2:$Q$806,MATCH($A398,SYZ_static!$A$2:$A$806,0)),"")))</f>
        <v/>
      </c>
      <c r="D398" s="17">
        <f>IF($A398="","",IFERROR(INDEX(SYZ_static!$B$2:$B$806,MATCH($A398,SYZ_static!$A$2:$A$806,0)),""))</f>
        <v/>
      </c>
      <c r="E398" s="17">
        <f>IF($A398="","",_xll.BDP($A398&amp;" Corp","INDUSTRY_SECTOR"))</f>
        <v/>
      </c>
      <c r="F398" s="17">
        <f>IF($A398="","",PROPER(_xll.BDP($A398&amp;" Corp","COUNTRY_FULL_NAME")))</f>
        <v/>
      </c>
      <c r="G398" s="17">
        <f>IF($A398="","",_xll.BDP($A398&amp;" Corp","CRNCY"))</f>
        <v/>
      </c>
      <c r="H398" s="17">
        <f>IF($A398="","",IFERROR(INDEX(SYZ_static!$T$2:$T$806,MATCH($A398,SYZ_static!$A$2:$A$806,0)),_xll.BDP($A398&amp;" Corp","RTG_SP")))</f>
        <v/>
      </c>
      <c r="I398" s="17">
        <f>IF($A398="","",IFERROR(INDEX(SYZ_static!$S$2:$S$806,MATCH($A398,SYZ_static!$A$2:$A$806,0)),""))</f>
        <v/>
      </c>
      <c r="J398" s="17">
        <f>IF($A398="","",_xll.BDP($A398&amp;" Corp","PAYMENT_RANK"))</f>
        <v/>
      </c>
      <c r="K398" s="18">
        <f>IF($A398="","",_xll.BDP($A398&amp;" Corp","CPN"))</f>
        <v/>
      </c>
      <c r="L398" s="19">
        <f>IF($A398="","",_xll.BDP($A398&amp;" Corp","MATURITY"))</f>
        <v/>
      </c>
      <c r="M398" s="20">
        <f>IF($A398="","",IFERROR(_xll.BDP($A398&amp;" Corp","MIN_PIECE")/1000,""))</f>
        <v/>
      </c>
      <c r="N398" s="21">
        <f>IF($A398="","",_xll.BDP($A398&amp;" Corp","PX_LAST"))</f>
        <v/>
      </c>
      <c r="O398" s="21">
        <f>IF($A398="","",_xll.BDP($A398&amp;" Corp","YAS_BOND_YLD","YAS_YLD_FLAG=15"))</f>
        <v/>
      </c>
      <c r="P398" s="21">
        <f>IF($A398="","",_xll.BDP($A398&amp;" Corp","YAS_MOD_DUR"))</f>
        <v/>
      </c>
      <c r="Q398" s="22">
        <f>IF($A398="","",_xll.BDP($A398&amp;" Corp","YAS_OAS_SPRD"))</f>
        <v/>
      </c>
      <c r="R398" s="22">
        <f>IF($A398="","",_xll.BDP($A398&amp;" Corp","YAS_OAS_SPRD","SETTLE_DT",$B$2))</f>
        <v/>
      </c>
      <c r="S398" s="23">
        <f>IF($A398="","",IF(OR(NOT(ISNUMBER($Q398)),NOT(ISNUMBER($R398))),"",$Q398-$R398))</f>
        <v/>
      </c>
      <c r="T398" s="21">
        <f>IF($A398="","",_xll.BDP($A398&amp;" Corp","YAS_BOND_YLD","YAS_YLD_FLAG=15","SETTLE_DT",$B$2))</f>
        <v/>
      </c>
      <c r="U398" s="24">
        <f>IF($A398="","",IF(OR(NOT(ISNUMBER($O398)),NOT(ISNUMBER($T398))),"",$O398-$T398))</f>
        <v/>
      </c>
      <c r="V398" s="22">
        <f>IF(NOT(ISNUMBER($S398)),"",COUNTIFS($G$7:$G$850,$G398,$S$7:$S$850,"&gt;"&amp;$S398)+COUNTIFS($G$7:$G398,$G398,$S$7:$S398,$S398))</f>
        <v/>
      </c>
      <c r="W398" s="22">
        <f>IF(NOT(ISNUMBER($S398)),"",COUNTIFS($G$7:$G$850,$G398,$S$7:$S$850,"&lt;"&amp;$S398)+COUNTIFS($G$7:$G398,$G398,$S$7:$S398,$S398))</f>
        <v/>
      </c>
      <c r="X398" s="17">
        <f>IF($V398="","",$G398&amp;"|"&amp;$V398)</f>
        <v/>
      </c>
      <c r="Y398" s="17">
        <f>IF($W398="","",$G398&amp;"|"&amp;$W398)</f>
        <v/>
      </c>
    </row>
    <row r="399">
      <c r="A399" s="7" t="inlineStr">
        <is>
          <t>XS2356219084</t>
        </is>
      </c>
      <c r="B399" s="8">
        <f>IF($A399="","",PROPER(_xll.BDP($A399&amp;" Corp","NAME")))</f>
        <v/>
      </c>
      <c r="C399" s="8">
        <f>IF($A399="","",IFERROR(INDEX(Company_desc!$B$2:$B$1144,MATCH($A399,Company_desc!$A$2:$A$1144,0)),IFERROR(INDEX(SYZ_static!$Q$2:$Q$806,MATCH($A399,SYZ_static!$A$2:$A$806,0)),"")))</f>
        <v/>
      </c>
      <c r="D399" s="8">
        <f>IF($A399="","",IFERROR(INDEX(SYZ_static!$B$2:$B$806,MATCH($A399,SYZ_static!$A$2:$A$806,0)),""))</f>
        <v/>
      </c>
      <c r="E399" s="8">
        <f>IF($A399="","",_xll.BDP($A399&amp;" Corp","INDUSTRY_SECTOR"))</f>
        <v/>
      </c>
      <c r="F399" s="8">
        <f>IF($A399="","",PROPER(_xll.BDP($A399&amp;" Corp","COUNTRY_FULL_NAME")))</f>
        <v/>
      </c>
      <c r="G399" s="8">
        <f>IF($A399="","",_xll.BDP($A399&amp;" Corp","CRNCY"))</f>
        <v/>
      </c>
      <c r="H399" s="8">
        <f>IF($A399="","",IFERROR(INDEX(SYZ_static!$T$2:$T$806,MATCH($A399,SYZ_static!$A$2:$A$806,0)),_xll.BDP($A399&amp;" Corp","RTG_SP")))</f>
        <v/>
      </c>
      <c r="I399" s="8">
        <f>IF($A399="","",IFERROR(INDEX(SYZ_static!$S$2:$S$806,MATCH($A399,SYZ_static!$A$2:$A$806,0)),""))</f>
        <v/>
      </c>
      <c r="J399" s="8">
        <f>IF($A399="","",_xll.BDP($A399&amp;" Corp","PAYMENT_RANK"))</f>
        <v/>
      </c>
      <c r="K399" s="9">
        <f>IF($A399="","",_xll.BDP($A399&amp;" Corp","CPN"))</f>
        <v/>
      </c>
      <c r="L399" s="10">
        <f>IF($A399="","",_xll.BDP($A399&amp;" Corp","MATURITY"))</f>
        <v/>
      </c>
      <c r="M399" s="11">
        <f>IF($A399="","",IFERROR(_xll.BDP($A399&amp;" Corp","MIN_PIECE")/1000,""))</f>
        <v/>
      </c>
      <c r="N399" s="12">
        <f>IF($A399="","",_xll.BDP($A399&amp;" Corp","PX_LAST"))</f>
        <v/>
      </c>
      <c r="O399" s="12">
        <f>IF($A399="","",_xll.BDP($A399&amp;" Corp","YAS_BOND_YLD","YAS_YLD_FLAG=15"))</f>
        <v/>
      </c>
      <c r="P399" s="12">
        <f>IF($A399="","",_xll.BDP($A399&amp;" Corp","YAS_MOD_DUR"))</f>
        <v/>
      </c>
      <c r="Q399" s="13">
        <f>IF($A399="","",_xll.BDP($A399&amp;" Corp","YAS_OAS_SPRD"))</f>
        <v/>
      </c>
      <c r="R399" s="13">
        <f>IF($A399="","",_xll.BDP($A399&amp;" Corp","YAS_OAS_SPRD","SETTLE_DT",$B$2))</f>
        <v/>
      </c>
      <c r="S399" s="14">
        <f>IF($A399="","",IF(OR(NOT(ISNUMBER($Q399)),NOT(ISNUMBER($R399))),"",$Q399-$R399))</f>
        <v/>
      </c>
      <c r="T399" s="12">
        <f>IF($A399="","",_xll.BDP($A399&amp;" Corp","YAS_BOND_YLD","YAS_YLD_FLAG=15","SETTLE_DT",$B$2))</f>
        <v/>
      </c>
      <c r="U399" s="15">
        <f>IF($A399="","",IF(OR(NOT(ISNUMBER($O399)),NOT(ISNUMBER($T399))),"",$O399-$T399))</f>
        <v/>
      </c>
      <c r="V399" s="13">
        <f>IF(NOT(ISNUMBER($S399)),"",COUNTIFS($G$7:$G$850,$G399,$S$7:$S$850,"&gt;"&amp;$S399)+COUNTIFS($G$7:$G399,$G399,$S$7:$S399,$S399))</f>
        <v/>
      </c>
      <c r="W399" s="13">
        <f>IF(NOT(ISNUMBER($S399)),"",COUNTIFS($G$7:$G$850,$G399,$S$7:$S$850,"&lt;"&amp;$S399)+COUNTIFS($G$7:$G399,$G399,$S$7:$S399,$S399))</f>
        <v/>
      </c>
      <c r="X399" s="8">
        <f>IF($V399="","",$G399&amp;"|"&amp;$V399)</f>
        <v/>
      </c>
      <c r="Y399" s="8">
        <f>IF($W399="","",$G399&amp;"|"&amp;$W399)</f>
        <v/>
      </c>
    </row>
    <row r="400">
      <c r="A400" s="16" t="inlineStr">
        <is>
          <t>US65339KCP30</t>
        </is>
      </c>
      <c r="B400" s="17">
        <f>IF($A400="","",PROPER(_xll.BDP($A400&amp;" Corp","NAME")))</f>
        <v/>
      </c>
      <c r="C400" s="17">
        <f>IF($A400="","",IFERROR(INDEX(Company_desc!$B$2:$B$1144,MATCH($A400,Company_desc!$A$2:$A$1144,0)),IFERROR(INDEX(SYZ_static!$Q$2:$Q$806,MATCH($A400,SYZ_static!$A$2:$A$806,0)),"")))</f>
        <v/>
      </c>
      <c r="D400" s="17">
        <f>IF($A400="","",IFERROR(INDEX(SYZ_static!$B$2:$B$806,MATCH($A400,SYZ_static!$A$2:$A$806,0)),""))</f>
        <v/>
      </c>
      <c r="E400" s="17">
        <f>IF($A400="","",_xll.BDP($A400&amp;" Corp","INDUSTRY_SECTOR"))</f>
        <v/>
      </c>
      <c r="F400" s="17">
        <f>IF($A400="","",PROPER(_xll.BDP($A400&amp;" Corp","COUNTRY_FULL_NAME")))</f>
        <v/>
      </c>
      <c r="G400" s="17">
        <f>IF($A400="","",_xll.BDP($A400&amp;" Corp","CRNCY"))</f>
        <v/>
      </c>
      <c r="H400" s="17">
        <f>IF($A400="","",IFERROR(INDEX(SYZ_static!$T$2:$T$806,MATCH($A400,SYZ_static!$A$2:$A$806,0)),_xll.BDP($A400&amp;" Corp","RTG_SP")))</f>
        <v/>
      </c>
      <c r="I400" s="17">
        <f>IF($A400="","",IFERROR(INDEX(SYZ_static!$S$2:$S$806,MATCH($A400,SYZ_static!$A$2:$A$806,0)),""))</f>
        <v/>
      </c>
      <c r="J400" s="17">
        <f>IF($A400="","",_xll.BDP($A400&amp;" Corp","PAYMENT_RANK"))</f>
        <v/>
      </c>
      <c r="K400" s="18">
        <f>IF($A400="","",_xll.BDP($A400&amp;" Corp","CPN"))</f>
        <v/>
      </c>
      <c r="L400" s="19">
        <f>IF($A400="","",_xll.BDP($A400&amp;" Corp","MATURITY"))</f>
        <v/>
      </c>
      <c r="M400" s="20">
        <f>IF($A400="","",IFERROR(_xll.BDP($A400&amp;" Corp","MIN_PIECE")/1000,""))</f>
        <v/>
      </c>
      <c r="N400" s="21">
        <f>IF($A400="","",_xll.BDP($A400&amp;" Corp","PX_LAST"))</f>
        <v/>
      </c>
      <c r="O400" s="21">
        <f>IF($A400="","",_xll.BDP($A400&amp;" Corp","YAS_BOND_YLD","YAS_YLD_FLAG=15"))</f>
        <v/>
      </c>
      <c r="P400" s="21">
        <f>IF($A400="","",_xll.BDP($A400&amp;" Corp","YAS_MOD_DUR"))</f>
        <v/>
      </c>
      <c r="Q400" s="22">
        <f>IF($A400="","",_xll.BDP($A400&amp;" Corp","YAS_OAS_SPRD"))</f>
        <v/>
      </c>
      <c r="R400" s="22">
        <f>IF($A400="","",_xll.BDP($A400&amp;" Corp","YAS_OAS_SPRD","SETTLE_DT",$B$2))</f>
        <v/>
      </c>
      <c r="S400" s="23">
        <f>IF($A400="","",IF(OR(NOT(ISNUMBER($Q400)),NOT(ISNUMBER($R400))),"",$Q400-$R400))</f>
        <v/>
      </c>
      <c r="T400" s="21">
        <f>IF($A400="","",_xll.BDP($A400&amp;" Corp","YAS_BOND_YLD","YAS_YLD_FLAG=15","SETTLE_DT",$B$2))</f>
        <v/>
      </c>
      <c r="U400" s="24">
        <f>IF($A400="","",IF(OR(NOT(ISNUMBER($O400)),NOT(ISNUMBER($T400))),"",$O400-$T400))</f>
        <v/>
      </c>
      <c r="V400" s="22">
        <f>IF(NOT(ISNUMBER($S400)),"",COUNTIFS($G$7:$G$850,$G400,$S$7:$S$850,"&gt;"&amp;$S400)+COUNTIFS($G$7:$G400,$G400,$S$7:$S400,$S400))</f>
        <v/>
      </c>
      <c r="W400" s="22">
        <f>IF(NOT(ISNUMBER($S400)),"",COUNTIFS($G$7:$G$850,$G400,$S$7:$S$850,"&lt;"&amp;$S400)+COUNTIFS($G$7:$G400,$G400,$S$7:$S400,$S400))</f>
        <v/>
      </c>
      <c r="X400" s="17">
        <f>IF($V400="","",$G400&amp;"|"&amp;$V400)</f>
        <v/>
      </c>
      <c r="Y400" s="17">
        <f>IF($W400="","",$G400&amp;"|"&amp;$W400)</f>
        <v/>
      </c>
    </row>
    <row r="401">
      <c r="A401" s="7" t="inlineStr">
        <is>
          <t>US571903BH57</t>
        </is>
      </c>
      <c r="B401" s="8">
        <f>IF($A401="","",PROPER(_xll.BDP($A401&amp;" Corp","NAME")))</f>
        <v/>
      </c>
      <c r="C401" s="8">
        <f>IF($A401="","",IFERROR(INDEX(Company_desc!$B$2:$B$1144,MATCH($A401,Company_desc!$A$2:$A$1144,0)),IFERROR(INDEX(SYZ_static!$Q$2:$Q$806,MATCH($A401,SYZ_static!$A$2:$A$806,0)),"")))</f>
        <v/>
      </c>
      <c r="D401" s="8">
        <f>IF($A401="","",IFERROR(INDEX(SYZ_static!$B$2:$B$806,MATCH($A401,SYZ_static!$A$2:$A$806,0)),""))</f>
        <v/>
      </c>
      <c r="E401" s="8">
        <f>IF($A401="","",_xll.BDP($A401&amp;" Corp","INDUSTRY_SECTOR"))</f>
        <v/>
      </c>
      <c r="F401" s="8">
        <f>IF($A401="","",PROPER(_xll.BDP($A401&amp;" Corp","COUNTRY_FULL_NAME")))</f>
        <v/>
      </c>
      <c r="G401" s="8">
        <f>IF($A401="","",_xll.BDP($A401&amp;" Corp","CRNCY"))</f>
        <v/>
      </c>
      <c r="H401" s="8">
        <f>IF($A401="","",IFERROR(INDEX(SYZ_static!$T$2:$T$806,MATCH($A401,SYZ_static!$A$2:$A$806,0)),_xll.BDP($A401&amp;" Corp","RTG_SP")))</f>
        <v/>
      </c>
      <c r="I401" s="8">
        <f>IF($A401="","",IFERROR(INDEX(SYZ_static!$S$2:$S$806,MATCH($A401,SYZ_static!$A$2:$A$806,0)),""))</f>
        <v/>
      </c>
      <c r="J401" s="8">
        <f>IF($A401="","",_xll.BDP($A401&amp;" Corp","PAYMENT_RANK"))</f>
        <v/>
      </c>
      <c r="K401" s="9">
        <f>IF($A401="","",_xll.BDP($A401&amp;" Corp","CPN"))</f>
        <v/>
      </c>
      <c r="L401" s="10">
        <f>IF($A401="","",_xll.BDP($A401&amp;" Corp","MATURITY"))</f>
        <v/>
      </c>
      <c r="M401" s="11">
        <f>IF($A401="","",IFERROR(_xll.BDP($A401&amp;" Corp","MIN_PIECE")/1000,""))</f>
        <v/>
      </c>
      <c r="N401" s="12">
        <f>IF($A401="","",_xll.BDP($A401&amp;" Corp","PX_LAST"))</f>
        <v/>
      </c>
      <c r="O401" s="12">
        <f>IF($A401="","",_xll.BDP($A401&amp;" Corp","YAS_BOND_YLD","YAS_YLD_FLAG=15"))</f>
        <v/>
      </c>
      <c r="P401" s="12">
        <f>IF($A401="","",_xll.BDP($A401&amp;" Corp","YAS_MOD_DUR"))</f>
        <v/>
      </c>
      <c r="Q401" s="13">
        <f>IF($A401="","",_xll.BDP($A401&amp;" Corp","YAS_OAS_SPRD"))</f>
        <v/>
      </c>
      <c r="R401" s="13">
        <f>IF($A401="","",_xll.BDP($A401&amp;" Corp","YAS_OAS_SPRD","SETTLE_DT",$B$2))</f>
        <v/>
      </c>
      <c r="S401" s="14">
        <f>IF($A401="","",IF(OR(NOT(ISNUMBER($Q401)),NOT(ISNUMBER($R401))),"",$Q401-$R401))</f>
        <v/>
      </c>
      <c r="T401" s="12">
        <f>IF($A401="","",_xll.BDP($A401&amp;" Corp","YAS_BOND_YLD","YAS_YLD_FLAG=15","SETTLE_DT",$B$2))</f>
        <v/>
      </c>
      <c r="U401" s="15">
        <f>IF($A401="","",IF(OR(NOT(ISNUMBER($O401)),NOT(ISNUMBER($T401))),"",$O401-$T401))</f>
        <v/>
      </c>
      <c r="V401" s="13">
        <f>IF(NOT(ISNUMBER($S401)),"",COUNTIFS($G$7:$G$850,$G401,$S$7:$S$850,"&gt;"&amp;$S401)+COUNTIFS($G$7:$G401,$G401,$S$7:$S401,$S401))</f>
        <v/>
      </c>
      <c r="W401" s="13">
        <f>IF(NOT(ISNUMBER($S401)),"",COUNTIFS($G$7:$G$850,$G401,$S$7:$S$850,"&lt;"&amp;$S401)+COUNTIFS($G$7:$G401,$G401,$S$7:$S401,$S401))</f>
        <v/>
      </c>
      <c r="X401" s="8">
        <f>IF($V401="","",$G401&amp;"|"&amp;$V401)</f>
        <v/>
      </c>
      <c r="Y401" s="8">
        <f>IF($W401="","",$G401&amp;"|"&amp;$W401)</f>
        <v/>
      </c>
    </row>
    <row r="402">
      <c r="A402" s="16" t="inlineStr">
        <is>
          <t>XS2622275969</t>
        </is>
      </c>
      <c r="B402" s="17">
        <f>IF($A402="","",PROPER(_xll.BDP($A402&amp;" Corp","NAME")))</f>
        <v/>
      </c>
      <c r="C402" s="17">
        <f>IF($A402="","",IFERROR(INDEX(Company_desc!$B$2:$B$1144,MATCH($A402,Company_desc!$A$2:$A$1144,0)),IFERROR(INDEX(SYZ_static!$Q$2:$Q$806,MATCH($A402,SYZ_static!$A$2:$A$806,0)),"")))</f>
        <v/>
      </c>
      <c r="D402" s="17">
        <f>IF($A402="","",IFERROR(INDEX(SYZ_static!$B$2:$B$806,MATCH($A402,SYZ_static!$A$2:$A$806,0)),""))</f>
        <v/>
      </c>
      <c r="E402" s="17">
        <f>IF($A402="","",_xll.BDP($A402&amp;" Corp","INDUSTRY_SECTOR"))</f>
        <v/>
      </c>
      <c r="F402" s="17">
        <f>IF($A402="","",PROPER(_xll.BDP($A402&amp;" Corp","COUNTRY_FULL_NAME")))</f>
        <v/>
      </c>
      <c r="G402" s="17">
        <f>IF($A402="","",_xll.BDP($A402&amp;" Corp","CRNCY"))</f>
        <v/>
      </c>
      <c r="H402" s="17">
        <f>IF($A402="","",IFERROR(INDEX(SYZ_static!$T$2:$T$806,MATCH($A402,SYZ_static!$A$2:$A$806,0)),_xll.BDP($A402&amp;" Corp","RTG_SP")))</f>
        <v/>
      </c>
      <c r="I402" s="17">
        <f>IF($A402="","",IFERROR(INDEX(SYZ_static!$S$2:$S$806,MATCH($A402,SYZ_static!$A$2:$A$806,0)),""))</f>
        <v/>
      </c>
      <c r="J402" s="17">
        <f>IF($A402="","",_xll.BDP($A402&amp;" Corp","PAYMENT_RANK"))</f>
        <v/>
      </c>
      <c r="K402" s="18">
        <f>IF($A402="","",_xll.BDP($A402&amp;" Corp","CPN"))</f>
        <v/>
      </c>
      <c r="L402" s="19">
        <f>IF($A402="","",_xll.BDP($A402&amp;" Corp","MATURITY"))</f>
        <v/>
      </c>
      <c r="M402" s="20">
        <f>IF($A402="","",IFERROR(_xll.BDP($A402&amp;" Corp","MIN_PIECE")/1000,""))</f>
        <v/>
      </c>
      <c r="N402" s="21">
        <f>IF($A402="","",_xll.BDP($A402&amp;" Corp","PX_LAST"))</f>
        <v/>
      </c>
      <c r="O402" s="21">
        <f>IF($A402="","",_xll.BDP($A402&amp;" Corp","YAS_BOND_YLD","YAS_YLD_FLAG=15"))</f>
        <v/>
      </c>
      <c r="P402" s="21">
        <f>IF($A402="","",_xll.BDP($A402&amp;" Corp","YAS_MOD_DUR"))</f>
        <v/>
      </c>
      <c r="Q402" s="22">
        <f>IF($A402="","",_xll.BDP($A402&amp;" Corp","YAS_OAS_SPRD"))</f>
        <v/>
      </c>
      <c r="R402" s="22">
        <f>IF($A402="","",_xll.BDP($A402&amp;" Corp","YAS_OAS_SPRD","SETTLE_DT",$B$2))</f>
        <v/>
      </c>
      <c r="S402" s="23">
        <f>IF($A402="","",IF(OR(NOT(ISNUMBER($Q402)),NOT(ISNUMBER($R402))),"",$Q402-$R402))</f>
        <v/>
      </c>
      <c r="T402" s="21">
        <f>IF($A402="","",_xll.BDP($A402&amp;" Corp","YAS_BOND_YLD","YAS_YLD_FLAG=15","SETTLE_DT",$B$2))</f>
        <v/>
      </c>
      <c r="U402" s="24">
        <f>IF($A402="","",IF(OR(NOT(ISNUMBER($O402)),NOT(ISNUMBER($T402))),"",$O402-$T402))</f>
        <v/>
      </c>
      <c r="V402" s="22">
        <f>IF(NOT(ISNUMBER($S402)),"",COUNTIFS($G$7:$G$850,$G402,$S$7:$S$850,"&gt;"&amp;$S402)+COUNTIFS($G$7:$G402,$G402,$S$7:$S402,$S402))</f>
        <v/>
      </c>
      <c r="W402" s="22">
        <f>IF(NOT(ISNUMBER($S402)),"",COUNTIFS($G$7:$G$850,$G402,$S$7:$S$850,"&lt;"&amp;$S402)+COUNTIFS($G$7:$G402,$G402,$S$7:$S402,$S402))</f>
        <v/>
      </c>
      <c r="X402" s="17">
        <f>IF($V402="","",$G402&amp;"|"&amp;$V402)</f>
        <v/>
      </c>
      <c r="Y402" s="17">
        <f>IF($W402="","",$G402&amp;"|"&amp;$W402)</f>
        <v/>
      </c>
    </row>
    <row r="403">
      <c r="A403" s="7" t="inlineStr">
        <is>
          <t>USN8438JAB46</t>
        </is>
      </c>
      <c r="B403" s="8">
        <f>IF($A403="","",PROPER(_xll.BDP($A403&amp;" Corp","NAME")))</f>
        <v/>
      </c>
      <c r="C403" s="8">
        <f>IF($A403="","",IFERROR(INDEX(Company_desc!$B$2:$B$1144,MATCH($A403,Company_desc!$A$2:$A$1144,0)),IFERROR(INDEX(SYZ_static!$Q$2:$Q$806,MATCH($A403,SYZ_static!$A$2:$A$806,0)),"")))</f>
        <v/>
      </c>
      <c r="D403" s="8">
        <f>IF($A403="","",IFERROR(INDEX(SYZ_static!$B$2:$B$806,MATCH($A403,SYZ_static!$A$2:$A$806,0)),""))</f>
        <v/>
      </c>
      <c r="E403" s="8">
        <f>IF($A403="","",_xll.BDP($A403&amp;" Corp","INDUSTRY_SECTOR"))</f>
        <v/>
      </c>
      <c r="F403" s="8">
        <f>IF($A403="","",PROPER(_xll.BDP($A403&amp;" Corp","COUNTRY_FULL_NAME")))</f>
        <v/>
      </c>
      <c r="G403" s="8">
        <f>IF($A403="","",_xll.BDP($A403&amp;" Corp","CRNCY"))</f>
        <v/>
      </c>
      <c r="H403" s="8">
        <f>IF($A403="","",IFERROR(INDEX(SYZ_static!$T$2:$T$806,MATCH($A403,SYZ_static!$A$2:$A$806,0)),_xll.BDP($A403&amp;" Corp","RTG_SP")))</f>
        <v/>
      </c>
      <c r="I403" s="8">
        <f>IF($A403="","",IFERROR(INDEX(SYZ_static!$S$2:$S$806,MATCH($A403,SYZ_static!$A$2:$A$806,0)),""))</f>
        <v/>
      </c>
      <c r="J403" s="8">
        <f>IF($A403="","",_xll.BDP($A403&amp;" Corp","PAYMENT_RANK"))</f>
        <v/>
      </c>
      <c r="K403" s="9">
        <f>IF($A403="","",_xll.BDP($A403&amp;" Corp","CPN"))</f>
        <v/>
      </c>
      <c r="L403" s="10">
        <f>IF($A403="","",_xll.BDP($A403&amp;" Corp","MATURITY"))</f>
        <v/>
      </c>
      <c r="M403" s="11">
        <f>IF($A403="","",IFERROR(_xll.BDP($A403&amp;" Corp","MIN_PIECE")/1000,""))</f>
        <v/>
      </c>
      <c r="N403" s="12">
        <f>IF($A403="","",_xll.BDP($A403&amp;" Corp","PX_LAST"))</f>
        <v/>
      </c>
      <c r="O403" s="12">
        <f>IF($A403="","",_xll.BDP($A403&amp;" Corp","YAS_BOND_YLD","YAS_YLD_FLAG=15"))</f>
        <v/>
      </c>
      <c r="P403" s="12">
        <f>IF($A403="","",_xll.BDP($A403&amp;" Corp","YAS_MOD_DUR"))</f>
        <v/>
      </c>
      <c r="Q403" s="13">
        <f>IF($A403="","",_xll.BDP($A403&amp;" Corp","YAS_OAS_SPRD"))</f>
        <v/>
      </c>
      <c r="R403" s="13">
        <f>IF($A403="","",_xll.BDP($A403&amp;" Corp","YAS_OAS_SPRD","SETTLE_DT",$B$2))</f>
        <v/>
      </c>
      <c r="S403" s="14">
        <f>IF($A403="","",IF(OR(NOT(ISNUMBER($Q403)),NOT(ISNUMBER($R403))),"",$Q403-$R403))</f>
        <v/>
      </c>
      <c r="T403" s="12">
        <f>IF($A403="","",_xll.BDP($A403&amp;" Corp","YAS_BOND_YLD","YAS_YLD_FLAG=15","SETTLE_DT",$B$2))</f>
        <v/>
      </c>
      <c r="U403" s="15">
        <f>IF($A403="","",IF(OR(NOT(ISNUMBER($O403)),NOT(ISNUMBER($T403))),"",$O403-$T403))</f>
        <v/>
      </c>
      <c r="V403" s="13">
        <f>IF(NOT(ISNUMBER($S403)),"",COUNTIFS($G$7:$G$850,$G403,$S$7:$S$850,"&gt;"&amp;$S403)+COUNTIFS($G$7:$G403,$G403,$S$7:$S403,$S403))</f>
        <v/>
      </c>
      <c r="W403" s="13">
        <f>IF(NOT(ISNUMBER($S403)),"",COUNTIFS($G$7:$G$850,$G403,$S$7:$S$850,"&lt;"&amp;$S403)+COUNTIFS($G$7:$G403,$G403,$S$7:$S403,$S403))</f>
        <v/>
      </c>
      <c r="X403" s="8">
        <f>IF($V403="","",$G403&amp;"|"&amp;$V403)</f>
        <v/>
      </c>
      <c r="Y403" s="8">
        <f>IF($W403="","",$G403&amp;"|"&amp;$W403)</f>
        <v/>
      </c>
    </row>
    <row r="404">
      <c r="A404" s="16" t="inlineStr">
        <is>
          <t>XS2390400807</t>
        </is>
      </c>
      <c r="B404" s="17">
        <f>IF($A404="","",PROPER(_xll.BDP($A404&amp;" Corp","NAME")))</f>
        <v/>
      </c>
      <c r="C404" s="17">
        <f>IF($A404="","",IFERROR(INDEX(Company_desc!$B$2:$B$1144,MATCH($A404,Company_desc!$A$2:$A$1144,0)),IFERROR(INDEX(SYZ_static!$Q$2:$Q$806,MATCH($A404,SYZ_static!$A$2:$A$806,0)),"")))</f>
        <v/>
      </c>
      <c r="D404" s="17">
        <f>IF($A404="","",IFERROR(INDEX(SYZ_static!$B$2:$B$806,MATCH($A404,SYZ_static!$A$2:$A$806,0)),""))</f>
        <v/>
      </c>
      <c r="E404" s="17">
        <f>IF($A404="","",_xll.BDP($A404&amp;" Corp","INDUSTRY_SECTOR"))</f>
        <v/>
      </c>
      <c r="F404" s="17">
        <f>IF($A404="","",PROPER(_xll.BDP($A404&amp;" Corp","COUNTRY_FULL_NAME")))</f>
        <v/>
      </c>
      <c r="G404" s="17">
        <f>IF($A404="","",_xll.BDP($A404&amp;" Corp","CRNCY"))</f>
        <v/>
      </c>
      <c r="H404" s="17">
        <f>IF($A404="","",IFERROR(INDEX(SYZ_static!$T$2:$T$806,MATCH($A404,SYZ_static!$A$2:$A$806,0)),_xll.BDP($A404&amp;" Corp","RTG_SP")))</f>
        <v/>
      </c>
      <c r="I404" s="17">
        <f>IF($A404="","",IFERROR(INDEX(SYZ_static!$S$2:$S$806,MATCH($A404,SYZ_static!$A$2:$A$806,0)),""))</f>
        <v/>
      </c>
      <c r="J404" s="17">
        <f>IF($A404="","",_xll.BDP($A404&amp;" Corp","PAYMENT_RANK"))</f>
        <v/>
      </c>
      <c r="K404" s="18">
        <f>IF($A404="","",_xll.BDP($A404&amp;" Corp","CPN"))</f>
        <v/>
      </c>
      <c r="L404" s="19">
        <f>IF($A404="","",_xll.BDP($A404&amp;" Corp","MATURITY"))</f>
        <v/>
      </c>
      <c r="M404" s="20">
        <f>IF($A404="","",IFERROR(_xll.BDP($A404&amp;" Corp","MIN_PIECE")/1000,""))</f>
        <v/>
      </c>
      <c r="N404" s="21">
        <f>IF($A404="","",_xll.BDP($A404&amp;" Corp","PX_LAST"))</f>
        <v/>
      </c>
      <c r="O404" s="21">
        <f>IF($A404="","",_xll.BDP($A404&amp;" Corp","YAS_BOND_YLD","YAS_YLD_FLAG=15"))</f>
        <v/>
      </c>
      <c r="P404" s="21">
        <f>IF($A404="","",_xll.BDP($A404&amp;" Corp","YAS_MOD_DUR"))</f>
        <v/>
      </c>
      <c r="Q404" s="22">
        <f>IF($A404="","",_xll.BDP($A404&amp;" Corp","YAS_OAS_SPRD"))</f>
        <v/>
      </c>
      <c r="R404" s="22">
        <f>IF($A404="","",_xll.BDP($A404&amp;" Corp","YAS_OAS_SPRD","SETTLE_DT",$B$2))</f>
        <v/>
      </c>
      <c r="S404" s="23">
        <f>IF($A404="","",IF(OR(NOT(ISNUMBER($Q404)),NOT(ISNUMBER($R404))),"",$Q404-$R404))</f>
        <v/>
      </c>
      <c r="T404" s="21">
        <f>IF($A404="","",_xll.BDP($A404&amp;" Corp","YAS_BOND_YLD","YAS_YLD_FLAG=15","SETTLE_DT",$B$2))</f>
        <v/>
      </c>
      <c r="U404" s="24">
        <f>IF($A404="","",IF(OR(NOT(ISNUMBER($O404)),NOT(ISNUMBER($T404))),"",$O404-$T404))</f>
        <v/>
      </c>
      <c r="V404" s="22">
        <f>IF(NOT(ISNUMBER($S404)),"",COUNTIFS($G$7:$G$850,$G404,$S$7:$S$850,"&gt;"&amp;$S404)+COUNTIFS($G$7:$G404,$G404,$S$7:$S404,$S404))</f>
        <v/>
      </c>
      <c r="W404" s="22">
        <f>IF(NOT(ISNUMBER($S404)),"",COUNTIFS($G$7:$G$850,$G404,$S$7:$S$850,"&lt;"&amp;$S404)+COUNTIFS($G$7:$G404,$G404,$S$7:$S404,$S404))</f>
        <v/>
      </c>
      <c r="X404" s="17">
        <f>IF($V404="","",$G404&amp;"|"&amp;$V404)</f>
        <v/>
      </c>
      <c r="Y404" s="17">
        <f>IF($W404="","",$G404&amp;"|"&amp;$W404)</f>
        <v/>
      </c>
    </row>
    <row r="405">
      <c r="A405" s="7" t="inlineStr">
        <is>
          <t>CH1271360625</t>
        </is>
      </c>
      <c r="B405" s="8">
        <f>IF($A405="","",PROPER(_xll.BDP($A405&amp;" Corp","NAME")))</f>
        <v/>
      </c>
      <c r="C405" s="8">
        <f>IF($A405="","",IFERROR(INDEX(Company_desc!$B$2:$B$1144,MATCH($A405,Company_desc!$A$2:$A$1144,0)),IFERROR(INDEX(SYZ_static!$Q$2:$Q$806,MATCH($A405,SYZ_static!$A$2:$A$806,0)),"")))</f>
        <v/>
      </c>
      <c r="D405" s="8">
        <f>IF($A405="","",IFERROR(INDEX(SYZ_static!$B$2:$B$806,MATCH($A405,SYZ_static!$A$2:$A$806,0)),""))</f>
        <v/>
      </c>
      <c r="E405" s="8">
        <f>IF($A405="","",_xll.BDP($A405&amp;" Corp","INDUSTRY_SECTOR"))</f>
        <v/>
      </c>
      <c r="F405" s="8">
        <f>IF($A405="","",PROPER(_xll.BDP($A405&amp;" Corp","COUNTRY_FULL_NAME")))</f>
        <v/>
      </c>
      <c r="G405" s="8">
        <f>IF($A405="","",_xll.BDP($A405&amp;" Corp","CRNCY"))</f>
        <v/>
      </c>
      <c r="H405" s="8">
        <f>IF($A405="","",IFERROR(INDEX(SYZ_static!$T$2:$T$806,MATCH($A405,SYZ_static!$A$2:$A$806,0)),_xll.BDP($A405&amp;" Corp","RTG_SP")))</f>
        <v/>
      </c>
      <c r="I405" s="8">
        <f>IF($A405="","",IFERROR(INDEX(SYZ_static!$S$2:$S$806,MATCH($A405,SYZ_static!$A$2:$A$806,0)),""))</f>
        <v/>
      </c>
      <c r="J405" s="8">
        <f>IF($A405="","",_xll.BDP($A405&amp;" Corp","PAYMENT_RANK"))</f>
        <v/>
      </c>
      <c r="K405" s="9">
        <f>IF($A405="","",_xll.BDP($A405&amp;" Corp","CPN"))</f>
        <v/>
      </c>
      <c r="L405" s="10">
        <f>IF($A405="","",_xll.BDP($A405&amp;" Corp","MATURITY"))</f>
        <v/>
      </c>
      <c r="M405" s="11">
        <f>IF($A405="","",IFERROR(_xll.BDP($A405&amp;" Corp","MIN_PIECE")/1000,""))</f>
        <v/>
      </c>
      <c r="N405" s="12">
        <f>IF($A405="","",_xll.BDP($A405&amp;" Corp","PX_LAST"))</f>
        <v/>
      </c>
      <c r="O405" s="12">
        <f>IF($A405="","",_xll.BDP($A405&amp;" Corp","YAS_BOND_YLD","YAS_YLD_FLAG=15"))</f>
        <v/>
      </c>
      <c r="P405" s="12">
        <f>IF($A405="","",_xll.BDP($A405&amp;" Corp","YAS_MOD_DUR"))</f>
        <v/>
      </c>
      <c r="Q405" s="13">
        <f>IF($A405="","",_xll.BDP($A405&amp;" Corp","YAS_OAS_SPRD"))</f>
        <v/>
      </c>
      <c r="R405" s="13">
        <f>IF($A405="","",_xll.BDP($A405&amp;" Corp","YAS_OAS_SPRD","SETTLE_DT",$B$2))</f>
        <v/>
      </c>
      <c r="S405" s="14">
        <f>IF($A405="","",IF(OR(NOT(ISNUMBER($Q405)),NOT(ISNUMBER($R405))),"",$Q405-$R405))</f>
        <v/>
      </c>
      <c r="T405" s="12">
        <f>IF($A405="","",_xll.BDP($A405&amp;" Corp","YAS_BOND_YLD","YAS_YLD_FLAG=15","SETTLE_DT",$B$2))</f>
        <v/>
      </c>
      <c r="U405" s="15">
        <f>IF($A405="","",IF(OR(NOT(ISNUMBER($O405)),NOT(ISNUMBER($T405))),"",$O405-$T405))</f>
        <v/>
      </c>
      <c r="V405" s="13">
        <f>IF(NOT(ISNUMBER($S405)),"",COUNTIFS($G$7:$G$850,$G405,$S$7:$S$850,"&gt;"&amp;$S405)+COUNTIFS($G$7:$G405,$G405,$S$7:$S405,$S405))</f>
        <v/>
      </c>
      <c r="W405" s="13">
        <f>IF(NOT(ISNUMBER($S405)),"",COUNTIFS($G$7:$G$850,$G405,$S$7:$S$850,"&lt;"&amp;$S405)+COUNTIFS($G$7:$G405,$G405,$S$7:$S405,$S405))</f>
        <v/>
      </c>
      <c r="X405" s="8">
        <f>IF($V405="","",$G405&amp;"|"&amp;$V405)</f>
        <v/>
      </c>
      <c r="Y405" s="8">
        <f>IF($W405="","",$G405&amp;"|"&amp;$W405)</f>
        <v/>
      </c>
    </row>
    <row r="406">
      <c r="A406" s="16" t="inlineStr">
        <is>
          <t>CH1396329752</t>
        </is>
      </c>
      <c r="B406" s="17">
        <f>IF($A406="","",PROPER(_xll.BDP($A406&amp;" Corp","NAME")))</f>
        <v/>
      </c>
      <c r="C406" s="17">
        <f>IF($A406="","",IFERROR(INDEX(Company_desc!$B$2:$B$1144,MATCH($A406,Company_desc!$A$2:$A$1144,0)),IFERROR(INDEX(SYZ_static!$Q$2:$Q$806,MATCH($A406,SYZ_static!$A$2:$A$806,0)),"")))</f>
        <v/>
      </c>
      <c r="D406" s="17">
        <f>IF($A406="","",IFERROR(INDEX(SYZ_static!$B$2:$B$806,MATCH($A406,SYZ_static!$A$2:$A$806,0)),""))</f>
        <v/>
      </c>
      <c r="E406" s="17">
        <f>IF($A406="","",_xll.BDP($A406&amp;" Corp","INDUSTRY_SECTOR"))</f>
        <v/>
      </c>
      <c r="F406" s="17">
        <f>IF($A406="","",PROPER(_xll.BDP($A406&amp;" Corp","COUNTRY_FULL_NAME")))</f>
        <v/>
      </c>
      <c r="G406" s="17">
        <f>IF($A406="","",_xll.BDP($A406&amp;" Corp","CRNCY"))</f>
        <v/>
      </c>
      <c r="H406" s="17">
        <f>IF($A406="","",IFERROR(INDEX(SYZ_static!$T$2:$T$806,MATCH($A406,SYZ_static!$A$2:$A$806,0)),_xll.BDP($A406&amp;" Corp","RTG_SP")))</f>
        <v/>
      </c>
      <c r="I406" s="17">
        <f>IF($A406="","",IFERROR(INDEX(SYZ_static!$S$2:$S$806,MATCH($A406,SYZ_static!$A$2:$A$806,0)),""))</f>
        <v/>
      </c>
      <c r="J406" s="17">
        <f>IF($A406="","",_xll.BDP($A406&amp;" Corp","PAYMENT_RANK"))</f>
        <v/>
      </c>
      <c r="K406" s="18">
        <f>IF($A406="","",_xll.BDP($A406&amp;" Corp","CPN"))</f>
        <v/>
      </c>
      <c r="L406" s="19">
        <f>IF($A406="","",_xll.BDP($A406&amp;" Corp","MATURITY"))</f>
        <v/>
      </c>
      <c r="M406" s="20">
        <f>IF($A406="","",IFERROR(_xll.BDP($A406&amp;" Corp","MIN_PIECE")/1000,""))</f>
        <v/>
      </c>
      <c r="N406" s="21">
        <f>IF($A406="","",_xll.BDP($A406&amp;" Corp","PX_LAST"))</f>
        <v/>
      </c>
      <c r="O406" s="21">
        <f>IF($A406="","",_xll.BDP($A406&amp;" Corp","YAS_BOND_YLD","YAS_YLD_FLAG=15"))</f>
        <v/>
      </c>
      <c r="P406" s="21">
        <f>IF($A406="","",_xll.BDP($A406&amp;" Corp","YAS_MOD_DUR"))</f>
        <v/>
      </c>
      <c r="Q406" s="22">
        <f>IF($A406="","",_xll.BDP($A406&amp;" Corp","YAS_OAS_SPRD"))</f>
        <v/>
      </c>
      <c r="R406" s="22">
        <f>IF($A406="","",_xll.BDP($A406&amp;" Corp","YAS_OAS_SPRD","SETTLE_DT",$B$2))</f>
        <v/>
      </c>
      <c r="S406" s="23">
        <f>IF($A406="","",IF(OR(NOT(ISNUMBER($Q406)),NOT(ISNUMBER($R406))),"",$Q406-$R406))</f>
        <v/>
      </c>
      <c r="T406" s="21">
        <f>IF($A406="","",_xll.BDP($A406&amp;" Corp","YAS_BOND_YLD","YAS_YLD_FLAG=15","SETTLE_DT",$B$2))</f>
        <v/>
      </c>
      <c r="U406" s="24">
        <f>IF($A406="","",IF(OR(NOT(ISNUMBER($O406)),NOT(ISNUMBER($T406))),"",$O406-$T406))</f>
        <v/>
      </c>
      <c r="V406" s="22">
        <f>IF(NOT(ISNUMBER($S406)),"",COUNTIFS($G$7:$G$850,$G406,$S$7:$S$850,"&gt;"&amp;$S406)+COUNTIFS($G$7:$G406,$G406,$S$7:$S406,$S406))</f>
        <v/>
      </c>
      <c r="W406" s="22">
        <f>IF(NOT(ISNUMBER($S406)),"",COUNTIFS($G$7:$G$850,$G406,$S$7:$S$850,"&lt;"&amp;$S406)+COUNTIFS($G$7:$G406,$G406,$S$7:$S406,$S406))</f>
        <v/>
      </c>
      <c r="X406" s="17">
        <f>IF($V406="","",$G406&amp;"|"&amp;$V406)</f>
        <v/>
      </c>
      <c r="Y406" s="17">
        <f>IF($W406="","",$G406&amp;"|"&amp;$W406)</f>
        <v/>
      </c>
    </row>
    <row r="407">
      <c r="A407" s="7" t="inlineStr">
        <is>
          <t>XS2135361686</t>
        </is>
      </c>
      <c r="B407" s="8">
        <f>IF($A407="","",PROPER(_xll.BDP($A407&amp;" Corp","NAME")))</f>
        <v/>
      </c>
      <c r="C407" s="8">
        <f>IF($A407="","",IFERROR(INDEX(Company_desc!$B$2:$B$1144,MATCH($A407,Company_desc!$A$2:$A$1144,0)),IFERROR(INDEX(SYZ_static!$Q$2:$Q$806,MATCH($A407,SYZ_static!$A$2:$A$806,0)),"")))</f>
        <v/>
      </c>
      <c r="D407" s="8">
        <f>IF($A407="","",IFERROR(INDEX(SYZ_static!$B$2:$B$806,MATCH($A407,SYZ_static!$A$2:$A$806,0)),""))</f>
        <v/>
      </c>
      <c r="E407" s="8">
        <f>IF($A407="","",_xll.BDP($A407&amp;" Corp","INDUSTRY_SECTOR"))</f>
        <v/>
      </c>
      <c r="F407" s="8">
        <f>IF($A407="","",PROPER(_xll.BDP($A407&amp;" Corp","COUNTRY_FULL_NAME")))</f>
        <v/>
      </c>
      <c r="G407" s="8">
        <f>IF($A407="","",_xll.BDP($A407&amp;" Corp","CRNCY"))</f>
        <v/>
      </c>
      <c r="H407" s="8">
        <f>IF($A407="","",IFERROR(INDEX(SYZ_static!$T$2:$T$806,MATCH($A407,SYZ_static!$A$2:$A$806,0)),_xll.BDP($A407&amp;" Corp","RTG_SP")))</f>
        <v/>
      </c>
      <c r="I407" s="8">
        <f>IF($A407="","",IFERROR(INDEX(SYZ_static!$S$2:$S$806,MATCH($A407,SYZ_static!$A$2:$A$806,0)),""))</f>
        <v/>
      </c>
      <c r="J407" s="8">
        <f>IF($A407="","",_xll.BDP($A407&amp;" Corp","PAYMENT_RANK"))</f>
        <v/>
      </c>
      <c r="K407" s="9">
        <f>IF($A407="","",_xll.BDP($A407&amp;" Corp","CPN"))</f>
        <v/>
      </c>
      <c r="L407" s="10">
        <f>IF($A407="","",_xll.BDP($A407&amp;" Corp","MATURITY"))</f>
        <v/>
      </c>
      <c r="M407" s="11">
        <f>IF($A407="","",IFERROR(_xll.BDP($A407&amp;" Corp","MIN_PIECE")/1000,""))</f>
        <v/>
      </c>
      <c r="N407" s="12">
        <f>IF($A407="","",_xll.BDP($A407&amp;" Corp","PX_LAST"))</f>
        <v/>
      </c>
      <c r="O407" s="12">
        <f>IF($A407="","",_xll.BDP($A407&amp;" Corp","YAS_BOND_YLD","YAS_YLD_FLAG=15"))</f>
        <v/>
      </c>
      <c r="P407" s="12">
        <f>IF($A407="","",_xll.BDP($A407&amp;" Corp","YAS_MOD_DUR"))</f>
        <v/>
      </c>
      <c r="Q407" s="13">
        <f>IF($A407="","",_xll.BDP($A407&amp;" Corp","YAS_OAS_SPRD"))</f>
        <v/>
      </c>
      <c r="R407" s="13">
        <f>IF($A407="","",_xll.BDP($A407&amp;" Corp","YAS_OAS_SPRD","SETTLE_DT",$B$2))</f>
        <v/>
      </c>
      <c r="S407" s="14">
        <f>IF($A407="","",IF(OR(NOT(ISNUMBER($Q407)),NOT(ISNUMBER($R407))),"",$Q407-$R407))</f>
        <v/>
      </c>
      <c r="T407" s="12">
        <f>IF($A407="","",_xll.BDP($A407&amp;" Corp","YAS_BOND_YLD","YAS_YLD_FLAG=15","SETTLE_DT",$B$2))</f>
        <v/>
      </c>
      <c r="U407" s="15">
        <f>IF($A407="","",IF(OR(NOT(ISNUMBER($O407)),NOT(ISNUMBER($T407))),"",$O407-$T407))</f>
        <v/>
      </c>
      <c r="V407" s="13">
        <f>IF(NOT(ISNUMBER($S407)),"",COUNTIFS($G$7:$G$850,$G407,$S$7:$S$850,"&gt;"&amp;$S407)+COUNTIFS($G$7:$G407,$G407,$S$7:$S407,$S407))</f>
        <v/>
      </c>
      <c r="W407" s="13">
        <f>IF(NOT(ISNUMBER($S407)),"",COUNTIFS($G$7:$G$850,$G407,$S$7:$S$850,"&lt;"&amp;$S407)+COUNTIFS($G$7:$G407,$G407,$S$7:$S407,$S407))</f>
        <v/>
      </c>
      <c r="X407" s="8">
        <f>IF($V407="","",$G407&amp;"|"&amp;$V407)</f>
        <v/>
      </c>
      <c r="Y407" s="8">
        <f>IF($W407="","",$G407&amp;"|"&amp;$W407)</f>
        <v/>
      </c>
    </row>
    <row r="408">
      <c r="A408" s="16" t="inlineStr">
        <is>
          <t>XS2588885025</t>
        </is>
      </c>
      <c r="B408" s="17">
        <f>IF($A408="","",PROPER(_xll.BDP($A408&amp;" Corp","NAME")))</f>
        <v/>
      </c>
      <c r="C408" s="17">
        <f>IF($A408="","",IFERROR(INDEX(Company_desc!$B$2:$B$1144,MATCH($A408,Company_desc!$A$2:$A$1144,0)),IFERROR(INDEX(SYZ_static!$Q$2:$Q$806,MATCH($A408,SYZ_static!$A$2:$A$806,0)),"")))</f>
        <v/>
      </c>
      <c r="D408" s="17">
        <f>IF($A408="","",IFERROR(INDEX(SYZ_static!$B$2:$B$806,MATCH($A408,SYZ_static!$A$2:$A$806,0)),""))</f>
        <v/>
      </c>
      <c r="E408" s="17">
        <f>IF($A408="","",_xll.BDP($A408&amp;" Corp","INDUSTRY_SECTOR"))</f>
        <v/>
      </c>
      <c r="F408" s="17">
        <f>IF($A408="","",PROPER(_xll.BDP($A408&amp;" Corp","COUNTRY_FULL_NAME")))</f>
        <v/>
      </c>
      <c r="G408" s="17">
        <f>IF($A408="","",_xll.BDP($A408&amp;" Corp","CRNCY"))</f>
        <v/>
      </c>
      <c r="H408" s="17">
        <f>IF($A408="","",IFERROR(INDEX(SYZ_static!$T$2:$T$806,MATCH($A408,SYZ_static!$A$2:$A$806,0)),_xll.BDP($A408&amp;" Corp","RTG_SP")))</f>
        <v/>
      </c>
      <c r="I408" s="17">
        <f>IF($A408="","",IFERROR(INDEX(SYZ_static!$S$2:$S$806,MATCH($A408,SYZ_static!$A$2:$A$806,0)),""))</f>
        <v/>
      </c>
      <c r="J408" s="17">
        <f>IF($A408="","",_xll.BDP($A408&amp;" Corp","PAYMENT_RANK"))</f>
        <v/>
      </c>
      <c r="K408" s="18">
        <f>IF($A408="","",_xll.BDP($A408&amp;" Corp","CPN"))</f>
        <v/>
      </c>
      <c r="L408" s="19">
        <f>IF($A408="","",_xll.BDP($A408&amp;" Corp","MATURITY"))</f>
        <v/>
      </c>
      <c r="M408" s="20">
        <f>IF($A408="","",IFERROR(_xll.BDP($A408&amp;" Corp","MIN_PIECE")/1000,""))</f>
        <v/>
      </c>
      <c r="N408" s="21">
        <f>IF($A408="","",_xll.BDP($A408&amp;" Corp","PX_LAST"))</f>
        <v/>
      </c>
      <c r="O408" s="21">
        <f>IF($A408="","",_xll.BDP($A408&amp;" Corp","YAS_BOND_YLD","YAS_YLD_FLAG=15"))</f>
        <v/>
      </c>
      <c r="P408" s="21">
        <f>IF($A408="","",_xll.BDP($A408&amp;" Corp","YAS_MOD_DUR"))</f>
        <v/>
      </c>
      <c r="Q408" s="22">
        <f>IF($A408="","",_xll.BDP($A408&amp;" Corp","YAS_OAS_SPRD"))</f>
        <v/>
      </c>
      <c r="R408" s="22">
        <f>IF($A408="","",_xll.BDP($A408&amp;" Corp","YAS_OAS_SPRD","SETTLE_DT",$B$2))</f>
        <v/>
      </c>
      <c r="S408" s="23">
        <f>IF($A408="","",IF(OR(NOT(ISNUMBER($Q408)),NOT(ISNUMBER($R408))),"",$Q408-$R408))</f>
        <v/>
      </c>
      <c r="T408" s="21">
        <f>IF($A408="","",_xll.BDP($A408&amp;" Corp","YAS_BOND_YLD","YAS_YLD_FLAG=15","SETTLE_DT",$B$2))</f>
        <v/>
      </c>
      <c r="U408" s="24">
        <f>IF($A408="","",IF(OR(NOT(ISNUMBER($O408)),NOT(ISNUMBER($T408))),"",$O408-$T408))</f>
        <v/>
      </c>
      <c r="V408" s="22">
        <f>IF(NOT(ISNUMBER($S408)),"",COUNTIFS($G$7:$G$850,$G408,$S$7:$S$850,"&gt;"&amp;$S408)+COUNTIFS($G$7:$G408,$G408,$S$7:$S408,$S408))</f>
        <v/>
      </c>
      <c r="W408" s="22">
        <f>IF(NOT(ISNUMBER($S408)),"",COUNTIFS($G$7:$G$850,$G408,$S$7:$S$850,"&lt;"&amp;$S408)+COUNTIFS($G$7:$G408,$G408,$S$7:$S408,$S408))</f>
        <v/>
      </c>
      <c r="X408" s="17">
        <f>IF($V408="","",$G408&amp;"|"&amp;$V408)</f>
        <v/>
      </c>
      <c r="Y408" s="17">
        <f>IF($W408="","",$G408&amp;"|"&amp;$W408)</f>
        <v/>
      </c>
    </row>
    <row r="409">
      <c r="A409" s="7" t="inlineStr">
        <is>
          <t>XS1968703345</t>
        </is>
      </c>
      <c r="B409" s="8">
        <f>IF($A409="","",PROPER(_xll.BDP($A409&amp;" Corp","NAME")))</f>
        <v/>
      </c>
      <c r="C409" s="8">
        <f>IF($A409="","",IFERROR(INDEX(Company_desc!$B$2:$B$1144,MATCH($A409,Company_desc!$A$2:$A$1144,0)),IFERROR(INDEX(SYZ_static!$Q$2:$Q$806,MATCH($A409,SYZ_static!$A$2:$A$806,0)),"")))</f>
        <v/>
      </c>
      <c r="D409" s="8">
        <f>IF($A409="","",IFERROR(INDEX(SYZ_static!$B$2:$B$806,MATCH($A409,SYZ_static!$A$2:$A$806,0)),""))</f>
        <v/>
      </c>
      <c r="E409" s="8">
        <f>IF($A409="","",_xll.BDP($A409&amp;" Corp","INDUSTRY_SECTOR"))</f>
        <v/>
      </c>
      <c r="F409" s="8">
        <f>IF($A409="","",PROPER(_xll.BDP($A409&amp;" Corp","COUNTRY_FULL_NAME")))</f>
        <v/>
      </c>
      <c r="G409" s="8">
        <f>IF($A409="","",_xll.BDP($A409&amp;" Corp","CRNCY"))</f>
        <v/>
      </c>
      <c r="H409" s="8">
        <f>IF($A409="","",IFERROR(INDEX(SYZ_static!$T$2:$T$806,MATCH($A409,SYZ_static!$A$2:$A$806,0)),_xll.BDP($A409&amp;" Corp","RTG_SP")))</f>
        <v/>
      </c>
      <c r="I409" s="8">
        <f>IF($A409="","",IFERROR(INDEX(SYZ_static!$S$2:$S$806,MATCH($A409,SYZ_static!$A$2:$A$806,0)),""))</f>
        <v/>
      </c>
      <c r="J409" s="8">
        <f>IF($A409="","",_xll.BDP($A409&amp;" Corp","PAYMENT_RANK"))</f>
        <v/>
      </c>
      <c r="K409" s="9">
        <f>IF($A409="","",_xll.BDP($A409&amp;" Corp","CPN"))</f>
        <v/>
      </c>
      <c r="L409" s="10">
        <f>IF($A409="","",_xll.BDP($A409&amp;" Corp","MATURITY"))</f>
        <v/>
      </c>
      <c r="M409" s="11">
        <f>IF($A409="","",IFERROR(_xll.BDP($A409&amp;" Corp","MIN_PIECE")/1000,""))</f>
        <v/>
      </c>
      <c r="N409" s="12">
        <f>IF($A409="","",_xll.BDP($A409&amp;" Corp","PX_LAST"))</f>
        <v/>
      </c>
      <c r="O409" s="12">
        <f>IF($A409="","",_xll.BDP($A409&amp;" Corp","YAS_BOND_YLD","YAS_YLD_FLAG=15"))</f>
        <v/>
      </c>
      <c r="P409" s="12">
        <f>IF($A409="","",_xll.BDP($A409&amp;" Corp","YAS_MOD_DUR"))</f>
        <v/>
      </c>
      <c r="Q409" s="13">
        <f>IF($A409="","",_xll.BDP($A409&amp;" Corp","YAS_OAS_SPRD"))</f>
        <v/>
      </c>
      <c r="R409" s="13">
        <f>IF($A409="","",_xll.BDP($A409&amp;" Corp","YAS_OAS_SPRD","SETTLE_DT",$B$2))</f>
        <v/>
      </c>
      <c r="S409" s="14">
        <f>IF($A409="","",IF(OR(NOT(ISNUMBER($Q409)),NOT(ISNUMBER($R409))),"",$Q409-$R409))</f>
        <v/>
      </c>
      <c r="T409" s="12">
        <f>IF($A409="","",_xll.BDP($A409&amp;" Corp","YAS_BOND_YLD","YAS_YLD_FLAG=15","SETTLE_DT",$B$2))</f>
        <v/>
      </c>
      <c r="U409" s="15">
        <f>IF($A409="","",IF(OR(NOT(ISNUMBER($O409)),NOT(ISNUMBER($T409))),"",$O409-$T409))</f>
        <v/>
      </c>
      <c r="V409" s="13">
        <f>IF(NOT(ISNUMBER($S409)),"",COUNTIFS($G$7:$G$850,$G409,$S$7:$S$850,"&gt;"&amp;$S409)+COUNTIFS($G$7:$G409,$G409,$S$7:$S409,$S409))</f>
        <v/>
      </c>
      <c r="W409" s="13">
        <f>IF(NOT(ISNUMBER($S409)),"",COUNTIFS($G$7:$G$850,$G409,$S$7:$S$850,"&lt;"&amp;$S409)+COUNTIFS($G$7:$G409,$G409,$S$7:$S409,$S409))</f>
        <v/>
      </c>
      <c r="X409" s="8">
        <f>IF($V409="","",$G409&amp;"|"&amp;$V409)</f>
        <v/>
      </c>
      <c r="Y409" s="8">
        <f>IF($W409="","",$G409&amp;"|"&amp;$W409)</f>
        <v/>
      </c>
    </row>
    <row r="410">
      <c r="A410" s="16" t="inlineStr">
        <is>
          <t>XS2052469165</t>
        </is>
      </c>
      <c r="B410" s="17">
        <f>IF($A410="","",PROPER(_xll.BDP($A410&amp;" Corp","NAME")))</f>
        <v/>
      </c>
      <c r="C410" s="17">
        <f>IF($A410="","",IFERROR(INDEX(Company_desc!$B$2:$B$1144,MATCH($A410,Company_desc!$A$2:$A$1144,0)),IFERROR(INDEX(SYZ_static!$Q$2:$Q$806,MATCH($A410,SYZ_static!$A$2:$A$806,0)),"")))</f>
        <v/>
      </c>
      <c r="D410" s="17">
        <f>IF($A410="","",IFERROR(INDEX(SYZ_static!$B$2:$B$806,MATCH($A410,SYZ_static!$A$2:$A$806,0)),""))</f>
        <v/>
      </c>
      <c r="E410" s="17">
        <f>IF($A410="","",_xll.BDP($A410&amp;" Corp","INDUSTRY_SECTOR"))</f>
        <v/>
      </c>
      <c r="F410" s="17">
        <f>IF($A410="","",PROPER(_xll.BDP($A410&amp;" Corp","COUNTRY_FULL_NAME")))</f>
        <v/>
      </c>
      <c r="G410" s="17">
        <f>IF($A410="","",_xll.BDP($A410&amp;" Corp","CRNCY"))</f>
        <v/>
      </c>
      <c r="H410" s="17">
        <f>IF($A410="","",IFERROR(INDEX(SYZ_static!$T$2:$T$806,MATCH($A410,SYZ_static!$A$2:$A$806,0)),_xll.BDP($A410&amp;" Corp","RTG_SP")))</f>
        <v/>
      </c>
      <c r="I410" s="17">
        <f>IF($A410="","",IFERROR(INDEX(SYZ_static!$S$2:$S$806,MATCH($A410,SYZ_static!$A$2:$A$806,0)),""))</f>
        <v/>
      </c>
      <c r="J410" s="17">
        <f>IF($A410="","",_xll.BDP($A410&amp;" Corp","PAYMENT_RANK"))</f>
        <v/>
      </c>
      <c r="K410" s="18">
        <f>IF($A410="","",_xll.BDP($A410&amp;" Corp","CPN"))</f>
        <v/>
      </c>
      <c r="L410" s="19">
        <f>IF($A410="","",_xll.BDP($A410&amp;" Corp","MATURITY"))</f>
        <v/>
      </c>
      <c r="M410" s="20">
        <f>IF($A410="","",IFERROR(_xll.BDP($A410&amp;" Corp","MIN_PIECE")/1000,""))</f>
        <v/>
      </c>
      <c r="N410" s="21">
        <f>IF($A410="","",_xll.BDP($A410&amp;" Corp","PX_LAST"))</f>
        <v/>
      </c>
      <c r="O410" s="21">
        <f>IF($A410="","",_xll.BDP($A410&amp;" Corp","YAS_BOND_YLD","YAS_YLD_FLAG=15"))</f>
        <v/>
      </c>
      <c r="P410" s="21">
        <f>IF($A410="","",_xll.BDP($A410&amp;" Corp","YAS_MOD_DUR"))</f>
        <v/>
      </c>
      <c r="Q410" s="22">
        <f>IF($A410="","",_xll.BDP($A410&amp;" Corp","YAS_OAS_SPRD"))</f>
        <v/>
      </c>
      <c r="R410" s="22">
        <f>IF($A410="","",_xll.BDP($A410&amp;" Corp","YAS_OAS_SPRD","SETTLE_DT",$B$2))</f>
        <v/>
      </c>
      <c r="S410" s="23">
        <f>IF($A410="","",IF(OR(NOT(ISNUMBER($Q410)),NOT(ISNUMBER($R410))),"",$Q410-$R410))</f>
        <v/>
      </c>
      <c r="T410" s="21">
        <f>IF($A410="","",_xll.BDP($A410&amp;" Corp","YAS_BOND_YLD","YAS_YLD_FLAG=15","SETTLE_DT",$B$2))</f>
        <v/>
      </c>
      <c r="U410" s="24">
        <f>IF($A410="","",IF(OR(NOT(ISNUMBER($O410)),NOT(ISNUMBER($T410))),"",$O410-$T410))</f>
        <v/>
      </c>
      <c r="V410" s="22">
        <f>IF(NOT(ISNUMBER($S410)),"",COUNTIFS($G$7:$G$850,$G410,$S$7:$S$850,"&gt;"&amp;$S410)+COUNTIFS($G$7:$G410,$G410,$S$7:$S410,$S410))</f>
        <v/>
      </c>
      <c r="W410" s="22">
        <f>IF(NOT(ISNUMBER($S410)),"",COUNTIFS($G$7:$G$850,$G410,$S$7:$S$850,"&lt;"&amp;$S410)+COUNTIFS($G$7:$G410,$G410,$S$7:$S410,$S410))</f>
        <v/>
      </c>
      <c r="X410" s="17">
        <f>IF($V410="","",$G410&amp;"|"&amp;$V410)</f>
        <v/>
      </c>
      <c r="Y410" s="17">
        <f>IF($W410="","",$G410&amp;"|"&amp;$W410)</f>
        <v/>
      </c>
    </row>
    <row r="411">
      <c r="A411" s="7" t="inlineStr">
        <is>
          <t>XS2641777235</t>
        </is>
      </c>
      <c r="B411" s="8">
        <f>IF($A411="","",PROPER(_xll.BDP($A411&amp;" Corp","NAME")))</f>
        <v/>
      </c>
      <c r="C411" s="8">
        <f>IF($A411="","",IFERROR(INDEX(Company_desc!$B$2:$B$1144,MATCH($A411,Company_desc!$A$2:$A$1144,0)),IFERROR(INDEX(SYZ_static!$Q$2:$Q$806,MATCH($A411,SYZ_static!$A$2:$A$806,0)),"")))</f>
        <v/>
      </c>
      <c r="D411" s="8">
        <f>IF($A411="","",IFERROR(INDEX(SYZ_static!$B$2:$B$806,MATCH($A411,SYZ_static!$A$2:$A$806,0)),""))</f>
        <v/>
      </c>
      <c r="E411" s="8">
        <f>IF($A411="","",_xll.BDP($A411&amp;" Corp","INDUSTRY_SECTOR"))</f>
        <v/>
      </c>
      <c r="F411" s="8">
        <f>IF($A411="","",PROPER(_xll.BDP($A411&amp;" Corp","COUNTRY_FULL_NAME")))</f>
        <v/>
      </c>
      <c r="G411" s="8">
        <f>IF($A411="","",_xll.BDP($A411&amp;" Corp","CRNCY"))</f>
        <v/>
      </c>
      <c r="H411" s="8">
        <f>IF($A411="","",IFERROR(INDEX(SYZ_static!$T$2:$T$806,MATCH($A411,SYZ_static!$A$2:$A$806,0)),_xll.BDP($A411&amp;" Corp","RTG_SP")))</f>
        <v/>
      </c>
      <c r="I411" s="8">
        <f>IF($A411="","",IFERROR(INDEX(SYZ_static!$S$2:$S$806,MATCH($A411,SYZ_static!$A$2:$A$806,0)),""))</f>
        <v/>
      </c>
      <c r="J411" s="8">
        <f>IF($A411="","",_xll.BDP($A411&amp;" Corp","PAYMENT_RANK"))</f>
        <v/>
      </c>
      <c r="K411" s="9">
        <f>IF($A411="","",_xll.BDP($A411&amp;" Corp","CPN"))</f>
        <v/>
      </c>
      <c r="L411" s="10">
        <f>IF($A411="","",_xll.BDP($A411&amp;" Corp","MATURITY"))</f>
        <v/>
      </c>
      <c r="M411" s="11">
        <f>IF($A411="","",IFERROR(_xll.BDP($A411&amp;" Corp","MIN_PIECE")/1000,""))</f>
        <v/>
      </c>
      <c r="N411" s="12">
        <f>IF($A411="","",_xll.BDP($A411&amp;" Corp","PX_LAST"))</f>
        <v/>
      </c>
      <c r="O411" s="12">
        <f>IF($A411="","",_xll.BDP($A411&amp;" Corp","YAS_BOND_YLD","YAS_YLD_FLAG=15"))</f>
        <v/>
      </c>
      <c r="P411" s="12">
        <f>IF($A411="","",_xll.BDP($A411&amp;" Corp","YAS_MOD_DUR"))</f>
        <v/>
      </c>
      <c r="Q411" s="13">
        <f>IF($A411="","",_xll.BDP($A411&amp;" Corp","YAS_OAS_SPRD"))</f>
        <v/>
      </c>
      <c r="R411" s="13">
        <f>IF($A411="","",_xll.BDP($A411&amp;" Corp","YAS_OAS_SPRD","SETTLE_DT",$B$2))</f>
        <v/>
      </c>
      <c r="S411" s="14">
        <f>IF($A411="","",IF(OR(NOT(ISNUMBER($Q411)),NOT(ISNUMBER($R411))),"",$Q411-$R411))</f>
        <v/>
      </c>
      <c r="T411" s="12">
        <f>IF($A411="","",_xll.BDP($A411&amp;" Corp","YAS_BOND_YLD","YAS_YLD_FLAG=15","SETTLE_DT",$B$2))</f>
        <v/>
      </c>
      <c r="U411" s="15">
        <f>IF($A411="","",IF(OR(NOT(ISNUMBER($O411)),NOT(ISNUMBER($T411))),"",$O411-$T411))</f>
        <v/>
      </c>
      <c r="V411" s="13">
        <f>IF(NOT(ISNUMBER($S411)),"",COUNTIFS($G$7:$G$850,$G411,$S$7:$S$850,"&gt;"&amp;$S411)+COUNTIFS($G$7:$G411,$G411,$S$7:$S411,$S411))</f>
        <v/>
      </c>
      <c r="W411" s="13">
        <f>IF(NOT(ISNUMBER($S411)),"",COUNTIFS($G$7:$G$850,$G411,$S$7:$S$850,"&lt;"&amp;$S411)+COUNTIFS($G$7:$G411,$G411,$S$7:$S411,$S411))</f>
        <v/>
      </c>
      <c r="X411" s="8">
        <f>IF($V411="","",$G411&amp;"|"&amp;$V411)</f>
        <v/>
      </c>
      <c r="Y411" s="8">
        <f>IF($W411="","",$G411&amp;"|"&amp;$W411)</f>
        <v/>
      </c>
    </row>
    <row r="412">
      <c r="A412" s="16" t="inlineStr">
        <is>
          <t>USU7136QAB78</t>
        </is>
      </c>
      <c r="B412" s="17">
        <f>IF($A412="","",PROPER(_xll.BDP($A412&amp;" Corp","NAME")))</f>
        <v/>
      </c>
      <c r="C412" s="17">
        <f>IF($A412="","",IFERROR(INDEX(Company_desc!$B$2:$B$1144,MATCH($A412,Company_desc!$A$2:$A$1144,0)),IFERROR(INDEX(SYZ_static!$Q$2:$Q$806,MATCH($A412,SYZ_static!$A$2:$A$806,0)),"")))</f>
        <v/>
      </c>
      <c r="D412" s="17">
        <f>IF($A412="","",IFERROR(INDEX(SYZ_static!$B$2:$B$806,MATCH($A412,SYZ_static!$A$2:$A$806,0)),""))</f>
        <v/>
      </c>
      <c r="E412" s="17">
        <f>IF($A412="","",_xll.BDP($A412&amp;" Corp","INDUSTRY_SECTOR"))</f>
        <v/>
      </c>
      <c r="F412" s="17">
        <f>IF($A412="","",PROPER(_xll.BDP($A412&amp;" Corp","COUNTRY_FULL_NAME")))</f>
        <v/>
      </c>
      <c r="G412" s="17">
        <f>IF($A412="","",_xll.BDP($A412&amp;" Corp","CRNCY"))</f>
        <v/>
      </c>
      <c r="H412" s="17">
        <f>IF($A412="","",IFERROR(INDEX(SYZ_static!$T$2:$T$806,MATCH($A412,SYZ_static!$A$2:$A$806,0)),_xll.BDP($A412&amp;" Corp","RTG_SP")))</f>
        <v/>
      </c>
      <c r="I412" s="17">
        <f>IF($A412="","",IFERROR(INDEX(SYZ_static!$S$2:$S$806,MATCH($A412,SYZ_static!$A$2:$A$806,0)),""))</f>
        <v/>
      </c>
      <c r="J412" s="17">
        <f>IF($A412="","",_xll.BDP($A412&amp;" Corp","PAYMENT_RANK"))</f>
        <v/>
      </c>
      <c r="K412" s="18">
        <f>IF($A412="","",_xll.BDP($A412&amp;" Corp","CPN"))</f>
        <v/>
      </c>
      <c r="L412" s="19">
        <f>IF($A412="","",_xll.BDP($A412&amp;" Corp","MATURITY"))</f>
        <v/>
      </c>
      <c r="M412" s="20">
        <f>IF($A412="","",IFERROR(_xll.BDP($A412&amp;" Corp","MIN_PIECE")/1000,""))</f>
        <v/>
      </c>
      <c r="N412" s="21">
        <f>IF($A412="","",_xll.BDP($A412&amp;" Corp","PX_LAST"))</f>
        <v/>
      </c>
      <c r="O412" s="21">
        <f>IF($A412="","",_xll.BDP($A412&amp;" Corp","YAS_BOND_YLD","YAS_YLD_FLAG=15"))</f>
        <v/>
      </c>
      <c r="P412" s="21">
        <f>IF($A412="","",_xll.BDP($A412&amp;" Corp","YAS_MOD_DUR"))</f>
        <v/>
      </c>
      <c r="Q412" s="22">
        <f>IF($A412="","",_xll.BDP($A412&amp;" Corp","YAS_OAS_SPRD"))</f>
        <v/>
      </c>
      <c r="R412" s="22">
        <f>IF($A412="","",_xll.BDP($A412&amp;" Corp","YAS_OAS_SPRD","SETTLE_DT",$B$2))</f>
        <v/>
      </c>
      <c r="S412" s="23">
        <f>IF($A412="","",IF(OR(NOT(ISNUMBER($Q412)),NOT(ISNUMBER($R412))),"",$Q412-$R412))</f>
        <v/>
      </c>
      <c r="T412" s="21">
        <f>IF($A412="","",_xll.BDP($A412&amp;" Corp","YAS_BOND_YLD","YAS_YLD_FLAG=15","SETTLE_DT",$B$2))</f>
        <v/>
      </c>
      <c r="U412" s="24">
        <f>IF($A412="","",IF(OR(NOT(ISNUMBER($O412)),NOT(ISNUMBER($T412))),"",$O412-$T412))</f>
        <v/>
      </c>
      <c r="V412" s="22">
        <f>IF(NOT(ISNUMBER($S412)),"",COUNTIFS($G$7:$G$850,$G412,$S$7:$S$850,"&gt;"&amp;$S412)+COUNTIFS($G$7:$G412,$G412,$S$7:$S412,$S412))</f>
        <v/>
      </c>
      <c r="W412" s="22">
        <f>IF(NOT(ISNUMBER($S412)),"",COUNTIFS($G$7:$G$850,$G412,$S$7:$S$850,"&lt;"&amp;$S412)+COUNTIFS($G$7:$G412,$G412,$S$7:$S412,$S412))</f>
        <v/>
      </c>
      <c r="X412" s="17">
        <f>IF($V412="","",$G412&amp;"|"&amp;$V412)</f>
        <v/>
      </c>
      <c r="Y412" s="17">
        <f>IF($W412="","",$G412&amp;"|"&amp;$W412)</f>
        <v/>
      </c>
    </row>
    <row r="413">
      <c r="A413" s="7" t="inlineStr">
        <is>
          <t>FR001400F5F6</t>
        </is>
      </c>
      <c r="B413" s="8">
        <f>IF($A413="","",PROPER(_xll.BDP($A413&amp;" Corp","NAME")))</f>
        <v/>
      </c>
      <c r="C413" s="8">
        <f>IF($A413="","",IFERROR(INDEX(Company_desc!$B$2:$B$1144,MATCH($A413,Company_desc!$A$2:$A$1144,0)),IFERROR(INDEX(SYZ_static!$Q$2:$Q$806,MATCH($A413,SYZ_static!$A$2:$A$806,0)),"")))</f>
        <v/>
      </c>
      <c r="D413" s="8">
        <f>IF($A413="","",IFERROR(INDEX(SYZ_static!$B$2:$B$806,MATCH($A413,SYZ_static!$A$2:$A$806,0)),""))</f>
        <v/>
      </c>
      <c r="E413" s="8">
        <f>IF($A413="","",_xll.BDP($A413&amp;" Corp","INDUSTRY_SECTOR"))</f>
        <v/>
      </c>
      <c r="F413" s="8">
        <f>IF($A413="","",PROPER(_xll.BDP($A413&amp;" Corp","COUNTRY_FULL_NAME")))</f>
        <v/>
      </c>
      <c r="G413" s="8">
        <f>IF($A413="","",_xll.BDP($A413&amp;" Corp","CRNCY"))</f>
        <v/>
      </c>
      <c r="H413" s="8">
        <f>IF($A413="","",IFERROR(INDEX(SYZ_static!$T$2:$T$806,MATCH($A413,SYZ_static!$A$2:$A$806,0)),_xll.BDP($A413&amp;" Corp","RTG_SP")))</f>
        <v/>
      </c>
      <c r="I413" s="8">
        <f>IF($A413="","",IFERROR(INDEX(SYZ_static!$S$2:$S$806,MATCH($A413,SYZ_static!$A$2:$A$806,0)),""))</f>
        <v/>
      </c>
      <c r="J413" s="8">
        <f>IF($A413="","",_xll.BDP($A413&amp;" Corp","PAYMENT_RANK"))</f>
        <v/>
      </c>
      <c r="K413" s="9">
        <f>IF($A413="","",_xll.BDP($A413&amp;" Corp","CPN"))</f>
        <v/>
      </c>
      <c r="L413" s="10">
        <f>IF($A413="","",_xll.BDP($A413&amp;" Corp","MATURITY"))</f>
        <v/>
      </c>
      <c r="M413" s="11">
        <f>IF($A413="","",IFERROR(_xll.BDP($A413&amp;" Corp","MIN_PIECE")/1000,""))</f>
        <v/>
      </c>
      <c r="N413" s="12">
        <f>IF($A413="","",_xll.BDP($A413&amp;" Corp","PX_LAST"))</f>
        <v/>
      </c>
      <c r="O413" s="12">
        <f>IF($A413="","",_xll.BDP($A413&amp;" Corp","YAS_BOND_YLD","YAS_YLD_FLAG=15"))</f>
        <v/>
      </c>
      <c r="P413" s="12">
        <f>IF($A413="","",_xll.BDP($A413&amp;" Corp","YAS_MOD_DUR"))</f>
        <v/>
      </c>
      <c r="Q413" s="13">
        <f>IF($A413="","",_xll.BDP($A413&amp;" Corp","YAS_OAS_SPRD"))</f>
        <v/>
      </c>
      <c r="R413" s="13">
        <f>IF($A413="","",_xll.BDP($A413&amp;" Corp","YAS_OAS_SPRD","SETTLE_DT",$B$2))</f>
        <v/>
      </c>
      <c r="S413" s="14">
        <f>IF($A413="","",IF(OR(NOT(ISNUMBER($Q413)),NOT(ISNUMBER($R413))),"",$Q413-$R413))</f>
        <v/>
      </c>
      <c r="T413" s="12">
        <f>IF($A413="","",_xll.BDP($A413&amp;" Corp","YAS_BOND_YLD","YAS_YLD_FLAG=15","SETTLE_DT",$B$2))</f>
        <v/>
      </c>
      <c r="U413" s="15">
        <f>IF($A413="","",IF(OR(NOT(ISNUMBER($O413)),NOT(ISNUMBER($T413))),"",$O413-$T413))</f>
        <v/>
      </c>
      <c r="V413" s="13">
        <f>IF(NOT(ISNUMBER($S413)),"",COUNTIFS($G$7:$G$850,$G413,$S$7:$S$850,"&gt;"&amp;$S413)+COUNTIFS($G$7:$G413,$G413,$S$7:$S413,$S413))</f>
        <v/>
      </c>
      <c r="W413" s="13">
        <f>IF(NOT(ISNUMBER($S413)),"",COUNTIFS($G$7:$G$850,$G413,$S$7:$S$850,"&lt;"&amp;$S413)+COUNTIFS($G$7:$G413,$G413,$S$7:$S413,$S413))</f>
        <v/>
      </c>
      <c r="X413" s="8">
        <f>IF($V413="","",$G413&amp;"|"&amp;$V413)</f>
        <v/>
      </c>
      <c r="Y413" s="8">
        <f>IF($W413="","",$G413&amp;"|"&amp;$W413)</f>
        <v/>
      </c>
    </row>
    <row r="414">
      <c r="A414" s="16" t="inlineStr">
        <is>
          <t>FR001400KPC2</t>
        </is>
      </c>
      <c r="B414" s="17">
        <f>IF($A414="","",PROPER(_xll.BDP($A414&amp;" Corp","NAME")))</f>
        <v/>
      </c>
      <c r="C414" s="17">
        <f>IF($A414="","",IFERROR(INDEX(Company_desc!$B$2:$B$1144,MATCH($A414,Company_desc!$A$2:$A$1144,0)),IFERROR(INDEX(SYZ_static!$Q$2:$Q$806,MATCH($A414,SYZ_static!$A$2:$A$806,0)),"")))</f>
        <v/>
      </c>
      <c r="D414" s="17">
        <f>IF($A414="","",IFERROR(INDEX(SYZ_static!$B$2:$B$806,MATCH($A414,SYZ_static!$A$2:$A$806,0)),""))</f>
        <v/>
      </c>
      <c r="E414" s="17">
        <f>IF($A414="","",_xll.BDP($A414&amp;" Corp","INDUSTRY_SECTOR"))</f>
        <v/>
      </c>
      <c r="F414" s="17">
        <f>IF($A414="","",PROPER(_xll.BDP($A414&amp;" Corp","COUNTRY_FULL_NAME")))</f>
        <v/>
      </c>
      <c r="G414" s="17">
        <f>IF($A414="","",_xll.BDP($A414&amp;" Corp","CRNCY"))</f>
        <v/>
      </c>
      <c r="H414" s="17">
        <f>IF($A414="","",IFERROR(INDEX(SYZ_static!$T$2:$T$806,MATCH($A414,SYZ_static!$A$2:$A$806,0)),_xll.BDP($A414&amp;" Corp","RTG_SP")))</f>
        <v/>
      </c>
      <c r="I414" s="17">
        <f>IF($A414="","",IFERROR(INDEX(SYZ_static!$S$2:$S$806,MATCH($A414,SYZ_static!$A$2:$A$806,0)),""))</f>
        <v/>
      </c>
      <c r="J414" s="17">
        <f>IF($A414="","",_xll.BDP($A414&amp;" Corp","PAYMENT_RANK"))</f>
        <v/>
      </c>
      <c r="K414" s="18">
        <f>IF($A414="","",_xll.BDP($A414&amp;" Corp","CPN"))</f>
        <v/>
      </c>
      <c r="L414" s="19">
        <f>IF($A414="","",_xll.BDP($A414&amp;" Corp","MATURITY"))</f>
        <v/>
      </c>
      <c r="M414" s="20">
        <f>IF($A414="","",IFERROR(_xll.BDP($A414&amp;" Corp","MIN_PIECE")/1000,""))</f>
        <v/>
      </c>
      <c r="N414" s="21">
        <f>IF($A414="","",_xll.BDP($A414&amp;" Corp","PX_LAST"))</f>
        <v/>
      </c>
      <c r="O414" s="21">
        <f>IF($A414="","",_xll.BDP($A414&amp;" Corp","YAS_BOND_YLD","YAS_YLD_FLAG=15"))</f>
        <v/>
      </c>
      <c r="P414" s="21">
        <f>IF($A414="","",_xll.BDP($A414&amp;" Corp","YAS_MOD_DUR"))</f>
        <v/>
      </c>
      <c r="Q414" s="22">
        <f>IF($A414="","",_xll.BDP($A414&amp;" Corp","YAS_OAS_SPRD"))</f>
        <v/>
      </c>
      <c r="R414" s="22">
        <f>IF($A414="","",_xll.BDP($A414&amp;" Corp","YAS_OAS_SPRD","SETTLE_DT",$B$2))</f>
        <v/>
      </c>
      <c r="S414" s="23">
        <f>IF($A414="","",IF(OR(NOT(ISNUMBER($Q414)),NOT(ISNUMBER($R414))),"",$Q414-$R414))</f>
        <v/>
      </c>
      <c r="T414" s="21">
        <f>IF($A414="","",_xll.BDP($A414&amp;" Corp","YAS_BOND_YLD","YAS_YLD_FLAG=15","SETTLE_DT",$B$2))</f>
        <v/>
      </c>
      <c r="U414" s="24">
        <f>IF($A414="","",IF(OR(NOT(ISNUMBER($O414)),NOT(ISNUMBER($T414))),"",$O414-$T414))</f>
        <v/>
      </c>
      <c r="V414" s="22">
        <f>IF(NOT(ISNUMBER($S414)),"",COUNTIFS($G$7:$G$850,$G414,$S$7:$S$850,"&gt;"&amp;$S414)+COUNTIFS($G$7:$G414,$G414,$S$7:$S414,$S414))</f>
        <v/>
      </c>
      <c r="W414" s="22">
        <f>IF(NOT(ISNUMBER($S414)),"",COUNTIFS($G$7:$G$850,$G414,$S$7:$S$850,"&lt;"&amp;$S414)+COUNTIFS($G$7:$G414,$G414,$S$7:$S414,$S414))</f>
        <v/>
      </c>
      <c r="X414" s="17">
        <f>IF($V414="","",$G414&amp;"|"&amp;$V414)</f>
        <v/>
      </c>
      <c r="Y414" s="17">
        <f>IF($W414="","",$G414&amp;"|"&amp;$W414)</f>
        <v/>
      </c>
    </row>
    <row r="415">
      <c r="A415" s="7" t="inlineStr">
        <is>
          <t>XS2830466137</t>
        </is>
      </c>
      <c r="B415" s="8">
        <f>IF($A415="","",PROPER(_xll.BDP($A415&amp;" Corp","NAME")))</f>
        <v/>
      </c>
      <c r="C415" s="8">
        <f>IF($A415="","",IFERROR(INDEX(Company_desc!$B$2:$B$1144,MATCH($A415,Company_desc!$A$2:$A$1144,0)),IFERROR(INDEX(SYZ_static!$Q$2:$Q$806,MATCH($A415,SYZ_static!$A$2:$A$806,0)),"")))</f>
        <v/>
      </c>
      <c r="D415" s="8">
        <f>IF($A415="","",IFERROR(INDEX(SYZ_static!$B$2:$B$806,MATCH($A415,SYZ_static!$A$2:$A$806,0)),""))</f>
        <v/>
      </c>
      <c r="E415" s="8">
        <f>IF($A415="","",_xll.BDP($A415&amp;" Corp","INDUSTRY_SECTOR"))</f>
        <v/>
      </c>
      <c r="F415" s="8">
        <f>IF($A415="","",PROPER(_xll.BDP($A415&amp;" Corp","COUNTRY_FULL_NAME")))</f>
        <v/>
      </c>
      <c r="G415" s="8">
        <f>IF($A415="","",_xll.BDP($A415&amp;" Corp","CRNCY"))</f>
        <v/>
      </c>
      <c r="H415" s="8">
        <f>IF($A415="","",IFERROR(INDEX(SYZ_static!$T$2:$T$806,MATCH($A415,SYZ_static!$A$2:$A$806,0)),_xll.BDP($A415&amp;" Corp","RTG_SP")))</f>
        <v/>
      </c>
      <c r="I415" s="8">
        <f>IF($A415="","",IFERROR(INDEX(SYZ_static!$S$2:$S$806,MATCH($A415,SYZ_static!$A$2:$A$806,0)),""))</f>
        <v/>
      </c>
      <c r="J415" s="8">
        <f>IF($A415="","",_xll.BDP($A415&amp;" Corp","PAYMENT_RANK"))</f>
        <v/>
      </c>
      <c r="K415" s="9">
        <f>IF($A415="","",_xll.BDP($A415&amp;" Corp","CPN"))</f>
        <v/>
      </c>
      <c r="L415" s="10">
        <f>IF($A415="","",_xll.BDP($A415&amp;" Corp","MATURITY"))</f>
        <v/>
      </c>
      <c r="M415" s="11">
        <f>IF($A415="","",IFERROR(_xll.BDP($A415&amp;" Corp","MIN_PIECE")/1000,""))</f>
        <v/>
      </c>
      <c r="N415" s="12">
        <f>IF($A415="","",_xll.BDP($A415&amp;" Corp","PX_LAST"))</f>
        <v/>
      </c>
      <c r="O415" s="12">
        <f>IF($A415="","",_xll.BDP($A415&amp;" Corp","YAS_BOND_YLD","YAS_YLD_FLAG=15"))</f>
        <v/>
      </c>
      <c r="P415" s="12">
        <f>IF($A415="","",_xll.BDP($A415&amp;" Corp","YAS_MOD_DUR"))</f>
        <v/>
      </c>
      <c r="Q415" s="13">
        <f>IF($A415="","",_xll.BDP($A415&amp;" Corp","YAS_OAS_SPRD"))</f>
        <v/>
      </c>
      <c r="R415" s="13">
        <f>IF($A415="","",_xll.BDP($A415&amp;" Corp","YAS_OAS_SPRD","SETTLE_DT",$B$2))</f>
        <v/>
      </c>
      <c r="S415" s="14">
        <f>IF($A415="","",IF(OR(NOT(ISNUMBER($Q415)),NOT(ISNUMBER($R415))),"",$Q415-$R415))</f>
        <v/>
      </c>
      <c r="T415" s="12">
        <f>IF($A415="","",_xll.BDP($A415&amp;" Corp","YAS_BOND_YLD","YAS_YLD_FLAG=15","SETTLE_DT",$B$2))</f>
        <v/>
      </c>
      <c r="U415" s="15">
        <f>IF($A415="","",IF(OR(NOT(ISNUMBER($O415)),NOT(ISNUMBER($T415))),"",$O415-$T415))</f>
        <v/>
      </c>
      <c r="V415" s="13">
        <f>IF(NOT(ISNUMBER($S415)),"",COUNTIFS($G$7:$G$850,$G415,$S$7:$S$850,"&gt;"&amp;$S415)+COUNTIFS($G$7:$G415,$G415,$S$7:$S415,$S415))</f>
        <v/>
      </c>
      <c r="W415" s="13">
        <f>IF(NOT(ISNUMBER($S415)),"",COUNTIFS($G$7:$G$850,$G415,$S$7:$S$850,"&lt;"&amp;$S415)+COUNTIFS($G$7:$G415,$G415,$S$7:$S415,$S415))</f>
        <v/>
      </c>
      <c r="X415" s="8">
        <f>IF($V415="","",$G415&amp;"|"&amp;$V415)</f>
        <v/>
      </c>
      <c r="Y415" s="8">
        <f>IF($W415="","",$G415&amp;"|"&amp;$W415)</f>
        <v/>
      </c>
    </row>
    <row r="416">
      <c r="A416" s="16" t="inlineStr">
        <is>
          <t>US278642BB85</t>
        </is>
      </c>
      <c r="B416" s="17">
        <f>IF($A416="","",PROPER(_xll.BDP($A416&amp;" Corp","NAME")))</f>
        <v/>
      </c>
      <c r="C416" s="17">
        <f>IF($A416="","",IFERROR(INDEX(Company_desc!$B$2:$B$1144,MATCH($A416,Company_desc!$A$2:$A$1144,0)),IFERROR(INDEX(SYZ_static!$Q$2:$Q$806,MATCH($A416,SYZ_static!$A$2:$A$806,0)),"")))</f>
        <v/>
      </c>
      <c r="D416" s="17">
        <f>IF($A416="","",IFERROR(INDEX(SYZ_static!$B$2:$B$806,MATCH($A416,SYZ_static!$A$2:$A$806,0)),""))</f>
        <v/>
      </c>
      <c r="E416" s="17">
        <f>IF($A416="","",_xll.BDP($A416&amp;" Corp","INDUSTRY_SECTOR"))</f>
        <v/>
      </c>
      <c r="F416" s="17">
        <f>IF($A416="","",PROPER(_xll.BDP($A416&amp;" Corp","COUNTRY_FULL_NAME")))</f>
        <v/>
      </c>
      <c r="G416" s="17">
        <f>IF($A416="","",_xll.BDP($A416&amp;" Corp","CRNCY"))</f>
        <v/>
      </c>
      <c r="H416" s="17">
        <f>IF($A416="","",IFERROR(INDEX(SYZ_static!$T$2:$T$806,MATCH($A416,SYZ_static!$A$2:$A$806,0)),_xll.BDP($A416&amp;" Corp","RTG_SP")))</f>
        <v/>
      </c>
      <c r="I416" s="17">
        <f>IF($A416="","",IFERROR(INDEX(SYZ_static!$S$2:$S$806,MATCH($A416,SYZ_static!$A$2:$A$806,0)),""))</f>
        <v/>
      </c>
      <c r="J416" s="17">
        <f>IF($A416="","",_xll.BDP($A416&amp;" Corp","PAYMENT_RANK"))</f>
        <v/>
      </c>
      <c r="K416" s="18">
        <f>IF($A416="","",_xll.BDP($A416&amp;" Corp","CPN"))</f>
        <v/>
      </c>
      <c r="L416" s="19">
        <f>IF($A416="","",_xll.BDP($A416&amp;" Corp","MATURITY"))</f>
        <v/>
      </c>
      <c r="M416" s="20">
        <f>IF($A416="","",IFERROR(_xll.BDP($A416&amp;" Corp","MIN_PIECE")/1000,""))</f>
        <v/>
      </c>
      <c r="N416" s="21">
        <f>IF($A416="","",_xll.BDP($A416&amp;" Corp","PX_LAST"))</f>
        <v/>
      </c>
      <c r="O416" s="21">
        <f>IF($A416="","",_xll.BDP($A416&amp;" Corp","YAS_BOND_YLD","YAS_YLD_FLAG=15"))</f>
        <v/>
      </c>
      <c r="P416" s="21">
        <f>IF($A416="","",_xll.BDP($A416&amp;" Corp","YAS_MOD_DUR"))</f>
        <v/>
      </c>
      <c r="Q416" s="22">
        <f>IF($A416="","",_xll.BDP($A416&amp;" Corp","YAS_OAS_SPRD"))</f>
        <v/>
      </c>
      <c r="R416" s="22">
        <f>IF($A416="","",_xll.BDP($A416&amp;" Corp","YAS_OAS_SPRD","SETTLE_DT",$B$2))</f>
        <v/>
      </c>
      <c r="S416" s="23">
        <f>IF($A416="","",IF(OR(NOT(ISNUMBER($Q416)),NOT(ISNUMBER($R416))),"",$Q416-$R416))</f>
        <v/>
      </c>
      <c r="T416" s="21">
        <f>IF($A416="","",_xll.BDP($A416&amp;" Corp","YAS_BOND_YLD","YAS_YLD_FLAG=15","SETTLE_DT",$B$2))</f>
        <v/>
      </c>
      <c r="U416" s="24">
        <f>IF($A416="","",IF(OR(NOT(ISNUMBER($O416)),NOT(ISNUMBER($T416))),"",$O416-$T416))</f>
        <v/>
      </c>
      <c r="V416" s="22">
        <f>IF(NOT(ISNUMBER($S416)),"",COUNTIFS($G$7:$G$850,$G416,$S$7:$S$850,"&gt;"&amp;$S416)+COUNTIFS($G$7:$G416,$G416,$S$7:$S416,$S416))</f>
        <v/>
      </c>
      <c r="W416" s="22">
        <f>IF(NOT(ISNUMBER($S416)),"",COUNTIFS($G$7:$G$850,$G416,$S$7:$S$850,"&lt;"&amp;$S416)+COUNTIFS($G$7:$G416,$G416,$S$7:$S416,$S416))</f>
        <v/>
      </c>
      <c r="X416" s="17">
        <f>IF($V416="","",$G416&amp;"|"&amp;$V416)</f>
        <v/>
      </c>
      <c r="Y416" s="17">
        <f>IF($W416="","",$G416&amp;"|"&amp;$W416)</f>
        <v/>
      </c>
    </row>
    <row r="417">
      <c r="A417" s="7" t="inlineStr">
        <is>
          <t>FR001400F2Q0</t>
        </is>
      </c>
      <c r="B417" s="8">
        <f>IF($A417="","",PROPER(_xll.BDP($A417&amp;" Corp","NAME")))</f>
        <v/>
      </c>
      <c r="C417" s="8">
        <f>IF($A417="","",IFERROR(INDEX(Company_desc!$B$2:$B$1144,MATCH($A417,Company_desc!$A$2:$A$1144,0)),IFERROR(INDEX(SYZ_static!$Q$2:$Q$806,MATCH($A417,SYZ_static!$A$2:$A$806,0)),"")))</f>
        <v/>
      </c>
      <c r="D417" s="8">
        <f>IF($A417="","",IFERROR(INDEX(SYZ_static!$B$2:$B$806,MATCH($A417,SYZ_static!$A$2:$A$806,0)),""))</f>
        <v/>
      </c>
      <c r="E417" s="8">
        <f>IF($A417="","",_xll.BDP($A417&amp;" Corp","INDUSTRY_SECTOR"))</f>
        <v/>
      </c>
      <c r="F417" s="8">
        <f>IF($A417="","",PROPER(_xll.BDP($A417&amp;" Corp","COUNTRY_FULL_NAME")))</f>
        <v/>
      </c>
      <c r="G417" s="8">
        <f>IF($A417="","",_xll.BDP($A417&amp;" Corp","CRNCY"))</f>
        <v/>
      </c>
      <c r="H417" s="8">
        <f>IF($A417="","",IFERROR(INDEX(SYZ_static!$T$2:$T$806,MATCH($A417,SYZ_static!$A$2:$A$806,0)),_xll.BDP($A417&amp;" Corp","RTG_SP")))</f>
        <v/>
      </c>
      <c r="I417" s="8">
        <f>IF($A417="","",IFERROR(INDEX(SYZ_static!$S$2:$S$806,MATCH($A417,SYZ_static!$A$2:$A$806,0)),""))</f>
        <v/>
      </c>
      <c r="J417" s="8">
        <f>IF($A417="","",_xll.BDP($A417&amp;" Corp","PAYMENT_RANK"))</f>
        <v/>
      </c>
      <c r="K417" s="9">
        <f>IF($A417="","",_xll.BDP($A417&amp;" Corp","CPN"))</f>
        <v/>
      </c>
      <c r="L417" s="10">
        <f>IF($A417="","",_xll.BDP($A417&amp;" Corp","MATURITY"))</f>
        <v/>
      </c>
      <c r="M417" s="11">
        <f>IF($A417="","",IFERROR(_xll.BDP($A417&amp;" Corp","MIN_PIECE")/1000,""))</f>
        <v/>
      </c>
      <c r="N417" s="12">
        <f>IF($A417="","",_xll.BDP($A417&amp;" Corp","PX_LAST"))</f>
        <v/>
      </c>
      <c r="O417" s="12">
        <f>IF($A417="","",_xll.BDP($A417&amp;" Corp","YAS_BOND_YLD","YAS_YLD_FLAG=15"))</f>
        <v/>
      </c>
      <c r="P417" s="12">
        <f>IF($A417="","",_xll.BDP($A417&amp;" Corp","YAS_MOD_DUR"))</f>
        <v/>
      </c>
      <c r="Q417" s="13">
        <f>IF($A417="","",_xll.BDP($A417&amp;" Corp","YAS_OAS_SPRD"))</f>
        <v/>
      </c>
      <c r="R417" s="13">
        <f>IF($A417="","",_xll.BDP($A417&amp;" Corp","YAS_OAS_SPRD","SETTLE_DT",$B$2))</f>
        <v/>
      </c>
      <c r="S417" s="14">
        <f>IF($A417="","",IF(OR(NOT(ISNUMBER($Q417)),NOT(ISNUMBER($R417))),"",$Q417-$R417))</f>
        <v/>
      </c>
      <c r="T417" s="12">
        <f>IF($A417="","",_xll.BDP($A417&amp;" Corp","YAS_BOND_YLD","YAS_YLD_FLAG=15","SETTLE_DT",$B$2))</f>
        <v/>
      </c>
      <c r="U417" s="15">
        <f>IF($A417="","",IF(OR(NOT(ISNUMBER($O417)),NOT(ISNUMBER($T417))),"",$O417-$T417))</f>
        <v/>
      </c>
      <c r="V417" s="13">
        <f>IF(NOT(ISNUMBER($S417)),"",COUNTIFS($G$7:$G$850,$G417,$S$7:$S$850,"&gt;"&amp;$S417)+COUNTIFS($G$7:$G417,$G417,$S$7:$S417,$S417))</f>
        <v/>
      </c>
      <c r="W417" s="13">
        <f>IF(NOT(ISNUMBER($S417)),"",COUNTIFS($G$7:$G$850,$G417,$S$7:$S$850,"&lt;"&amp;$S417)+COUNTIFS($G$7:$G417,$G417,$S$7:$S417,$S417))</f>
        <v/>
      </c>
      <c r="X417" s="8">
        <f>IF($V417="","",$G417&amp;"|"&amp;$V417)</f>
        <v/>
      </c>
      <c r="Y417" s="8">
        <f>IF($W417="","",$G417&amp;"|"&amp;$W417)</f>
        <v/>
      </c>
    </row>
    <row r="418">
      <c r="A418" s="16" t="inlineStr">
        <is>
          <t>US487836BZ07</t>
        </is>
      </c>
      <c r="B418" s="17">
        <f>IF($A418="","",PROPER(_xll.BDP($A418&amp;" Corp","NAME")))</f>
        <v/>
      </c>
      <c r="C418" s="17">
        <f>IF($A418="","",IFERROR(INDEX(Company_desc!$B$2:$B$1144,MATCH($A418,Company_desc!$A$2:$A$1144,0)),IFERROR(INDEX(SYZ_static!$Q$2:$Q$806,MATCH($A418,SYZ_static!$A$2:$A$806,0)),"")))</f>
        <v/>
      </c>
      <c r="D418" s="17">
        <f>IF($A418="","",IFERROR(INDEX(SYZ_static!$B$2:$B$806,MATCH($A418,SYZ_static!$A$2:$A$806,0)),""))</f>
        <v/>
      </c>
      <c r="E418" s="17">
        <f>IF($A418="","",_xll.BDP($A418&amp;" Corp","INDUSTRY_SECTOR"))</f>
        <v/>
      </c>
      <c r="F418" s="17">
        <f>IF($A418="","",PROPER(_xll.BDP($A418&amp;" Corp","COUNTRY_FULL_NAME")))</f>
        <v/>
      </c>
      <c r="G418" s="17">
        <f>IF($A418="","",_xll.BDP($A418&amp;" Corp","CRNCY"))</f>
        <v/>
      </c>
      <c r="H418" s="17">
        <f>IF($A418="","",IFERROR(INDEX(SYZ_static!$T$2:$T$806,MATCH($A418,SYZ_static!$A$2:$A$806,0)),_xll.BDP($A418&amp;" Corp","RTG_SP")))</f>
        <v/>
      </c>
      <c r="I418" s="17">
        <f>IF($A418="","",IFERROR(INDEX(SYZ_static!$S$2:$S$806,MATCH($A418,SYZ_static!$A$2:$A$806,0)),""))</f>
        <v/>
      </c>
      <c r="J418" s="17">
        <f>IF($A418="","",_xll.BDP($A418&amp;" Corp","PAYMENT_RANK"))</f>
        <v/>
      </c>
      <c r="K418" s="18">
        <f>IF($A418="","",_xll.BDP($A418&amp;" Corp","CPN"))</f>
        <v/>
      </c>
      <c r="L418" s="19">
        <f>IF($A418="","",_xll.BDP($A418&amp;" Corp","MATURITY"))</f>
        <v/>
      </c>
      <c r="M418" s="20">
        <f>IF($A418="","",IFERROR(_xll.BDP($A418&amp;" Corp","MIN_PIECE")/1000,""))</f>
        <v/>
      </c>
      <c r="N418" s="21">
        <f>IF($A418="","",_xll.BDP($A418&amp;" Corp","PX_LAST"))</f>
        <v/>
      </c>
      <c r="O418" s="21">
        <f>IF($A418="","",_xll.BDP($A418&amp;" Corp","YAS_BOND_YLD","YAS_YLD_FLAG=15"))</f>
        <v/>
      </c>
      <c r="P418" s="21">
        <f>IF($A418="","",_xll.BDP($A418&amp;" Corp","YAS_MOD_DUR"))</f>
        <v/>
      </c>
      <c r="Q418" s="22">
        <f>IF($A418="","",_xll.BDP($A418&amp;" Corp","YAS_OAS_SPRD"))</f>
        <v/>
      </c>
      <c r="R418" s="22">
        <f>IF($A418="","",_xll.BDP($A418&amp;" Corp","YAS_OAS_SPRD","SETTLE_DT",$B$2))</f>
        <v/>
      </c>
      <c r="S418" s="23">
        <f>IF($A418="","",IF(OR(NOT(ISNUMBER($Q418)),NOT(ISNUMBER($R418))),"",$Q418-$R418))</f>
        <v/>
      </c>
      <c r="T418" s="21">
        <f>IF($A418="","",_xll.BDP($A418&amp;" Corp","YAS_BOND_YLD","YAS_YLD_FLAG=15","SETTLE_DT",$B$2))</f>
        <v/>
      </c>
      <c r="U418" s="24">
        <f>IF($A418="","",IF(OR(NOT(ISNUMBER($O418)),NOT(ISNUMBER($T418))),"",$O418-$T418))</f>
        <v/>
      </c>
      <c r="V418" s="22">
        <f>IF(NOT(ISNUMBER($S418)),"",COUNTIFS($G$7:$G$850,$G418,$S$7:$S$850,"&gt;"&amp;$S418)+COUNTIFS($G$7:$G418,$G418,$S$7:$S418,$S418))</f>
        <v/>
      </c>
      <c r="W418" s="22">
        <f>IF(NOT(ISNUMBER($S418)),"",COUNTIFS($G$7:$G$850,$G418,$S$7:$S$850,"&lt;"&amp;$S418)+COUNTIFS($G$7:$G418,$G418,$S$7:$S418,$S418))</f>
        <v/>
      </c>
      <c r="X418" s="17">
        <f>IF($V418="","",$G418&amp;"|"&amp;$V418)</f>
        <v/>
      </c>
      <c r="Y418" s="17">
        <f>IF($W418="","",$G418&amp;"|"&amp;$W418)</f>
        <v/>
      </c>
    </row>
    <row r="419">
      <c r="A419" s="7" t="inlineStr">
        <is>
          <t>XS1944412748</t>
        </is>
      </c>
      <c r="B419" s="8">
        <f>IF($A419="","",PROPER(_xll.BDP($A419&amp;" Corp","NAME")))</f>
        <v/>
      </c>
      <c r="C419" s="8">
        <f>IF($A419="","",IFERROR(INDEX(Company_desc!$B$2:$B$1144,MATCH($A419,Company_desc!$A$2:$A$1144,0)),IFERROR(INDEX(SYZ_static!$Q$2:$Q$806,MATCH($A419,SYZ_static!$A$2:$A$806,0)),"")))</f>
        <v/>
      </c>
      <c r="D419" s="8">
        <f>IF($A419="","",IFERROR(INDEX(SYZ_static!$B$2:$B$806,MATCH($A419,SYZ_static!$A$2:$A$806,0)),""))</f>
        <v/>
      </c>
      <c r="E419" s="8">
        <f>IF($A419="","",_xll.BDP($A419&amp;" Corp","INDUSTRY_SECTOR"))</f>
        <v/>
      </c>
      <c r="F419" s="8">
        <f>IF($A419="","",PROPER(_xll.BDP($A419&amp;" Corp","COUNTRY_FULL_NAME")))</f>
        <v/>
      </c>
      <c r="G419" s="8">
        <f>IF($A419="","",_xll.BDP($A419&amp;" Corp","CRNCY"))</f>
        <v/>
      </c>
      <c r="H419" s="8">
        <f>IF($A419="","",IFERROR(INDEX(SYZ_static!$T$2:$T$806,MATCH($A419,SYZ_static!$A$2:$A$806,0)),_xll.BDP($A419&amp;" Corp","RTG_SP")))</f>
        <v/>
      </c>
      <c r="I419" s="8">
        <f>IF($A419="","",IFERROR(INDEX(SYZ_static!$S$2:$S$806,MATCH($A419,SYZ_static!$A$2:$A$806,0)),""))</f>
        <v/>
      </c>
      <c r="J419" s="8">
        <f>IF($A419="","",_xll.BDP($A419&amp;" Corp","PAYMENT_RANK"))</f>
        <v/>
      </c>
      <c r="K419" s="9">
        <f>IF($A419="","",_xll.BDP($A419&amp;" Corp","CPN"))</f>
        <v/>
      </c>
      <c r="L419" s="10">
        <f>IF($A419="","",_xll.BDP($A419&amp;" Corp","MATURITY"))</f>
        <v/>
      </c>
      <c r="M419" s="11">
        <f>IF($A419="","",IFERROR(_xll.BDP($A419&amp;" Corp","MIN_PIECE")/1000,""))</f>
        <v/>
      </c>
      <c r="N419" s="12">
        <f>IF($A419="","",_xll.BDP($A419&amp;" Corp","PX_LAST"))</f>
        <v/>
      </c>
      <c r="O419" s="12">
        <f>IF($A419="","",_xll.BDP($A419&amp;" Corp","YAS_BOND_YLD","YAS_YLD_FLAG=15"))</f>
        <v/>
      </c>
      <c r="P419" s="12">
        <f>IF($A419="","",_xll.BDP($A419&amp;" Corp","YAS_MOD_DUR"))</f>
        <v/>
      </c>
      <c r="Q419" s="13">
        <f>IF($A419="","",_xll.BDP($A419&amp;" Corp","YAS_OAS_SPRD"))</f>
        <v/>
      </c>
      <c r="R419" s="13">
        <f>IF($A419="","",_xll.BDP($A419&amp;" Corp","YAS_OAS_SPRD","SETTLE_DT",$B$2))</f>
        <v/>
      </c>
      <c r="S419" s="14">
        <f>IF($A419="","",IF(OR(NOT(ISNUMBER($Q419)),NOT(ISNUMBER($R419))),"",$Q419-$R419))</f>
        <v/>
      </c>
      <c r="T419" s="12">
        <f>IF($A419="","",_xll.BDP($A419&amp;" Corp","YAS_BOND_YLD","YAS_YLD_FLAG=15","SETTLE_DT",$B$2))</f>
        <v/>
      </c>
      <c r="U419" s="15">
        <f>IF($A419="","",IF(OR(NOT(ISNUMBER($O419)),NOT(ISNUMBER($T419))),"",$O419-$T419))</f>
        <v/>
      </c>
      <c r="V419" s="13">
        <f>IF(NOT(ISNUMBER($S419)),"",COUNTIFS($G$7:$G$850,$G419,$S$7:$S$850,"&gt;"&amp;$S419)+COUNTIFS($G$7:$G419,$G419,$S$7:$S419,$S419))</f>
        <v/>
      </c>
      <c r="W419" s="13">
        <f>IF(NOT(ISNUMBER($S419)),"",COUNTIFS($G$7:$G$850,$G419,$S$7:$S$850,"&lt;"&amp;$S419)+COUNTIFS($G$7:$G419,$G419,$S$7:$S419,$S419))</f>
        <v/>
      </c>
      <c r="X419" s="8">
        <f>IF($V419="","",$G419&amp;"|"&amp;$V419)</f>
        <v/>
      </c>
      <c r="Y419" s="8">
        <f>IF($W419="","",$G419&amp;"|"&amp;$W419)</f>
        <v/>
      </c>
    </row>
    <row r="420">
      <c r="A420" s="16" t="inlineStr">
        <is>
          <t>XS2247549731</t>
        </is>
      </c>
      <c r="B420" s="17">
        <f>IF($A420="","",PROPER(_xll.BDP($A420&amp;" Corp","NAME")))</f>
        <v/>
      </c>
      <c r="C420" s="17">
        <f>IF($A420="","",IFERROR(INDEX(Company_desc!$B$2:$B$1144,MATCH($A420,Company_desc!$A$2:$A$1144,0)),IFERROR(INDEX(SYZ_static!$Q$2:$Q$806,MATCH($A420,SYZ_static!$A$2:$A$806,0)),"")))</f>
        <v/>
      </c>
      <c r="D420" s="17">
        <f>IF($A420="","",IFERROR(INDEX(SYZ_static!$B$2:$B$806,MATCH($A420,SYZ_static!$A$2:$A$806,0)),""))</f>
        <v/>
      </c>
      <c r="E420" s="17">
        <f>IF($A420="","",_xll.BDP($A420&amp;" Corp","INDUSTRY_SECTOR"))</f>
        <v/>
      </c>
      <c r="F420" s="17">
        <f>IF($A420="","",PROPER(_xll.BDP($A420&amp;" Corp","COUNTRY_FULL_NAME")))</f>
        <v/>
      </c>
      <c r="G420" s="17">
        <f>IF($A420="","",_xll.BDP($A420&amp;" Corp","CRNCY"))</f>
        <v/>
      </c>
      <c r="H420" s="17">
        <f>IF($A420="","",IFERROR(INDEX(SYZ_static!$T$2:$T$806,MATCH($A420,SYZ_static!$A$2:$A$806,0)),_xll.BDP($A420&amp;" Corp","RTG_SP")))</f>
        <v/>
      </c>
      <c r="I420" s="17">
        <f>IF($A420="","",IFERROR(INDEX(SYZ_static!$S$2:$S$806,MATCH($A420,SYZ_static!$A$2:$A$806,0)),""))</f>
        <v/>
      </c>
      <c r="J420" s="17">
        <f>IF($A420="","",_xll.BDP($A420&amp;" Corp","PAYMENT_RANK"))</f>
        <v/>
      </c>
      <c r="K420" s="18">
        <f>IF($A420="","",_xll.BDP($A420&amp;" Corp","CPN"))</f>
        <v/>
      </c>
      <c r="L420" s="19">
        <f>IF($A420="","",_xll.BDP($A420&amp;" Corp","MATURITY"))</f>
        <v/>
      </c>
      <c r="M420" s="20">
        <f>IF($A420="","",IFERROR(_xll.BDP($A420&amp;" Corp","MIN_PIECE")/1000,""))</f>
        <v/>
      </c>
      <c r="N420" s="21">
        <f>IF($A420="","",_xll.BDP($A420&amp;" Corp","PX_LAST"))</f>
        <v/>
      </c>
      <c r="O420" s="21">
        <f>IF($A420="","",_xll.BDP($A420&amp;" Corp","YAS_BOND_YLD","YAS_YLD_FLAG=15"))</f>
        <v/>
      </c>
      <c r="P420" s="21">
        <f>IF($A420="","",_xll.BDP($A420&amp;" Corp","YAS_MOD_DUR"))</f>
        <v/>
      </c>
      <c r="Q420" s="22">
        <f>IF($A420="","",_xll.BDP($A420&amp;" Corp","YAS_OAS_SPRD"))</f>
        <v/>
      </c>
      <c r="R420" s="22">
        <f>IF($A420="","",_xll.BDP($A420&amp;" Corp","YAS_OAS_SPRD","SETTLE_DT",$B$2))</f>
        <v/>
      </c>
      <c r="S420" s="23">
        <f>IF($A420="","",IF(OR(NOT(ISNUMBER($Q420)),NOT(ISNUMBER($R420))),"",$Q420-$R420))</f>
        <v/>
      </c>
      <c r="T420" s="21">
        <f>IF($A420="","",_xll.BDP($A420&amp;" Corp","YAS_BOND_YLD","YAS_YLD_FLAG=15","SETTLE_DT",$B$2))</f>
        <v/>
      </c>
      <c r="U420" s="24">
        <f>IF($A420="","",IF(OR(NOT(ISNUMBER($O420)),NOT(ISNUMBER($T420))),"",$O420-$T420))</f>
        <v/>
      </c>
      <c r="V420" s="22">
        <f>IF(NOT(ISNUMBER($S420)),"",COUNTIFS($G$7:$G$850,$G420,$S$7:$S$850,"&gt;"&amp;$S420)+COUNTIFS($G$7:$G420,$G420,$S$7:$S420,$S420))</f>
        <v/>
      </c>
      <c r="W420" s="22">
        <f>IF(NOT(ISNUMBER($S420)),"",COUNTIFS($G$7:$G$850,$G420,$S$7:$S$850,"&lt;"&amp;$S420)+COUNTIFS($G$7:$G420,$G420,$S$7:$S420,$S420))</f>
        <v/>
      </c>
      <c r="X420" s="17">
        <f>IF($V420="","",$G420&amp;"|"&amp;$V420)</f>
        <v/>
      </c>
      <c r="Y420" s="17">
        <f>IF($W420="","",$G420&amp;"|"&amp;$W420)</f>
        <v/>
      </c>
    </row>
    <row r="421">
      <c r="A421" s="7" t="inlineStr">
        <is>
          <t>XS2676818482</t>
        </is>
      </c>
      <c r="B421" s="8">
        <f>IF($A421="","",PROPER(_xll.BDP($A421&amp;" Corp","NAME")))</f>
        <v/>
      </c>
      <c r="C421" s="8">
        <f>IF($A421="","",IFERROR(INDEX(Company_desc!$B$2:$B$1144,MATCH($A421,Company_desc!$A$2:$A$1144,0)),IFERROR(INDEX(SYZ_static!$Q$2:$Q$806,MATCH($A421,SYZ_static!$A$2:$A$806,0)),"")))</f>
        <v/>
      </c>
      <c r="D421" s="8">
        <f>IF($A421="","",IFERROR(INDEX(SYZ_static!$B$2:$B$806,MATCH($A421,SYZ_static!$A$2:$A$806,0)),""))</f>
        <v/>
      </c>
      <c r="E421" s="8">
        <f>IF($A421="","",_xll.BDP($A421&amp;" Corp","INDUSTRY_SECTOR"))</f>
        <v/>
      </c>
      <c r="F421" s="8">
        <f>IF($A421="","",PROPER(_xll.BDP($A421&amp;" Corp","COUNTRY_FULL_NAME")))</f>
        <v/>
      </c>
      <c r="G421" s="8">
        <f>IF($A421="","",_xll.BDP($A421&amp;" Corp","CRNCY"))</f>
        <v/>
      </c>
      <c r="H421" s="8">
        <f>IF($A421="","",IFERROR(INDEX(SYZ_static!$T$2:$T$806,MATCH($A421,SYZ_static!$A$2:$A$806,0)),_xll.BDP($A421&amp;" Corp","RTG_SP")))</f>
        <v/>
      </c>
      <c r="I421" s="8">
        <f>IF($A421="","",IFERROR(INDEX(SYZ_static!$S$2:$S$806,MATCH($A421,SYZ_static!$A$2:$A$806,0)),""))</f>
        <v/>
      </c>
      <c r="J421" s="8">
        <f>IF($A421="","",_xll.BDP($A421&amp;" Corp","PAYMENT_RANK"))</f>
        <v/>
      </c>
      <c r="K421" s="9">
        <f>IF($A421="","",_xll.BDP($A421&amp;" Corp","CPN"))</f>
        <v/>
      </c>
      <c r="L421" s="10">
        <f>IF($A421="","",_xll.BDP($A421&amp;" Corp","MATURITY"))</f>
        <v/>
      </c>
      <c r="M421" s="11">
        <f>IF($A421="","",IFERROR(_xll.BDP($A421&amp;" Corp","MIN_PIECE")/1000,""))</f>
        <v/>
      </c>
      <c r="N421" s="12">
        <f>IF($A421="","",_xll.BDP($A421&amp;" Corp","PX_LAST"))</f>
        <v/>
      </c>
      <c r="O421" s="12">
        <f>IF($A421="","",_xll.BDP($A421&amp;" Corp","YAS_BOND_YLD","YAS_YLD_FLAG=15"))</f>
        <v/>
      </c>
      <c r="P421" s="12">
        <f>IF($A421="","",_xll.BDP($A421&amp;" Corp","YAS_MOD_DUR"))</f>
        <v/>
      </c>
      <c r="Q421" s="13">
        <f>IF($A421="","",_xll.BDP($A421&amp;" Corp","YAS_OAS_SPRD"))</f>
        <v/>
      </c>
      <c r="R421" s="13">
        <f>IF($A421="","",_xll.BDP($A421&amp;" Corp","YAS_OAS_SPRD","SETTLE_DT",$B$2))</f>
        <v/>
      </c>
      <c r="S421" s="14">
        <f>IF($A421="","",IF(OR(NOT(ISNUMBER($Q421)),NOT(ISNUMBER($R421))),"",$Q421-$R421))</f>
        <v/>
      </c>
      <c r="T421" s="12">
        <f>IF($A421="","",_xll.BDP($A421&amp;" Corp","YAS_BOND_YLD","YAS_YLD_FLAG=15","SETTLE_DT",$B$2))</f>
        <v/>
      </c>
      <c r="U421" s="15">
        <f>IF($A421="","",IF(OR(NOT(ISNUMBER($O421)),NOT(ISNUMBER($T421))),"",$O421-$T421))</f>
        <v/>
      </c>
      <c r="V421" s="13">
        <f>IF(NOT(ISNUMBER($S421)),"",COUNTIFS($G$7:$G$850,$G421,$S$7:$S$850,"&gt;"&amp;$S421)+COUNTIFS($G$7:$G421,$G421,$S$7:$S421,$S421))</f>
        <v/>
      </c>
      <c r="W421" s="13">
        <f>IF(NOT(ISNUMBER($S421)),"",COUNTIFS($G$7:$G$850,$G421,$S$7:$S$850,"&lt;"&amp;$S421)+COUNTIFS($G$7:$G421,$G421,$S$7:$S421,$S421))</f>
        <v/>
      </c>
      <c r="X421" s="8">
        <f>IF($V421="","",$G421&amp;"|"&amp;$V421)</f>
        <v/>
      </c>
      <c r="Y421" s="8">
        <f>IF($W421="","",$G421&amp;"|"&amp;$W421)</f>
        <v/>
      </c>
    </row>
    <row r="422">
      <c r="A422" s="16" t="inlineStr">
        <is>
          <t>XS2577396430</t>
        </is>
      </c>
      <c r="B422" s="17">
        <f>IF($A422="","",PROPER(_xll.BDP($A422&amp;" Corp","NAME")))</f>
        <v/>
      </c>
      <c r="C422" s="17">
        <f>IF($A422="","",IFERROR(INDEX(Company_desc!$B$2:$B$1144,MATCH($A422,Company_desc!$A$2:$A$1144,0)),IFERROR(INDEX(SYZ_static!$Q$2:$Q$806,MATCH($A422,SYZ_static!$A$2:$A$806,0)),"")))</f>
        <v/>
      </c>
      <c r="D422" s="17">
        <f>IF($A422="","",IFERROR(INDEX(SYZ_static!$B$2:$B$806,MATCH($A422,SYZ_static!$A$2:$A$806,0)),""))</f>
        <v/>
      </c>
      <c r="E422" s="17">
        <f>IF($A422="","",_xll.BDP($A422&amp;" Corp","INDUSTRY_SECTOR"))</f>
        <v/>
      </c>
      <c r="F422" s="17">
        <f>IF($A422="","",PROPER(_xll.BDP($A422&amp;" Corp","COUNTRY_FULL_NAME")))</f>
        <v/>
      </c>
      <c r="G422" s="17">
        <f>IF($A422="","",_xll.BDP($A422&amp;" Corp","CRNCY"))</f>
        <v/>
      </c>
      <c r="H422" s="17">
        <f>IF($A422="","",IFERROR(INDEX(SYZ_static!$T$2:$T$806,MATCH($A422,SYZ_static!$A$2:$A$806,0)),_xll.BDP($A422&amp;" Corp","RTG_SP")))</f>
        <v/>
      </c>
      <c r="I422" s="17">
        <f>IF($A422="","",IFERROR(INDEX(SYZ_static!$S$2:$S$806,MATCH($A422,SYZ_static!$A$2:$A$806,0)),""))</f>
        <v/>
      </c>
      <c r="J422" s="17">
        <f>IF($A422="","",_xll.BDP($A422&amp;" Corp","PAYMENT_RANK"))</f>
        <v/>
      </c>
      <c r="K422" s="18">
        <f>IF($A422="","",_xll.BDP($A422&amp;" Corp","CPN"))</f>
        <v/>
      </c>
      <c r="L422" s="19">
        <f>IF($A422="","",_xll.BDP($A422&amp;" Corp","MATURITY"))</f>
        <v/>
      </c>
      <c r="M422" s="20">
        <f>IF($A422="","",IFERROR(_xll.BDP($A422&amp;" Corp","MIN_PIECE")/1000,""))</f>
        <v/>
      </c>
      <c r="N422" s="21">
        <f>IF($A422="","",_xll.BDP($A422&amp;" Corp","PX_LAST"))</f>
        <v/>
      </c>
      <c r="O422" s="21">
        <f>IF($A422="","",_xll.BDP($A422&amp;" Corp","YAS_BOND_YLD","YAS_YLD_FLAG=15"))</f>
        <v/>
      </c>
      <c r="P422" s="21">
        <f>IF($A422="","",_xll.BDP($A422&amp;" Corp","YAS_MOD_DUR"))</f>
        <v/>
      </c>
      <c r="Q422" s="22">
        <f>IF($A422="","",_xll.BDP($A422&amp;" Corp","YAS_OAS_SPRD"))</f>
        <v/>
      </c>
      <c r="R422" s="22">
        <f>IF($A422="","",_xll.BDP($A422&amp;" Corp","YAS_OAS_SPRD","SETTLE_DT",$B$2))</f>
        <v/>
      </c>
      <c r="S422" s="23">
        <f>IF($A422="","",IF(OR(NOT(ISNUMBER($Q422)),NOT(ISNUMBER($R422))),"",$Q422-$R422))</f>
        <v/>
      </c>
      <c r="T422" s="21">
        <f>IF($A422="","",_xll.BDP($A422&amp;" Corp","YAS_BOND_YLD","YAS_YLD_FLAG=15","SETTLE_DT",$B$2))</f>
        <v/>
      </c>
      <c r="U422" s="24">
        <f>IF($A422="","",IF(OR(NOT(ISNUMBER($O422)),NOT(ISNUMBER($T422))),"",$O422-$T422))</f>
        <v/>
      </c>
      <c r="V422" s="22">
        <f>IF(NOT(ISNUMBER($S422)),"",COUNTIFS($G$7:$G$850,$G422,$S$7:$S$850,"&gt;"&amp;$S422)+COUNTIFS($G$7:$G422,$G422,$S$7:$S422,$S422))</f>
        <v/>
      </c>
      <c r="W422" s="22">
        <f>IF(NOT(ISNUMBER($S422)),"",COUNTIFS($G$7:$G$850,$G422,$S$7:$S$850,"&lt;"&amp;$S422)+COUNTIFS($G$7:$G422,$G422,$S$7:$S422,$S422))</f>
        <v/>
      </c>
      <c r="X422" s="17">
        <f>IF($V422="","",$G422&amp;"|"&amp;$V422)</f>
        <v/>
      </c>
      <c r="Y422" s="17">
        <f>IF($W422="","",$G422&amp;"|"&amp;$W422)</f>
        <v/>
      </c>
    </row>
    <row r="423">
      <c r="A423" s="7" t="inlineStr">
        <is>
          <t>XS2892967949</t>
        </is>
      </c>
      <c r="B423" s="8">
        <f>IF($A423="","",PROPER(_xll.BDP($A423&amp;" Corp","NAME")))</f>
        <v/>
      </c>
      <c r="C423" s="8">
        <f>IF($A423="","",IFERROR(INDEX(Company_desc!$B$2:$B$1144,MATCH($A423,Company_desc!$A$2:$A$1144,0)),IFERROR(INDEX(SYZ_static!$Q$2:$Q$806,MATCH($A423,SYZ_static!$A$2:$A$806,0)),"")))</f>
        <v/>
      </c>
      <c r="D423" s="8">
        <f>IF($A423="","",IFERROR(INDEX(SYZ_static!$B$2:$B$806,MATCH($A423,SYZ_static!$A$2:$A$806,0)),""))</f>
        <v/>
      </c>
      <c r="E423" s="8">
        <f>IF($A423="","",_xll.BDP($A423&amp;" Corp","INDUSTRY_SECTOR"))</f>
        <v/>
      </c>
      <c r="F423" s="8">
        <f>IF($A423="","",PROPER(_xll.BDP($A423&amp;" Corp","COUNTRY_FULL_NAME")))</f>
        <v/>
      </c>
      <c r="G423" s="8">
        <f>IF($A423="","",_xll.BDP($A423&amp;" Corp","CRNCY"))</f>
        <v/>
      </c>
      <c r="H423" s="8">
        <f>IF($A423="","",IFERROR(INDEX(SYZ_static!$T$2:$T$806,MATCH($A423,SYZ_static!$A$2:$A$806,0)),_xll.BDP($A423&amp;" Corp","RTG_SP")))</f>
        <v/>
      </c>
      <c r="I423" s="8">
        <f>IF($A423="","",IFERROR(INDEX(SYZ_static!$S$2:$S$806,MATCH($A423,SYZ_static!$A$2:$A$806,0)),""))</f>
        <v/>
      </c>
      <c r="J423" s="8">
        <f>IF($A423="","",_xll.BDP($A423&amp;" Corp","PAYMENT_RANK"))</f>
        <v/>
      </c>
      <c r="K423" s="9">
        <f>IF($A423="","",_xll.BDP($A423&amp;" Corp","CPN"))</f>
        <v/>
      </c>
      <c r="L423" s="10">
        <f>IF($A423="","",_xll.BDP($A423&amp;" Corp","MATURITY"))</f>
        <v/>
      </c>
      <c r="M423" s="11">
        <f>IF($A423="","",IFERROR(_xll.BDP($A423&amp;" Corp","MIN_PIECE")/1000,""))</f>
        <v/>
      </c>
      <c r="N423" s="12">
        <f>IF($A423="","",_xll.BDP($A423&amp;" Corp","PX_LAST"))</f>
        <v/>
      </c>
      <c r="O423" s="12">
        <f>IF($A423="","",_xll.BDP($A423&amp;" Corp","YAS_BOND_YLD","YAS_YLD_FLAG=15"))</f>
        <v/>
      </c>
      <c r="P423" s="12">
        <f>IF($A423="","",_xll.BDP($A423&amp;" Corp","YAS_MOD_DUR"))</f>
        <v/>
      </c>
      <c r="Q423" s="13">
        <f>IF($A423="","",_xll.BDP($A423&amp;" Corp","YAS_OAS_SPRD"))</f>
        <v/>
      </c>
      <c r="R423" s="13">
        <f>IF($A423="","",_xll.BDP($A423&amp;" Corp","YAS_OAS_SPRD","SETTLE_DT",$B$2))</f>
        <v/>
      </c>
      <c r="S423" s="14">
        <f>IF($A423="","",IF(OR(NOT(ISNUMBER($Q423)),NOT(ISNUMBER($R423))),"",$Q423-$R423))</f>
        <v/>
      </c>
      <c r="T423" s="12">
        <f>IF($A423="","",_xll.BDP($A423&amp;" Corp","YAS_BOND_YLD","YAS_YLD_FLAG=15","SETTLE_DT",$B$2))</f>
        <v/>
      </c>
      <c r="U423" s="15">
        <f>IF($A423="","",IF(OR(NOT(ISNUMBER($O423)),NOT(ISNUMBER($T423))),"",$O423-$T423))</f>
        <v/>
      </c>
      <c r="V423" s="13">
        <f>IF(NOT(ISNUMBER($S423)),"",COUNTIFS($G$7:$G$850,$G423,$S$7:$S$850,"&gt;"&amp;$S423)+COUNTIFS($G$7:$G423,$G423,$S$7:$S423,$S423))</f>
        <v/>
      </c>
      <c r="W423" s="13">
        <f>IF(NOT(ISNUMBER($S423)),"",COUNTIFS($G$7:$G$850,$G423,$S$7:$S$850,"&lt;"&amp;$S423)+COUNTIFS($G$7:$G423,$G423,$S$7:$S423,$S423))</f>
        <v/>
      </c>
      <c r="X423" s="8">
        <f>IF($V423="","",$G423&amp;"|"&amp;$V423)</f>
        <v/>
      </c>
      <c r="Y423" s="8">
        <f>IF($W423="","",$G423&amp;"|"&amp;$W423)</f>
        <v/>
      </c>
    </row>
    <row r="424">
      <c r="A424" s="16" t="inlineStr">
        <is>
          <t>XS2574220971</t>
        </is>
      </c>
      <c r="B424" s="17">
        <f>IF($A424="","",PROPER(_xll.BDP($A424&amp;" Corp","NAME")))</f>
        <v/>
      </c>
      <c r="C424" s="17">
        <f>IF($A424="","",IFERROR(INDEX(Company_desc!$B$2:$B$1144,MATCH($A424,Company_desc!$A$2:$A$1144,0)),IFERROR(INDEX(SYZ_static!$Q$2:$Q$806,MATCH($A424,SYZ_static!$A$2:$A$806,0)),"")))</f>
        <v/>
      </c>
      <c r="D424" s="17">
        <f>IF($A424="","",IFERROR(INDEX(SYZ_static!$B$2:$B$806,MATCH($A424,SYZ_static!$A$2:$A$806,0)),""))</f>
        <v/>
      </c>
      <c r="E424" s="17">
        <f>IF($A424="","",_xll.BDP($A424&amp;" Corp","INDUSTRY_SECTOR"))</f>
        <v/>
      </c>
      <c r="F424" s="17">
        <f>IF($A424="","",PROPER(_xll.BDP($A424&amp;" Corp","COUNTRY_FULL_NAME")))</f>
        <v/>
      </c>
      <c r="G424" s="17">
        <f>IF($A424="","",_xll.BDP($A424&amp;" Corp","CRNCY"))</f>
        <v/>
      </c>
      <c r="H424" s="17">
        <f>IF($A424="","",IFERROR(INDEX(SYZ_static!$T$2:$T$806,MATCH($A424,SYZ_static!$A$2:$A$806,0)),_xll.BDP($A424&amp;" Corp","RTG_SP")))</f>
        <v/>
      </c>
      <c r="I424" s="17">
        <f>IF($A424="","",IFERROR(INDEX(SYZ_static!$S$2:$S$806,MATCH($A424,SYZ_static!$A$2:$A$806,0)),""))</f>
        <v/>
      </c>
      <c r="J424" s="17">
        <f>IF($A424="","",_xll.BDP($A424&amp;" Corp","PAYMENT_RANK"))</f>
        <v/>
      </c>
      <c r="K424" s="18">
        <f>IF($A424="","",_xll.BDP($A424&amp;" Corp","CPN"))</f>
        <v/>
      </c>
      <c r="L424" s="19">
        <f>IF($A424="","",_xll.BDP($A424&amp;" Corp","MATURITY"))</f>
        <v/>
      </c>
      <c r="M424" s="20">
        <f>IF($A424="","",IFERROR(_xll.BDP($A424&amp;" Corp","MIN_PIECE")/1000,""))</f>
        <v/>
      </c>
      <c r="N424" s="21">
        <f>IF($A424="","",_xll.BDP($A424&amp;" Corp","PX_LAST"))</f>
        <v/>
      </c>
      <c r="O424" s="21">
        <f>IF($A424="","",_xll.BDP($A424&amp;" Corp","YAS_BOND_YLD","YAS_YLD_FLAG=15"))</f>
        <v/>
      </c>
      <c r="P424" s="21">
        <f>IF($A424="","",_xll.BDP($A424&amp;" Corp","YAS_MOD_DUR"))</f>
        <v/>
      </c>
      <c r="Q424" s="22">
        <f>IF($A424="","",_xll.BDP($A424&amp;" Corp","YAS_OAS_SPRD"))</f>
        <v/>
      </c>
      <c r="R424" s="22">
        <f>IF($A424="","",_xll.BDP($A424&amp;" Corp","YAS_OAS_SPRD","SETTLE_DT",$B$2))</f>
        <v/>
      </c>
      <c r="S424" s="23">
        <f>IF($A424="","",IF(OR(NOT(ISNUMBER($Q424)),NOT(ISNUMBER($R424))),"",$Q424-$R424))</f>
        <v/>
      </c>
      <c r="T424" s="21">
        <f>IF($A424="","",_xll.BDP($A424&amp;" Corp","YAS_BOND_YLD","YAS_YLD_FLAG=15","SETTLE_DT",$B$2))</f>
        <v/>
      </c>
      <c r="U424" s="24">
        <f>IF($A424="","",IF(OR(NOT(ISNUMBER($O424)),NOT(ISNUMBER($T424))),"",$O424-$T424))</f>
        <v/>
      </c>
      <c r="V424" s="22">
        <f>IF(NOT(ISNUMBER($S424)),"",COUNTIFS($G$7:$G$850,$G424,$S$7:$S$850,"&gt;"&amp;$S424)+COUNTIFS($G$7:$G424,$G424,$S$7:$S424,$S424))</f>
        <v/>
      </c>
      <c r="W424" s="22">
        <f>IF(NOT(ISNUMBER($S424)),"",COUNTIFS($G$7:$G$850,$G424,$S$7:$S$850,"&lt;"&amp;$S424)+COUNTIFS($G$7:$G424,$G424,$S$7:$S424,$S424))</f>
        <v/>
      </c>
      <c r="X424" s="17">
        <f>IF($V424="","",$G424&amp;"|"&amp;$V424)</f>
        <v/>
      </c>
      <c r="Y424" s="17">
        <f>IF($W424="","",$G424&amp;"|"&amp;$W424)</f>
        <v/>
      </c>
    </row>
    <row r="425">
      <c r="A425" s="7" t="inlineStr">
        <is>
          <t>USG21776AA08</t>
        </is>
      </c>
      <c r="B425" s="8">
        <f>IF($A425="","",PROPER(_xll.BDP($A425&amp;" Corp","NAME")))</f>
        <v/>
      </c>
      <c r="C425" s="8">
        <f>IF($A425="","",IFERROR(INDEX(Company_desc!$B$2:$B$1144,MATCH($A425,Company_desc!$A$2:$A$1144,0)),IFERROR(INDEX(SYZ_static!$Q$2:$Q$806,MATCH($A425,SYZ_static!$A$2:$A$806,0)),"")))</f>
        <v/>
      </c>
      <c r="D425" s="8">
        <f>IF($A425="","",IFERROR(INDEX(SYZ_static!$B$2:$B$806,MATCH($A425,SYZ_static!$A$2:$A$806,0)),""))</f>
        <v/>
      </c>
      <c r="E425" s="8">
        <f>IF($A425="","",_xll.BDP($A425&amp;" Corp","INDUSTRY_SECTOR"))</f>
        <v/>
      </c>
      <c r="F425" s="8">
        <f>IF($A425="","",PROPER(_xll.BDP($A425&amp;" Corp","COUNTRY_FULL_NAME")))</f>
        <v/>
      </c>
      <c r="G425" s="8">
        <f>IF($A425="","",_xll.BDP($A425&amp;" Corp","CRNCY"))</f>
        <v/>
      </c>
      <c r="H425" s="8">
        <f>IF($A425="","",IFERROR(INDEX(SYZ_static!$T$2:$T$806,MATCH($A425,SYZ_static!$A$2:$A$806,0)),_xll.BDP($A425&amp;" Corp","RTG_SP")))</f>
        <v/>
      </c>
      <c r="I425" s="8">
        <f>IF($A425="","",IFERROR(INDEX(SYZ_static!$S$2:$S$806,MATCH($A425,SYZ_static!$A$2:$A$806,0)),""))</f>
        <v/>
      </c>
      <c r="J425" s="8">
        <f>IF($A425="","",_xll.BDP($A425&amp;" Corp","PAYMENT_RANK"))</f>
        <v/>
      </c>
      <c r="K425" s="9">
        <f>IF($A425="","",_xll.BDP($A425&amp;" Corp","CPN"))</f>
        <v/>
      </c>
      <c r="L425" s="10">
        <f>IF($A425="","",_xll.BDP($A425&amp;" Corp","MATURITY"))</f>
        <v/>
      </c>
      <c r="M425" s="11">
        <f>IF($A425="","",IFERROR(_xll.BDP($A425&amp;" Corp","MIN_PIECE")/1000,""))</f>
        <v/>
      </c>
      <c r="N425" s="12">
        <f>IF($A425="","",_xll.BDP($A425&amp;" Corp","PX_LAST"))</f>
        <v/>
      </c>
      <c r="O425" s="12">
        <f>IF($A425="","",_xll.BDP($A425&amp;" Corp","YAS_BOND_YLD","YAS_YLD_FLAG=15"))</f>
        <v/>
      </c>
      <c r="P425" s="12">
        <f>IF($A425="","",_xll.BDP($A425&amp;" Corp","YAS_MOD_DUR"))</f>
        <v/>
      </c>
      <c r="Q425" s="13">
        <f>IF($A425="","",_xll.BDP($A425&amp;" Corp","YAS_OAS_SPRD"))</f>
        <v/>
      </c>
      <c r="R425" s="13">
        <f>IF($A425="","",_xll.BDP($A425&amp;" Corp","YAS_OAS_SPRD","SETTLE_DT",$B$2))</f>
        <v/>
      </c>
      <c r="S425" s="14">
        <f>IF($A425="","",IF(OR(NOT(ISNUMBER($Q425)),NOT(ISNUMBER($R425))),"",$Q425-$R425))</f>
        <v/>
      </c>
      <c r="T425" s="12">
        <f>IF($A425="","",_xll.BDP($A425&amp;" Corp","YAS_BOND_YLD","YAS_YLD_FLAG=15","SETTLE_DT",$B$2))</f>
        <v/>
      </c>
      <c r="U425" s="15">
        <f>IF($A425="","",IF(OR(NOT(ISNUMBER($O425)),NOT(ISNUMBER($T425))),"",$O425-$T425))</f>
        <v/>
      </c>
      <c r="V425" s="13">
        <f>IF(NOT(ISNUMBER($S425)),"",COUNTIFS($G$7:$G$850,$G425,$S$7:$S$850,"&gt;"&amp;$S425)+COUNTIFS($G$7:$G425,$G425,$S$7:$S425,$S425))</f>
        <v/>
      </c>
      <c r="W425" s="13">
        <f>IF(NOT(ISNUMBER($S425)),"",COUNTIFS($G$7:$G$850,$G425,$S$7:$S$850,"&lt;"&amp;$S425)+COUNTIFS($G$7:$G425,$G425,$S$7:$S425,$S425))</f>
        <v/>
      </c>
      <c r="X425" s="8">
        <f>IF($V425="","",$G425&amp;"|"&amp;$V425)</f>
        <v/>
      </c>
      <c r="Y425" s="8">
        <f>IF($W425="","",$G425&amp;"|"&amp;$W425)</f>
        <v/>
      </c>
    </row>
    <row r="426">
      <c r="A426" s="16" t="inlineStr">
        <is>
          <t>FR001400G3Y1</t>
        </is>
      </c>
      <c r="B426" s="17">
        <f>IF($A426="","",PROPER(_xll.BDP($A426&amp;" Corp","NAME")))</f>
        <v/>
      </c>
      <c r="C426" s="17">
        <f>IF($A426="","",IFERROR(INDEX(Company_desc!$B$2:$B$1144,MATCH($A426,Company_desc!$A$2:$A$1144,0)),IFERROR(INDEX(SYZ_static!$Q$2:$Q$806,MATCH($A426,SYZ_static!$A$2:$A$806,0)),"")))</f>
        <v/>
      </c>
      <c r="D426" s="17">
        <f>IF($A426="","",IFERROR(INDEX(SYZ_static!$B$2:$B$806,MATCH($A426,SYZ_static!$A$2:$A$806,0)),""))</f>
        <v/>
      </c>
      <c r="E426" s="17">
        <f>IF($A426="","",_xll.BDP($A426&amp;" Corp","INDUSTRY_SECTOR"))</f>
        <v/>
      </c>
      <c r="F426" s="17">
        <f>IF($A426="","",PROPER(_xll.BDP($A426&amp;" Corp","COUNTRY_FULL_NAME")))</f>
        <v/>
      </c>
      <c r="G426" s="17">
        <f>IF($A426="","",_xll.BDP($A426&amp;" Corp","CRNCY"))</f>
        <v/>
      </c>
      <c r="H426" s="17">
        <f>IF($A426="","",IFERROR(INDEX(SYZ_static!$T$2:$T$806,MATCH($A426,SYZ_static!$A$2:$A$806,0)),_xll.BDP($A426&amp;" Corp","RTG_SP")))</f>
        <v/>
      </c>
      <c r="I426" s="17">
        <f>IF($A426="","",IFERROR(INDEX(SYZ_static!$S$2:$S$806,MATCH($A426,SYZ_static!$A$2:$A$806,0)),""))</f>
        <v/>
      </c>
      <c r="J426" s="17">
        <f>IF($A426="","",_xll.BDP($A426&amp;" Corp","PAYMENT_RANK"))</f>
        <v/>
      </c>
      <c r="K426" s="18">
        <f>IF($A426="","",_xll.BDP($A426&amp;" Corp","CPN"))</f>
        <v/>
      </c>
      <c r="L426" s="19">
        <f>IF($A426="","",_xll.BDP($A426&amp;" Corp","MATURITY"))</f>
        <v/>
      </c>
      <c r="M426" s="20">
        <f>IF($A426="","",IFERROR(_xll.BDP($A426&amp;" Corp","MIN_PIECE")/1000,""))</f>
        <v/>
      </c>
      <c r="N426" s="21">
        <f>IF($A426="","",_xll.BDP($A426&amp;" Corp","PX_LAST"))</f>
        <v/>
      </c>
      <c r="O426" s="21">
        <f>IF($A426="","",_xll.BDP($A426&amp;" Corp","YAS_BOND_YLD","YAS_YLD_FLAG=15"))</f>
        <v/>
      </c>
      <c r="P426" s="21">
        <f>IF($A426="","",_xll.BDP($A426&amp;" Corp","YAS_MOD_DUR"))</f>
        <v/>
      </c>
      <c r="Q426" s="22">
        <f>IF($A426="","",_xll.BDP($A426&amp;" Corp","YAS_OAS_SPRD"))</f>
        <v/>
      </c>
      <c r="R426" s="22">
        <f>IF($A426="","",_xll.BDP($A426&amp;" Corp","YAS_OAS_SPRD","SETTLE_DT",$B$2))</f>
        <v/>
      </c>
      <c r="S426" s="23">
        <f>IF($A426="","",IF(OR(NOT(ISNUMBER($Q426)),NOT(ISNUMBER($R426))),"",$Q426-$R426))</f>
        <v/>
      </c>
      <c r="T426" s="21">
        <f>IF($A426="","",_xll.BDP($A426&amp;" Corp","YAS_BOND_YLD","YAS_YLD_FLAG=15","SETTLE_DT",$B$2))</f>
        <v/>
      </c>
      <c r="U426" s="24">
        <f>IF($A426="","",IF(OR(NOT(ISNUMBER($O426)),NOT(ISNUMBER($T426))),"",$O426-$T426))</f>
        <v/>
      </c>
      <c r="V426" s="22">
        <f>IF(NOT(ISNUMBER($S426)),"",COUNTIFS($G$7:$G$850,$G426,$S$7:$S$850,"&gt;"&amp;$S426)+COUNTIFS($G$7:$G426,$G426,$S$7:$S426,$S426))</f>
        <v/>
      </c>
      <c r="W426" s="22">
        <f>IF(NOT(ISNUMBER($S426)),"",COUNTIFS($G$7:$G$850,$G426,$S$7:$S$850,"&lt;"&amp;$S426)+COUNTIFS($G$7:$G426,$G426,$S$7:$S426,$S426))</f>
        <v/>
      </c>
      <c r="X426" s="17">
        <f>IF($V426="","",$G426&amp;"|"&amp;$V426)</f>
        <v/>
      </c>
      <c r="Y426" s="17">
        <f>IF($W426="","",$G426&amp;"|"&amp;$W426)</f>
        <v/>
      </c>
    </row>
    <row r="427">
      <c r="A427" s="7" t="inlineStr">
        <is>
          <t>XS1664644983</t>
        </is>
      </c>
      <c r="B427" s="8">
        <f>IF($A427="","",PROPER(_xll.BDP($A427&amp;" Corp","NAME")))</f>
        <v/>
      </c>
      <c r="C427" s="8">
        <f>IF($A427="","",IFERROR(INDEX(Company_desc!$B$2:$B$1144,MATCH($A427,Company_desc!$A$2:$A$1144,0)),IFERROR(INDEX(SYZ_static!$Q$2:$Q$806,MATCH($A427,SYZ_static!$A$2:$A$806,0)),"")))</f>
        <v/>
      </c>
      <c r="D427" s="8">
        <f>IF($A427="","",IFERROR(INDEX(SYZ_static!$B$2:$B$806,MATCH($A427,SYZ_static!$A$2:$A$806,0)),""))</f>
        <v/>
      </c>
      <c r="E427" s="8">
        <f>IF($A427="","",_xll.BDP($A427&amp;" Corp","INDUSTRY_SECTOR"))</f>
        <v/>
      </c>
      <c r="F427" s="8">
        <f>IF($A427="","",PROPER(_xll.BDP($A427&amp;" Corp","COUNTRY_FULL_NAME")))</f>
        <v/>
      </c>
      <c r="G427" s="8">
        <f>IF($A427="","",_xll.BDP($A427&amp;" Corp","CRNCY"))</f>
        <v/>
      </c>
      <c r="H427" s="8">
        <f>IF($A427="","",IFERROR(INDEX(SYZ_static!$T$2:$T$806,MATCH($A427,SYZ_static!$A$2:$A$806,0)),_xll.BDP($A427&amp;" Corp","RTG_SP")))</f>
        <v/>
      </c>
      <c r="I427" s="8">
        <f>IF($A427="","",IFERROR(INDEX(SYZ_static!$S$2:$S$806,MATCH($A427,SYZ_static!$A$2:$A$806,0)),""))</f>
        <v/>
      </c>
      <c r="J427" s="8">
        <f>IF($A427="","",_xll.BDP($A427&amp;" Corp","PAYMENT_RANK"))</f>
        <v/>
      </c>
      <c r="K427" s="9">
        <f>IF($A427="","",_xll.BDP($A427&amp;" Corp","CPN"))</f>
        <v/>
      </c>
      <c r="L427" s="10">
        <f>IF($A427="","",_xll.BDP($A427&amp;" Corp","MATURITY"))</f>
        <v/>
      </c>
      <c r="M427" s="11">
        <f>IF($A427="","",IFERROR(_xll.BDP($A427&amp;" Corp","MIN_PIECE")/1000,""))</f>
        <v/>
      </c>
      <c r="N427" s="12">
        <f>IF($A427="","",_xll.BDP($A427&amp;" Corp","PX_LAST"))</f>
        <v/>
      </c>
      <c r="O427" s="12">
        <f>IF($A427="","",_xll.BDP($A427&amp;" Corp","YAS_BOND_YLD","YAS_YLD_FLAG=15"))</f>
        <v/>
      </c>
      <c r="P427" s="12">
        <f>IF($A427="","",_xll.BDP($A427&amp;" Corp","YAS_MOD_DUR"))</f>
        <v/>
      </c>
      <c r="Q427" s="13">
        <f>IF($A427="","",_xll.BDP($A427&amp;" Corp","YAS_OAS_SPRD"))</f>
        <v/>
      </c>
      <c r="R427" s="13">
        <f>IF($A427="","",_xll.BDP($A427&amp;" Corp","YAS_OAS_SPRD","SETTLE_DT",$B$2))</f>
        <v/>
      </c>
      <c r="S427" s="14">
        <f>IF($A427="","",IF(OR(NOT(ISNUMBER($Q427)),NOT(ISNUMBER($R427))),"",$Q427-$R427))</f>
        <v/>
      </c>
      <c r="T427" s="12">
        <f>IF($A427="","",_xll.BDP($A427&amp;" Corp","YAS_BOND_YLD","YAS_YLD_FLAG=15","SETTLE_DT",$B$2))</f>
        <v/>
      </c>
      <c r="U427" s="15">
        <f>IF($A427="","",IF(OR(NOT(ISNUMBER($O427)),NOT(ISNUMBER($T427))),"",$O427-$T427))</f>
        <v/>
      </c>
      <c r="V427" s="13">
        <f>IF(NOT(ISNUMBER($S427)),"",COUNTIFS($G$7:$G$850,$G427,$S$7:$S$850,"&gt;"&amp;$S427)+COUNTIFS($G$7:$G427,$G427,$S$7:$S427,$S427))</f>
        <v/>
      </c>
      <c r="W427" s="13">
        <f>IF(NOT(ISNUMBER($S427)),"",COUNTIFS($G$7:$G$850,$G427,$S$7:$S$850,"&lt;"&amp;$S427)+COUNTIFS($G$7:$G427,$G427,$S$7:$S427,$S427))</f>
        <v/>
      </c>
      <c r="X427" s="8">
        <f>IF($V427="","",$G427&amp;"|"&amp;$V427)</f>
        <v/>
      </c>
      <c r="Y427" s="8">
        <f>IF($W427="","",$G427&amp;"|"&amp;$W427)</f>
        <v/>
      </c>
    </row>
    <row r="428">
      <c r="A428" s="16" t="inlineStr">
        <is>
          <t>USY77108AA93</t>
        </is>
      </c>
      <c r="B428" s="17">
        <f>IF($A428="","",PROPER(_xll.BDP($A428&amp;" Corp","NAME")))</f>
        <v/>
      </c>
      <c r="C428" s="17">
        <f>IF($A428="","",IFERROR(INDEX(Company_desc!$B$2:$B$1144,MATCH($A428,Company_desc!$A$2:$A$1144,0)),IFERROR(INDEX(SYZ_static!$Q$2:$Q$806,MATCH($A428,SYZ_static!$A$2:$A$806,0)),"")))</f>
        <v/>
      </c>
      <c r="D428" s="17">
        <f>IF($A428="","",IFERROR(INDEX(SYZ_static!$B$2:$B$806,MATCH($A428,SYZ_static!$A$2:$A$806,0)),""))</f>
        <v/>
      </c>
      <c r="E428" s="17">
        <f>IF($A428="","",_xll.BDP($A428&amp;" Corp","INDUSTRY_SECTOR"))</f>
        <v/>
      </c>
      <c r="F428" s="17">
        <f>IF($A428="","",PROPER(_xll.BDP($A428&amp;" Corp","COUNTRY_FULL_NAME")))</f>
        <v/>
      </c>
      <c r="G428" s="17">
        <f>IF($A428="","",_xll.BDP($A428&amp;" Corp","CRNCY"))</f>
        <v/>
      </c>
      <c r="H428" s="17">
        <f>IF($A428="","",IFERROR(INDEX(SYZ_static!$T$2:$T$806,MATCH($A428,SYZ_static!$A$2:$A$806,0)),_xll.BDP($A428&amp;" Corp","RTG_SP")))</f>
        <v/>
      </c>
      <c r="I428" s="17">
        <f>IF($A428="","",IFERROR(INDEX(SYZ_static!$S$2:$S$806,MATCH($A428,SYZ_static!$A$2:$A$806,0)),""))</f>
        <v/>
      </c>
      <c r="J428" s="17">
        <f>IF($A428="","",_xll.BDP($A428&amp;" Corp","PAYMENT_RANK"))</f>
        <v/>
      </c>
      <c r="K428" s="18">
        <f>IF($A428="","",_xll.BDP($A428&amp;" Corp","CPN"))</f>
        <v/>
      </c>
      <c r="L428" s="19">
        <f>IF($A428="","",_xll.BDP($A428&amp;" Corp","MATURITY"))</f>
        <v/>
      </c>
      <c r="M428" s="20">
        <f>IF($A428="","",IFERROR(_xll.BDP($A428&amp;" Corp","MIN_PIECE")/1000,""))</f>
        <v/>
      </c>
      <c r="N428" s="21">
        <f>IF($A428="","",_xll.BDP($A428&amp;" Corp","PX_LAST"))</f>
        <v/>
      </c>
      <c r="O428" s="21">
        <f>IF($A428="","",_xll.BDP($A428&amp;" Corp","YAS_BOND_YLD","YAS_YLD_FLAG=15"))</f>
        <v/>
      </c>
      <c r="P428" s="21">
        <f>IF($A428="","",_xll.BDP($A428&amp;" Corp","YAS_MOD_DUR"))</f>
        <v/>
      </c>
      <c r="Q428" s="22">
        <f>IF($A428="","",_xll.BDP($A428&amp;" Corp","YAS_OAS_SPRD"))</f>
        <v/>
      </c>
      <c r="R428" s="22">
        <f>IF($A428="","",_xll.BDP($A428&amp;" Corp","YAS_OAS_SPRD","SETTLE_DT",$B$2))</f>
        <v/>
      </c>
      <c r="S428" s="23">
        <f>IF($A428="","",IF(OR(NOT(ISNUMBER($Q428)),NOT(ISNUMBER($R428))),"",$Q428-$R428))</f>
        <v/>
      </c>
      <c r="T428" s="21">
        <f>IF($A428="","",_xll.BDP($A428&amp;" Corp","YAS_BOND_YLD","YAS_YLD_FLAG=15","SETTLE_DT",$B$2))</f>
        <v/>
      </c>
      <c r="U428" s="24">
        <f>IF($A428="","",IF(OR(NOT(ISNUMBER($O428)),NOT(ISNUMBER($T428))),"",$O428-$T428))</f>
        <v/>
      </c>
      <c r="V428" s="22">
        <f>IF(NOT(ISNUMBER($S428)),"",COUNTIFS($G$7:$G$850,$G428,$S$7:$S$850,"&gt;"&amp;$S428)+COUNTIFS($G$7:$G428,$G428,$S$7:$S428,$S428))</f>
        <v/>
      </c>
      <c r="W428" s="22">
        <f>IF(NOT(ISNUMBER($S428)),"",COUNTIFS($G$7:$G$850,$G428,$S$7:$S$850,"&lt;"&amp;$S428)+COUNTIFS($G$7:$G428,$G428,$S$7:$S428,$S428))</f>
        <v/>
      </c>
      <c r="X428" s="17">
        <f>IF($V428="","",$G428&amp;"|"&amp;$V428)</f>
        <v/>
      </c>
      <c r="Y428" s="17">
        <f>IF($W428="","",$G428&amp;"|"&amp;$W428)</f>
        <v/>
      </c>
    </row>
    <row r="429">
      <c r="A429" s="7" t="inlineStr">
        <is>
          <t>XS0291949120</t>
        </is>
      </c>
      <c r="B429" s="8">
        <f>IF($A429="","",PROPER(_xll.BDP($A429&amp;" Corp","NAME")))</f>
        <v/>
      </c>
      <c r="C429" s="8">
        <f>IF($A429="","",IFERROR(INDEX(Company_desc!$B$2:$B$1144,MATCH($A429,Company_desc!$A$2:$A$1144,0)),IFERROR(INDEX(SYZ_static!$Q$2:$Q$806,MATCH($A429,SYZ_static!$A$2:$A$806,0)),"")))</f>
        <v/>
      </c>
      <c r="D429" s="8">
        <f>IF($A429="","",IFERROR(INDEX(SYZ_static!$B$2:$B$806,MATCH($A429,SYZ_static!$A$2:$A$806,0)),""))</f>
        <v/>
      </c>
      <c r="E429" s="8">
        <f>IF($A429="","",_xll.BDP($A429&amp;" Corp","INDUSTRY_SECTOR"))</f>
        <v/>
      </c>
      <c r="F429" s="8">
        <f>IF($A429="","",PROPER(_xll.BDP($A429&amp;" Corp","COUNTRY_FULL_NAME")))</f>
        <v/>
      </c>
      <c r="G429" s="8">
        <f>IF($A429="","",_xll.BDP($A429&amp;" Corp","CRNCY"))</f>
        <v/>
      </c>
      <c r="H429" s="8">
        <f>IF($A429="","",IFERROR(INDEX(SYZ_static!$T$2:$T$806,MATCH($A429,SYZ_static!$A$2:$A$806,0)),_xll.BDP($A429&amp;" Corp","RTG_SP")))</f>
        <v/>
      </c>
      <c r="I429" s="8">
        <f>IF($A429="","",IFERROR(INDEX(SYZ_static!$S$2:$S$806,MATCH($A429,SYZ_static!$A$2:$A$806,0)),""))</f>
        <v/>
      </c>
      <c r="J429" s="8">
        <f>IF($A429="","",_xll.BDP($A429&amp;" Corp","PAYMENT_RANK"))</f>
        <v/>
      </c>
      <c r="K429" s="9">
        <f>IF($A429="","",_xll.BDP($A429&amp;" Corp","CPN"))</f>
        <v/>
      </c>
      <c r="L429" s="10">
        <f>IF($A429="","",_xll.BDP($A429&amp;" Corp","MATURITY"))</f>
        <v/>
      </c>
      <c r="M429" s="11">
        <f>IF($A429="","",IFERROR(_xll.BDP($A429&amp;" Corp","MIN_PIECE")/1000,""))</f>
        <v/>
      </c>
      <c r="N429" s="12">
        <f>IF($A429="","",_xll.BDP($A429&amp;" Corp","PX_LAST"))</f>
        <v/>
      </c>
      <c r="O429" s="12">
        <f>IF($A429="","",_xll.BDP($A429&amp;" Corp","YAS_BOND_YLD","YAS_YLD_FLAG=15"))</f>
        <v/>
      </c>
      <c r="P429" s="12">
        <f>IF($A429="","",_xll.BDP($A429&amp;" Corp","YAS_MOD_DUR"))</f>
        <v/>
      </c>
      <c r="Q429" s="13">
        <f>IF($A429="","",_xll.BDP($A429&amp;" Corp","YAS_OAS_SPRD"))</f>
        <v/>
      </c>
      <c r="R429" s="13">
        <f>IF($A429="","",_xll.BDP($A429&amp;" Corp","YAS_OAS_SPRD","SETTLE_DT",$B$2))</f>
        <v/>
      </c>
      <c r="S429" s="14">
        <f>IF($A429="","",IF(OR(NOT(ISNUMBER($Q429)),NOT(ISNUMBER($R429))),"",$Q429-$R429))</f>
        <v/>
      </c>
      <c r="T429" s="12">
        <f>IF($A429="","",_xll.BDP($A429&amp;" Corp","YAS_BOND_YLD","YAS_YLD_FLAG=15","SETTLE_DT",$B$2))</f>
        <v/>
      </c>
      <c r="U429" s="15">
        <f>IF($A429="","",IF(OR(NOT(ISNUMBER($O429)),NOT(ISNUMBER($T429))),"",$O429-$T429))</f>
        <v/>
      </c>
      <c r="V429" s="13">
        <f>IF(NOT(ISNUMBER($S429)),"",COUNTIFS($G$7:$G$850,$G429,$S$7:$S$850,"&gt;"&amp;$S429)+COUNTIFS($G$7:$G429,$G429,$S$7:$S429,$S429))</f>
        <v/>
      </c>
      <c r="W429" s="13">
        <f>IF(NOT(ISNUMBER($S429)),"",COUNTIFS($G$7:$G$850,$G429,$S$7:$S$850,"&lt;"&amp;$S429)+COUNTIFS($G$7:$G429,$G429,$S$7:$S429,$S429))</f>
        <v/>
      </c>
      <c r="X429" s="8">
        <f>IF($V429="","",$G429&amp;"|"&amp;$V429)</f>
        <v/>
      </c>
      <c r="Y429" s="8">
        <f>IF($W429="","",$G429&amp;"|"&amp;$W429)</f>
        <v/>
      </c>
    </row>
    <row r="430">
      <c r="A430" s="16" t="inlineStr">
        <is>
          <t>CH1154887140</t>
        </is>
      </c>
      <c r="B430" s="17">
        <f>IF($A430="","",PROPER(_xll.BDP($A430&amp;" Corp","NAME")))</f>
        <v/>
      </c>
      <c r="C430" s="17">
        <f>IF($A430="","",IFERROR(INDEX(Company_desc!$B$2:$B$1144,MATCH($A430,Company_desc!$A$2:$A$1144,0)),IFERROR(INDEX(SYZ_static!$Q$2:$Q$806,MATCH($A430,SYZ_static!$A$2:$A$806,0)),"")))</f>
        <v/>
      </c>
      <c r="D430" s="17">
        <f>IF($A430="","",IFERROR(INDEX(SYZ_static!$B$2:$B$806,MATCH($A430,SYZ_static!$A$2:$A$806,0)),""))</f>
        <v/>
      </c>
      <c r="E430" s="17">
        <f>IF($A430="","",_xll.BDP($A430&amp;" Corp","INDUSTRY_SECTOR"))</f>
        <v/>
      </c>
      <c r="F430" s="17">
        <f>IF($A430="","",PROPER(_xll.BDP($A430&amp;" Corp","COUNTRY_FULL_NAME")))</f>
        <v/>
      </c>
      <c r="G430" s="17">
        <f>IF($A430="","",_xll.BDP($A430&amp;" Corp","CRNCY"))</f>
        <v/>
      </c>
      <c r="H430" s="17">
        <f>IF($A430="","",IFERROR(INDEX(SYZ_static!$T$2:$T$806,MATCH($A430,SYZ_static!$A$2:$A$806,0)),_xll.BDP($A430&amp;" Corp","RTG_SP")))</f>
        <v/>
      </c>
      <c r="I430" s="17">
        <f>IF($A430="","",IFERROR(INDEX(SYZ_static!$S$2:$S$806,MATCH($A430,SYZ_static!$A$2:$A$806,0)),""))</f>
        <v/>
      </c>
      <c r="J430" s="17">
        <f>IF($A430="","",_xll.BDP($A430&amp;" Corp","PAYMENT_RANK"))</f>
        <v/>
      </c>
      <c r="K430" s="18">
        <f>IF($A430="","",_xll.BDP($A430&amp;" Corp","CPN"))</f>
        <v/>
      </c>
      <c r="L430" s="19">
        <f>IF($A430="","",_xll.BDP($A430&amp;" Corp","MATURITY"))</f>
        <v/>
      </c>
      <c r="M430" s="20">
        <f>IF($A430="","",IFERROR(_xll.BDP($A430&amp;" Corp","MIN_PIECE")/1000,""))</f>
        <v/>
      </c>
      <c r="N430" s="21">
        <f>IF($A430="","",_xll.BDP($A430&amp;" Corp","PX_LAST"))</f>
        <v/>
      </c>
      <c r="O430" s="21">
        <f>IF($A430="","",_xll.BDP($A430&amp;" Corp","YAS_BOND_YLD","YAS_YLD_FLAG=15"))</f>
        <v/>
      </c>
      <c r="P430" s="21">
        <f>IF($A430="","",_xll.BDP($A430&amp;" Corp","YAS_MOD_DUR"))</f>
        <v/>
      </c>
      <c r="Q430" s="22">
        <f>IF($A430="","",_xll.BDP($A430&amp;" Corp","YAS_OAS_SPRD"))</f>
        <v/>
      </c>
      <c r="R430" s="22">
        <f>IF($A430="","",_xll.BDP($A430&amp;" Corp","YAS_OAS_SPRD","SETTLE_DT",$B$2))</f>
        <v/>
      </c>
      <c r="S430" s="23">
        <f>IF($A430="","",IF(OR(NOT(ISNUMBER($Q430)),NOT(ISNUMBER($R430))),"",$Q430-$R430))</f>
        <v/>
      </c>
      <c r="T430" s="21">
        <f>IF($A430="","",_xll.BDP($A430&amp;" Corp","YAS_BOND_YLD","YAS_YLD_FLAG=15","SETTLE_DT",$B$2))</f>
        <v/>
      </c>
      <c r="U430" s="24">
        <f>IF($A430="","",IF(OR(NOT(ISNUMBER($O430)),NOT(ISNUMBER($T430))),"",$O430-$T430))</f>
        <v/>
      </c>
      <c r="V430" s="22">
        <f>IF(NOT(ISNUMBER($S430)),"",COUNTIFS($G$7:$G$850,$G430,$S$7:$S$850,"&gt;"&amp;$S430)+COUNTIFS($G$7:$G430,$G430,$S$7:$S430,$S430))</f>
        <v/>
      </c>
      <c r="W430" s="22">
        <f>IF(NOT(ISNUMBER($S430)),"",COUNTIFS($G$7:$G$850,$G430,$S$7:$S$850,"&lt;"&amp;$S430)+COUNTIFS($G$7:$G430,$G430,$S$7:$S430,$S430))</f>
        <v/>
      </c>
      <c r="X430" s="17">
        <f>IF($V430="","",$G430&amp;"|"&amp;$V430)</f>
        <v/>
      </c>
      <c r="Y430" s="17">
        <f>IF($W430="","",$G430&amp;"|"&amp;$W430)</f>
        <v/>
      </c>
    </row>
    <row r="431">
      <c r="A431" s="7" t="inlineStr">
        <is>
          <t>XS2626291129</t>
        </is>
      </c>
      <c r="B431" s="8">
        <f>IF($A431="","",PROPER(_xll.BDP($A431&amp;" Corp","NAME")))</f>
        <v/>
      </c>
      <c r="C431" s="8">
        <f>IF($A431="","",IFERROR(INDEX(Company_desc!$B$2:$B$1144,MATCH($A431,Company_desc!$A$2:$A$1144,0)),IFERROR(INDEX(SYZ_static!$Q$2:$Q$806,MATCH($A431,SYZ_static!$A$2:$A$806,0)),"")))</f>
        <v/>
      </c>
      <c r="D431" s="8">
        <f>IF($A431="","",IFERROR(INDEX(SYZ_static!$B$2:$B$806,MATCH($A431,SYZ_static!$A$2:$A$806,0)),""))</f>
        <v/>
      </c>
      <c r="E431" s="8">
        <f>IF($A431="","",_xll.BDP($A431&amp;" Corp","INDUSTRY_SECTOR"))</f>
        <v/>
      </c>
      <c r="F431" s="8">
        <f>IF($A431="","",PROPER(_xll.BDP($A431&amp;" Corp","COUNTRY_FULL_NAME")))</f>
        <v/>
      </c>
      <c r="G431" s="8">
        <f>IF($A431="","",_xll.BDP($A431&amp;" Corp","CRNCY"))</f>
        <v/>
      </c>
      <c r="H431" s="8">
        <f>IF($A431="","",IFERROR(INDEX(SYZ_static!$T$2:$T$806,MATCH($A431,SYZ_static!$A$2:$A$806,0)),_xll.BDP($A431&amp;" Corp","RTG_SP")))</f>
        <v/>
      </c>
      <c r="I431" s="8">
        <f>IF($A431="","",IFERROR(INDEX(SYZ_static!$S$2:$S$806,MATCH($A431,SYZ_static!$A$2:$A$806,0)),""))</f>
        <v/>
      </c>
      <c r="J431" s="8">
        <f>IF($A431="","",_xll.BDP($A431&amp;" Corp","PAYMENT_RANK"))</f>
        <v/>
      </c>
      <c r="K431" s="9">
        <f>IF($A431="","",_xll.BDP($A431&amp;" Corp","CPN"))</f>
        <v/>
      </c>
      <c r="L431" s="10">
        <f>IF($A431="","",_xll.BDP($A431&amp;" Corp","MATURITY"))</f>
        <v/>
      </c>
      <c r="M431" s="11">
        <f>IF($A431="","",IFERROR(_xll.BDP($A431&amp;" Corp","MIN_PIECE")/1000,""))</f>
        <v/>
      </c>
      <c r="N431" s="12">
        <f>IF($A431="","",_xll.BDP($A431&amp;" Corp","PX_LAST"))</f>
        <v/>
      </c>
      <c r="O431" s="12">
        <f>IF($A431="","",_xll.BDP($A431&amp;" Corp","YAS_BOND_YLD","YAS_YLD_FLAG=15"))</f>
        <v/>
      </c>
      <c r="P431" s="12">
        <f>IF($A431="","",_xll.BDP($A431&amp;" Corp","YAS_MOD_DUR"))</f>
        <v/>
      </c>
      <c r="Q431" s="13">
        <f>IF($A431="","",_xll.BDP($A431&amp;" Corp","YAS_OAS_SPRD"))</f>
        <v/>
      </c>
      <c r="R431" s="13">
        <f>IF($A431="","",_xll.BDP($A431&amp;" Corp","YAS_OAS_SPRD","SETTLE_DT",$B$2))</f>
        <v/>
      </c>
      <c r="S431" s="14">
        <f>IF($A431="","",IF(OR(NOT(ISNUMBER($Q431)),NOT(ISNUMBER($R431))),"",$Q431-$R431))</f>
        <v/>
      </c>
      <c r="T431" s="12">
        <f>IF($A431="","",_xll.BDP($A431&amp;" Corp","YAS_BOND_YLD","YAS_YLD_FLAG=15","SETTLE_DT",$B$2))</f>
        <v/>
      </c>
      <c r="U431" s="15">
        <f>IF($A431="","",IF(OR(NOT(ISNUMBER($O431)),NOT(ISNUMBER($T431))),"",$O431-$T431))</f>
        <v/>
      </c>
      <c r="V431" s="13">
        <f>IF(NOT(ISNUMBER($S431)),"",COUNTIFS($G$7:$G$850,$G431,$S$7:$S$850,"&gt;"&amp;$S431)+COUNTIFS($G$7:$G431,$G431,$S$7:$S431,$S431))</f>
        <v/>
      </c>
      <c r="W431" s="13">
        <f>IF(NOT(ISNUMBER($S431)),"",COUNTIFS($G$7:$G$850,$G431,$S$7:$S$850,"&lt;"&amp;$S431)+COUNTIFS($G$7:$G431,$G431,$S$7:$S431,$S431))</f>
        <v/>
      </c>
      <c r="X431" s="8">
        <f>IF($V431="","",$G431&amp;"|"&amp;$V431)</f>
        <v/>
      </c>
      <c r="Y431" s="8">
        <f>IF($W431="","",$G431&amp;"|"&amp;$W431)</f>
        <v/>
      </c>
    </row>
    <row r="432">
      <c r="A432" s="16" t="inlineStr">
        <is>
          <t>US105756BZ27</t>
        </is>
      </c>
      <c r="B432" s="17">
        <f>IF($A432="","",PROPER(_xll.BDP($A432&amp;" Corp","NAME")))</f>
        <v/>
      </c>
      <c r="C432" s="17">
        <f>IF($A432="","",IFERROR(INDEX(Company_desc!$B$2:$B$1144,MATCH($A432,Company_desc!$A$2:$A$1144,0)),IFERROR(INDEX(SYZ_static!$Q$2:$Q$806,MATCH($A432,SYZ_static!$A$2:$A$806,0)),"")))</f>
        <v/>
      </c>
      <c r="D432" s="17">
        <f>IF($A432="","",IFERROR(INDEX(SYZ_static!$B$2:$B$806,MATCH($A432,SYZ_static!$A$2:$A$806,0)),""))</f>
        <v/>
      </c>
      <c r="E432" s="17">
        <f>IF($A432="","",_xll.BDP($A432&amp;" Corp","INDUSTRY_SECTOR"))</f>
        <v/>
      </c>
      <c r="F432" s="17">
        <f>IF($A432="","",PROPER(_xll.BDP($A432&amp;" Corp","COUNTRY_FULL_NAME")))</f>
        <v/>
      </c>
      <c r="G432" s="17">
        <f>IF($A432="","",_xll.BDP($A432&amp;" Corp","CRNCY"))</f>
        <v/>
      </c>
      <c r="H432" s="17">
        <f>IF($A432="","",IFERROR(INDEX(SYZ_static!$T$2:$T$806,MATCH($A432,SYZ_static!$A$2:$A$806,0)),_xll.BDP($A432&amp;" Corp","RTG_SP")))</f>
        <v/>
      </c>
      <c r="I432" s="17">
        <f>IF($A432="","",IFERROR(INDEX(SYZ_static!$S$2:$S$806,MATCH($A432,SYZ_static!$A$2:$A$806,0)),""))</f>
        <v/>
      </c>
      <c r="J432" s="17">
        <f>IF($A432="","",_xll.BDP($A432&amp;" Corp","PAYMENT_RANK"))</f>
        <v/>
      </c>
      <c r="K432" s="18">
        <f>IF($A432="","",_xll.BDP($A432&amp;" Corp","CPN"))</f>
        <v/>
      </c>
      <c r="L432" s="19">
        <f>IF($A432="","",_xll.BDP($A432&amp;" Corp","MATURITY"))</f>
        <v/>
      </c>
      <c r="M432" s="20">
        <f>IF($A432="","",IFERROR(_xll.BDP($A432&amp;" Corp","MIN_PIECE")/1000,""))</f>
        <v/>
      </c>
      <c r="N432" s="21">
        <f>IF($A432="","",_xll.BDP($A432&amp;" Corp","PX_LAST"))</f>
        <v/>
      </c>
      <c r="O432" s="21">
        <f>IF($A432="","",_xll.BDP($A432&amp;" Corp","YAS_BOND_YLD","YAS_YLD_FLAG=15"))</f>
        <v/>
      </c>
      <c r="P432" s="21">
        <f>IF($A432="","",_xll.BDP($A432&amp;" Corp","YAS_MOD_DUR"))</f>
        <v/>
      </c>
      <c r="Q432" s="22">
        <f>IF($A432="","",_xll.BDP($A432&amp;" Corp","YAS_OAS_SPRD"))</f>
        <v/>
      </c>
      <c r="R432" s="22">
        <f>IF($A432="","",_xll.BDP($A432&amp;" Corp","YAS_OAS_SPRD","SETTLE_DT",$B$2))</f>
        <v/>
      </c>
      <c r="S432" s="23">
        <f>IF($A432="","",IF(OR(NOT(ISNUMBER($Q432)),NOT(ISNUMBER($R432))),"",$Q432-$R432))</f>
        <v/>
      </c>
      <c r="T432" s="21">
        <f>IF($A432="","",_xll.BDP($A432&amp;" Corp","YAS_BOND_YLD","YAS_YLD_FLAG=15","SETTLE_DT",$B$2))</f>
        <v/>
      </c>
      <c r="U432" s="24">
        <f>IF($A432="","",IF(OR(NOT(ISNUMBER($O432)),NOT(ISNUMBER($T432))),"",$O432-$T432))</f>
        <v/>
      </c>
      <c r="V432" s="22">
        <f>IF(NOT(ISNUMBER($S432)),"",COUNTIFS($G$7:$G$850,$G432,$S$7:$S$850,"&gt;"&amp;$S432)+COUNTIFS($G$7:$G432,$G432,$S$7:$S432,$S432))</f>
        <v/>
      </c>
      <c r="W432" s="22">
        <f>IF(NOT(ISNUMBER($S432)),"",COUNTIFS($G$7:$G$850,$G432,$S$7:$S$850,"&lt;"&amp;$S432)+COUNTIFS($G$7:$G432,$G432,$S$7:$S432,$S432))</f>
        <v/>
      </c>
      <c r="X432" s="17">
        <f>IF($V432="","",$G432&amp;"|"&amp;$V432)</f>
        <v/>
      </c>
      <c r="Y432" s="17">
        <f>IF($W432="","",$G432&amp;"|"&amp;$W432)</f>
        <v/>
      </c>
    </row>
    <row r="433">
      <c r="A433" s="7" t="inlineStr">
        <is>
          <t>XS2555221246</t>
        </is>
      </c>
      <c r="B433" s="8">
        <f>IF($A433="","",PROPER(_xll.BDP($A433&amp;" Corp","NAME")))</f>
        <v/>
      </c>
      <c r="C433" s="8">
        <f>IF($A433="","",IFERROR(INDEX(Company_desc!$B$2:$B$1144,MATCH($A433,Company_desc!$A$2:$A$1144,0)),IFERROR(INDEX(SYZ_static!$Q$2:$Q$806,MATCH($A433,SYZ_static!$A$2:$A$806,0)),"")))</f>
        <v/>
      </c>
      <c r="D433" s="8">
        <f>IF($A433="","",IFERROR(INDEX(SYZ_static!$B$2:$B$806,MATCH($A433,SYZ_static!$A$2:$A$806,0)),""))</f>
        <v/>
      </c>
      <c r="E433" s="8">
        <f>IF($A433="","",_xll.BDP($A433&amp;" Corp","INDUSTRY_SECTOR"))</f>
        <v/>
      </c>
      <c r="F433" s="8">
        <f>IF($A433="","",PROPER(_xll.BDP($A433&amp;" Corp","COUNTRY_FULL_NAME")))</f>
        <v/>
      </c>
      <c r="G433" s="8">
        <f>IF($A433="","",_xll.BDP($A433&amp;" Corp","CRNCY"))</f>
        <v/>
      </c>
      <c r="H433" s="8">
        <f>IF($A433="","",IFERROR(INDEX(SYZ_static!$T$2:$T$806,MATCH($A433,SYZ_static!$A$2:$A$806,0)),_xll.BDP($A433&amp;" Corp","RTG_SP")))</f>
        <v/>
      </c>
      <c r="I433" s="8">
        <f>IF($A433="","",IFERROR(INDEX(SYZ_static!$S$2:$S$806,MATCH($A433,SYZ_static!$A$2:$A$806,0)),""))</f>
        <v/>
      </c>
      <c r="J433" s="8">
        <f>IF($A433="","",_xll.BDP($A433&amp;" Corp","PAYMENT_RANK"))</f>
        <v/>
      </c>
      <c r="K433" s="9">
        <f>IF($A433="","",_xll.BDP($A433&amp;" Corp","CPN"))</f>
        <v/>
      </c>
      <c r="L433" s="10">
        <f>IF($A433="","",_xll.BDP($A433&amp;" Corp","MATURITY"))</f>
        <v/>
      </c>
      <c r="M433" s="11">
        <f>IF($A433="","",IFERROR(_xll.BDP($A433&amp;" Corp","MIN_PIECE")/1000,""))</f>
        <v/>
      </c>
      <c r="N433" s="12">
        <f>IF($A433="","",_xll.BDP($A433&amp;" Corp","PX_LAST"))</f>
        <v/>
      </c>
      <c r="O433" s="12">
        <f>IF($A433="","",_xll.BDP($A433&amp;" Corp","YAS_BOND_YLD","YAS_YLD_FLAG=15"))</f>
        <v/>
      </c>
      <c r="P433" s="12">
        <f>IF($A433="","",_xll.BDP($A433&amp;" Corp","YAS_MOD_DUR"))</f>
        <v/>
      </c>
      <c r="Q433" s="13">
        <f>IF($A433="","",_xll.BDP($A433&amp;" Corp","YAS_OAS_SPRD"))</f>
        <v/>
      </c>
      <c r="R433" s="13">
        <f>IF($A433="","",_xll.BDP($A433&amp;" Corp","YAS_OAS_SPRD","SETTLE_DT",$B$2))</f>
        <v/>
      </c>
      <c r="S433" s="14">
        <f>IF($A433="","",IF(OR(NOT(ISNUMBER($Q433)),NOT(ISNUMBER($R433))),"",$Q433-$R433))</f>
        <v/>
      </c>
      <c r="T433" s="12">
        <f>IF($A433="","",_xll.BDP($A433&amp;" Corp","YAS_BOND_YLD","YAS_YLD_FLAG=15","SETTLE_DT",$B$2))</f>
        <v/>
      </c>
      <c r="U433" s="15">
        <f>IF($A433="","",IF(OR(NOT(ISNUMBER($O433)),NOT(ISNUMBER($T433))),"",$O433-$T433))</f>
        <v/>
      </c>
      <c r="V433" s="13">
        <f>IF(NOT(ISNUMBER($S433)),"",COUNTIFS($G$7:$G$850,$G433,$S$7:$S$850,"&gt;"&amp;$S433)+COUNTIFS($G$7:$G433,$G433,$S$7:$S433,$S433))</f>
        <v/>
      </c>
      <c r="W433" s="13">
        <f>IF(NOT(ISNUMBER($S433)),"",COUNTIFS($G$7:$G$850,$G433,$S$7:$S$850,"&lt;"&amp;$S433)+COUNTIFS($G$7:$G433,$G433,$S$7:$S433,$S433))</f>
        <v/>
      </c>
      <c r="X433" s="8">
        <f>IF($V433="","",$G433&amp;"|"&amp;$V433)</f>
        <v/>
      </c>
      <c r="Y433" s="8">
        <f>IF($W433="","",$G433&amp;"|"&amp;$W433)</f>
        <v/>
      </c>
    </row>
    <row r="434">
      <c r="A434" s="16" t="inlineStr">
        <is>
          <t>US437076CK64</t>
        </is>
      </c>
      <c r="B434" s="17">
        <f>IF($A434="","",PROPER(_xll.BDP($A434&amp;" Corp","NAME")))</f>
        <v/>
      </c>
      <c r="C434" s="17">
        <f>IF($A434="","",IFERROR(INDEX(Company_desc!$B$2:$B$1144,MATCH($A434,Company_desc!$A$2:$A$1144,0)),IFERROR(INDEX(SYZ_static!$Q$2:$Q$806,MATCH($A434,SYZ_static!$A$2:$A$806,0)),"")))</f>
        <v/>
      </c>
      <c r="D434" s="17">
        <f>IF($A434="","",IFERROR(INDEX(SYZ_static!$B$2:$B$806,MATCH($A434,SYZ_static!$A$2:$A$806,0)),""))</f>
        <v/>
      </c>
      <c r="E434" s="17">
        <f>IF($A434="","",_xll.BDP($A434&amp;" Corp","INDUSTRY_SECTOR"))</f>
        <v/>
      </c>
      <c r="F434" s="17">
        <f>IF($A434="","",PROPER(_xll.BDP($A434&amp;" Corp","COUNTRY_FULL_NAME")))</f>
        <v/>
      </c>
      <c r="G434" s="17">
        <f>IF($A434="","",_xll.BDP($A434&amp;" Corp","CRNCY"))</f>
        <v/>
      </c>
      <c r="H434" s="17">
        <f>IF($A434="","",IFERROR(INDEX(SYZ_static!$T$2:$T$806,MATCH($A434,SYZ_static!$A$2:$A$806,0)),_xll.BDP($A434&amp;" Corp","RTG_SP")))</f>
        <v/>
      </c>
      <c r="I434" s="17">
        <f>IF($A434="","",IFERROR(INDEX(SYZ_static!$S$2:$S$806,MATCH($A434,SYZ_static!$A$2:$A$806,0)),""))</f>
        <v/>
      </c>
      <c r="J434" s="17">
        <f>IF($A434="","",_xll.BDP($A434&amp;" Corp","PAYMENT_RANK"))</f>
        <v/>
      </c>
      <c r="K434" s="18">
        <f>IF($A434="","",_xll.BDP($A434&amp;" Corp","CPN"))</f>
        <v/>
      </c>
      <c r="L434" s="19">
        <f>IF($A434="","",_xll.BDP($A434&amp;" Corp","MATURITY"))</f>
        <v/>
      </c>
      <c r="M434" s="20">
        <f>IF($A434="","",IFERROR(_xll.BDP($A434&amp;" Corp","MIN_PIECE")/1000,""))</f>
        <v/>
      </c>
      <c r="N434" s="21">
        <f>IF($A434="","",_xll.BDP($A434&amp;" Corp","PX_LAST"))</f>
        <v/>
      </c>
      <c r="O434" s="21">
        <f>IF($A434="","",_xll.BDP($A434&amp;" Corp","YAS_BOND_YLD","YAS_YLD_FLAG=15"))</f>
        <v/>
      </c>
      <c r="P434" s="21">
        <f>IF($A434="","",_xll.BDP($A434&amp;" Corp","YAS_MOD_DUR"))</f>
        <v/>
      </c>
      <c r="Q434" s="22">
        <f>IF($A434="","",_xll.BDP($A434&amp;" Corp","YAS_OAS_SPRD"))</f>
        <v/>
      </c>
      <c r="R434" s="22">
        <f>IF($A434="","",_xll.BDP($A434&amp;" Corp","YAS_OAS_SPRD","SETTLE_DT",$B$2))</f>
        <v/>
      </c>
      <c r="S434" s="23">
        <f>IF($A434="","",IF(OR(NOT(ISNUMBER($Q434)),NOT(ISNUMBER($R434))),"",$Q434-$R434))</f>
        <v/>
      </c>
      <c r="T434" s="21">
        <f>IF($A434="","",_xll.BDP($A434&amp;" Corp","YAS_BOND_YLD","YAS_YLD_FLAG=15","SETTLE_DT",$B$2))</f>
        <v/>
      </c>
      <c r="U434" s="24">
        <f>IF($A434="","",IF(OR(NOT(ISNUMBER($O434)),NOT(ISNUMBER($T434))),"",$O434-$T434))</f>
        <v/>
      </c>
      <c r="V434" s="22">
        <f>IF(NOT(ISNUMBER($S434)),"",COUNTIFS($G$7:$G$850,$G434,$S$7:$S$850,"&gt;"&amp;$S434)+COUNTIFS($G$7:$G434,$G434,$S$7:$S434,$S434))</f>
        <v/>
      </c>
      <c r="W434" s="22">
        <f>IF(NOT(ISNUMBER($S434)),"",COUNTIFS($G$7:$G$850,$G434,$S$7:$S$850,"&lt;"&amp;$S434)+COUNTIFS($G$7:$G434,$G434,$S$7:$S434,$S434))</f>
        <v/>
      </c>
      <c r="X434" s="17">
        <f>IF($V434="","",$G434&amp;"|"&amp;$V434)</f>
        <v/>
      </c>
      <c r="Y434" s="17">
        <f>IF($W434="","",$G434&amp;"|"&amp;$W434)</f>
        <v/>
      </c>
    </row>
    <row r="435">
      <c r="A435" s="7" t="inlineStr">
        <is>
          <t>US718172DQ97</t>
        </is>
      </c>
      <c r="B435" s="8">
        <f>IF($A435="","",PROPER(_xll.BDP($A435&amp;" Corp","NAME")))</f>
        <v/>
      </c>
      <c r="C435" s="8">
        <f>IF($A435="","",IFERROR(INDEX(Company_desc!$B$2:$B$1144,MATCH($A435,Company_desc!$A$2:$A$1144,0)),IFERROR(INDEX(SYZ_static!$Q$2:$Q$806,MATCH($A435,SYZ_static!$A$2:$A$806,0)),"")))</f>
        <v/>
      </c>
      <c r="D435" s="8">
        <f>IF($A435="","",IFERROR(INDEX(SYZ_static!$B$2:$B$806,MATCH($A435,SYZ_static!$A$2:$A$806,0)),""))</f>
        <v/>
      </c>
      <c r="E435" s="8">
        <f>IF($A435="","",_xll.BDP($A435&amp;" Corp","INDUSTRY_SECTOR"))</f>
        <v/>
      </c>
      <c r="F435" s="8">
        <f>IF($A435="","",PROPER(_xll.BDP($A435&amp;" Corp","COUNTRY_FULL_NAME")))</f>
        <v/>
      </c>
      <c r="G435" s="8">
        <f>IF($A435="","",_xll.BDP($A435&amp;" Corp","CRNCY"))</f>
        <v/>
      </c>
      <c r="H435" s="8">
        <f>IF($A435="","",IFERROR(INDEX(SYZ_static!$T$2:$T$806,MATCH($A435,SYZ_static!$A$2:$A$806,0)),_xll.BDP($A435&amp;" Corp","RTG_SP")))</f>
        <v/>
      </c>
      <c r="I435" s="8">
        <f>IF($A435="","",IFERROR(INDEX(SYZ_static!$S$2:$S$806,MATCH($A435,SYZ_static!$A$2:$A$806,0)),""))</f>
        <v/>
      </c>
      <c r="J435" s="8">
        <f>IF($A435="","",_xll.BDP($A435&amp;" Corp","PAYMENT_RANK"))</f>
        <v/>
      </c>
      <c r="K435" s="9">
        <f>IF($A435="","",_xll.BDP($A435&amp;" Corp","CPN"))</f>
        <v/>
      </c>
      <c r="L435" s="10">
        <f>IF($A435="","",_xll.BDP($A435&amp;" Corp","MATURITY"))</f>
        <v/>
      </c>
      <c r="M435" s="11">
        <f>IF($A435="","",IFERROR(_xll.BDP($A435&amp;" Corp","MIN_PIECE")/1000,""))</f>
        <v/>
      </c>
      <c r="N435" s="12">
        <f>IF($A435="","",_xll.BDP($A435&amp;" Corp","PX_LAST"))</f>
        <v/>
      </c>
      <c r="O435" s="12">
        <f>IF($A435="","",_xll.BDP($A435&amp;" Corp","YAS_BOND_YLD","YAS_YLD_FLAG=15"))</f>
        <v/>
      </c>
      <c r="P435" s="12">
        <f>IF($A435="","",_xll.BDP($A435&amp;" Corp","YAS_MOD_DUR"))</f>
        <v/>
      </c>
      <c r="Q435" s="13">
        <f>IF($A435="","",_xll.BDP($A435&amp;" Corp","YAS_OAS_SPRD"))</f>
        <v/>
      </c>
      <c r="R435" s="13">
        <f>IF($A435="","",_xll.BDP($A435&amp;" Corp","YAS_OAS_SPRD","SETTLE_DT",$B$2))</f>
        <v/>
      </c>
      <c r="S435" s="14">
        <f>IF($A435="","",IF(OR(NOT(ISNUMBER($Q435)),NOT(ISNUMBER($R435))),"",$Q435-$R435))</f>
        <v/>
      </c>
      <c r="T435" s="12">
        <f>IF($A435="","",_xll.BDP($A435&amp;" Corp","YAS_BOND_YLD","YAS_YLD_FLAG=15","SETTLE_DT",$B$2))</f>
        <v/>
      </c>
      <c r="U435" s="15">
        <f>IF($A435="","",IF(OR(NOT(ISNUMBER($O435)),NOT(ISNUMBER($T435))),"",$O435-$T435))</f>
        <v/>
      </c>
      <c r="V435" s="13">
        <f>IF(NOT(ISNUMBER($S435)),"",COUNTIFS($G$7:$G$850,$G435,$S$7:$S$850,"&gt;"&amp;$S435)+COUNTIFS($G$7:$G435,$G435,$S$7:$S435,$S435))</f>
        <v/>
      </c>
      <c r="W435" s="13">
        <f>IF(NOT(ISNUMBER($S435)),"",COUNTIFS($G$7:$G$850,$G435,$S$7:$S$850,"&lt;"&amp;$S435)+COUNTIFS($G$7:$G435,$G435,$S$7:$S435,$S435))</f>
        <v/>
      </c>
      <c r="X435" s="8">
        <f>IF($V435="","",$G435&amp;"|"&amp;$V435)</f>
        <v/>
      </c>
      <c r="Y435" s="8">
        <f>IF($W435="","",$G435&amp;"|"&amp;$W435)</f>
        <v/>
      </c>
    </row>
    <row r="436">
      <c r="A436" s="16" t="inlineStr">
        <is>
          <t>US91087BAU44</t>
        </is>
      </c>
      <c r="B436" s="17">
        <f>IF($A436="","",PROPER(_xll.BDP($A436&amp;" Corp","NAME")))</f>
        <v/>
      </c>
      <c r="C436" s="17">
        <f>IF($A436="","",IFERROR(INDEX(Company_desc!$B$2:$B$1144,MATCH($A436,Company_desc!$A$2:$A$1144,0)),IFERROR(INDEX(SYZ_static!$Q$2:$Q$806,MATCH($A436,SYZ_static!$A$2:$A$806,0)),"")))</f>
        <v/>
      </c>
      <c r="D436" s="17">
        <f>IF($A436="","",IFERROR(INDEX(SYZ_static!$B$2:$B$806,MATCH($A436,SYZ_static!$A$2:$A$806,0)),""))</f>
        <v/>
      </c>
      <c r="E436" s="17">
        <f>IF($A436="","",_xll.BDP($A436&amp;" Corp","INDUSTRY_SECTOR"))</f>
        <v/>
      </c>
      <c r="F436" s="17">
        <f>IF($A436="","",PROPER(_xll.BDP($A436&amp;" Corp","COUNTRY_FULL_NAME")))</f>
        <v/>
      </c>
      <c r="G436" s="17">
        <f>IF($A436="","",_xll.BDP($A436&amp;" Corp","CRNCY"))</f>
        <v/>
      </c>
      <c r="H436" s="17">
        <f>IF($A436="","",IFERROR(INDEX(SYZ_static!$T$2:$T$806,MATCH($A436,SYZ_static!$A$2:$A$806,0)),_xll.BDP($A436&amp;" Corp","RTG_SP")))</f>
        <v/>
      </c>
      <c r="I436" s="17">
        <f>IF($A436="","",IFERROR(INDEX(SYZ_static!$S$2:$S$806,MATCH($A436,SYZ_static!$A$2:$A$806,0)),""))</f>
        <v/>
      </c>
      <c r="J436" s="17">
        <f>IF($A436="","",_xll.BDP($A436&amp;" Corp","PAYMENT_RANK"))</f>
        <v/>
      </c>
      <c r="K436" s="18">
        <f>IF($A436="","",_xll.BDP($A436&amp;" Corp","CPN"))</f>
        <v/>
      </c>
      <c r="L436" s="19">
        <f>IF($A436="","",_xll.BDP($A436&amp;" Corp","MATURITY"))</f>
        <v/>
      </c>
      <c r="M436" s="20">
        <f>IF($A436="","",IFERROR(_xll.BDP($A436&amp;" Corp","MIN_PIECE")/1000,""))</f>
        <v/>
      </c>
      <c r="N436" s="21">
        <f>IF($A436="","",_xll.BDP($A436&amp;" Corp","PX_LAST"))</f>
        <v/>
      </c>
      <c r="O436" s="21">
        <f>IF($A436="","",_xll.BDP($A436&amp;" Corp","YAS_BOND_YLD","YAS_YLD_FLAG=15"))</f>
        <v/>
      </c>
      <c r="P436" s="21">
        <f>IF($A436="","",_xll.BDP($A436&amp;" Corp","YAS_MOD_DUR"))</f>
        <v/>
      </c>
      <c r="Q436" s="22">
        <f>IF($A436="","",_xll.BDP($A436&amp;" Corp","YAS_OAS_SPRD"))</f>
        <v/>
      </c>
      <c r="R436" s="22">
        <f>IF($A436="","",_xll.BDP($A436&amp;" Corp","YAS_OAS_SPRD","SETTLE_DT",$B$2))</f>
        <v/>
      </c>
      <c r="S436" s="23">
        <f>IF($A436="","",IF(OR(NOT(ISNUMBER($Q436)),NOT(ISNUMBER($R436))),"",$Q436-$R436))</f>
        <v/>
      </c>
      <c r="T436" s="21">
        <f>IF($A436="","",_xll.BDP($A436&amp;" Corp","YAS_BOND_YLD","YAS_YLD_FLAG=15","SETTLE_DT",$B$2))</f>
        <v/>
      </c>
      <c r="U436" s="24">
        <f>IF($A436="","",IF(OR(NOT(ISNUMBER($O436)),NOT(ISNUMBER($T436))),"",$O436-$T436))</f>
        <v/>
      </c>
      <c r="V436" s="22">
        <f>IF(NOT(ISNUMBER($S436)),"",COUNTIFS($G$7:$G$850,$G436,$S$7:$S$850,"&gt;"&amp;$S436)+COUNTIFS($G$7:$G436,$G436,$S$7:$S436,$S436))</f>
        <v/>
      </c>
      <c r="W436" s="22">
        <f>IF(NOT(ISNUMBER($S436)),"",COUNTIFS($G$7:$G$850,$G436,$S$7:$S$850,"&lt;"&amp;$S436)+COUNTIFS($G$7:$G436,$G436,$S$7:$S436,$S436))</f>
        <v/>
      </c>
      <c r="X436" s="17">
        <f>IF($V436="","",$G436&amp;"|"&amp;$V436)</f>
        <v/>
      </c>
      <c r="Y436" s="17">
        <f>IF($W436="","",$G436&amp;"|"&amp;$W436)</f>
        <v/>
      </c>
    </row>
    <row r="437">
      <c r="A437" s="7" t="inlineStr">
        <is>
          <t>USG3925DAD24</t>
        </is>
      </c>
      <c r="B437" s="8">
        <f>IF($A437="","",PROPER(_xll.BDP($A437&amp;" Corp","NAME")))</f>
        <v/>
      </c>
      <c r="C437" s="8">
        <f>IF($A437="","",IFERROR(INDEX(Company_desc!$B$2:$B$1144,MATCH($A437,Company_desc!$A$2:$A$1144,0)),IFERROR(INDEX(SYZ_static!$Q$2:$Q$806,MATCH($A437,SYZ_static!$A$2:$A$806,0)),"")))</f>
        <v/>
      </c>
      <c r="D437" s="8">
        <f>IF($A437="","",IFERROR(INDEX(SYZ_static!$B$2:$B$806,MATCH($A437,SYZ_static!$A$2:$A$806,0)),""))</f>
        <v/>
      </c>
      <c r="E437" s="8">
        <f>IF($A437="","",_xll.BDP($A437&amp;" Corp","INDUSTRY_SECTOR"))</f>
        <v/>
      </c>
      <c r="F437" s="8">
        <f>IF($A437="","",PROPER(_xll.BDP($A437&amp;" Corp","COUNTRY_FULL_NAME")))</f>
        <v/>
      </c>
      <c r="G437" s="8">
        <f>IF($A437="","",_xll.BDP($A437&amp;" Corp","CRNCY"))</f>
        <v/>
      </c>
      <c r="H437" s="8">
        <f>IF($A437="","",IFERROR(INDEX(SYZ_static!$T$2:$T$806,MATCH($A437,SYZ_static!$A$2:$A$806,0)),_xll.BDP($A437&amp;" Corp","RTG_SP")))</f>
        <v/>
      </c>
      <c r="I437" s="8">
        <f>IF($A437="","",IFERROR(INDEX(SYZ_static!$S$2:$S$806,MATCH($A437,SYZ_static!$A$2:$A$806,0)),""))</f>
        <v/>
      </c>
      <c r="J437" s="8">
        <f>IF($A437="","",_xll.BDP($A437&amp;" Corp","PAYMENT_RANK"))</f>
        <v/>
      </c>
      <c r="K437" s="9">
        <f>IF($A437="","",_xll.BDP($A437&amp;" Corp","CPN"))</f>
        <v/>
      </c>
      <c r="L437" s="10">
        <f>IF($A437="","",_xll.BDP($A437&amp;" Corp","MATURITY"))</f>
        <v/>
      </c>
      <c r="M437" s="11">
        <f>IF($A437="","",IFERROR(_xll.BDP($A437&amp;" Corp","MIN_PIECE")/1000,""))</f>
        <v/>
      </c>
      <c r="N437" s="12">
        <f>IF($A437="","",_xll.BDP($A437&amp;" Corp","PX_LAST"))</f>
        <v/>
      </c>
      <c r="O437" s="12">
        <f>IF($A437="","",_xll.BDP($A437&amp;" Corp","YAS_BOND_YLD","YAS_YLD_FLAG=15"))</f>
        <v/>
      </c>
      <c r="P437" s="12">
        <f>IF($A437="","",_xll.BDP($A437&amp;" Corp","YAS_MOD_DUR"))</f>
        <v/>
      </c>
      <c r="Q437" s="13">
        <f>IF($A437="","",_xll.BDP($A437&amp;" Corp","YAS_OAS_SPRD"))</f>
        <v/>
      </c>
      <c r="R437" s="13">
        <f>IF($A437="","",_xll.BDP($A437&amp;" Corp","YAS_OAS_SPRD","SETTLE_DT",$B$2))</f>
        <v/>
      </c>
      <c r="S437" s="14">
        <f>IF($A437="","",IF(OR(NOT(ISNUMBER($Q437)),NOT(ISNUMBER($R437))),"",$Q437-$R437))</f>
        <v/>
      </c>
      <c r="T437" s="12">
        <f>IF($A437="","",_xll.BDP($A437&amp;" Corp","YAS_BOND_YLD","YAS_YLD_FLAG=15","SETTLE_DT",$B$2))</f>
        <v/>
      </c>
      <c r="U437" s="15">
        <f>IF($A437="","",IF(OR(NOT(ISNUMBER($O437)),NOT(ISNUMBER($T437))),"",$O437-$T437))</f>
        <v/>
      </c>
      <c r="V437" s="13">
        <f>IF(NOT(ISNUMBER($S437)),"",COUNTIFS($G$7:$G$850,$G437,$S$7:$S$850,"&gt;"&amp;$S437)+COUNTIFS($G$7:$G437,$G437,$S$7:$S437,$S437))</f>
        <v/>
      </c>
      <c r="W437" s="13">
        <f>IF(NOT(ISNUMBER($S437)),"",COUNTIFS($G$7:$G$850,$G437,$S$7:$S$850,"&lt;"&amp;$S437)+COUNTIFS($G$7:$G437,$G437,$S$7:$S437,$S437))</f>
        <v/>
      </c>
      <c r="X437" s="8">
        <f>IF($V437="","",$G437&amp;"|"&amp;$V437)</f>
        <v/>
      </c>
      <c r="Y437" s="8">
        <f>IF($W437="","",$G437&amp;"|"&amp;$W437)</f>
        <v/>
      </c>
    </row>
    <row r="438">
      <c r="A438" s="16" t="inlineStr">
        <is>
          <t>XS2747766090</t>
        </is>
      </c>
      <c r="B438" s="17">
        <f>IF($A438="","",PROPER(_xll.BDP($A438&amp;" Corp","NAME")))</f>
        <v/>
      </c>
      <c r="C438" s="17">
        <f>IF($A438="","",IFERROR(INDEX(Company_desc!$B$2:$B$1144,MATCH($A438,Company_desc!$A$2:$A$1144,0)),IFERROR(INDEX(SYZ_static!$Q$2:$Q$806,MATCH($A438,SYZ_static!$A$2:$A$806,0)),"")))</f>
        <v/>
      </c>
      <c r="D438" s="17">
        <f>IF($A438="","",IFERROR(INDEX(SYZ_static!$B$2:$B$806,MATCH($A438,SYZ_static!$A$2:$A$806,0)),""))</f>
        <v/>
      </c>
      <c r="E438" s="17">
        <f>IF($A438="","",_xll.BDP($A438&amp;" Corp","INDUSTRY_SECTOR"))</f>
        <v/>
      </c>
      <c r="F438" s="17">
        <f>IF($A438="","",PROPER(_xll.BDP($A438&amp;" Corp","COUNTRY_FULL_NAME")))</f>
        <v/>
      </c>
      <c r="G438" s="17">
        <f>IF($A438="","",_xll.BDP($A438&amp;" Corp","CRNCY"))</f>
        <v/>
      </c>
      <c r="H438" s="17">
        <f>IF($A438="","",IFERROR(INDEX(SYZ_static!$T$2:$T$806,MATCH($A438,SYZ_static!$A$2:$A$806,0)),_xll.BDP($A438&amp;" Corp","RTG_SP")))</f>
        <v/>
      </c>
      <c r="I438" s="17">
        <f>IF($A438="","",IFERROR(INDEX(SYZ_static!$S$2:$S$806,MATCH($A438,SYZ_static!$A$2:$A$806,0)),""))</f>
        <v/>
      </c>
      <c r="J438" s="17">
        <f>IF($A438="","",_xll.BDP($A438&amp;" Corp","PAYMENT_RANK"))</f>
        <v/>
      </c>
      <c r="K438" s="18">
        <f>IF($A438="","",_xll.BDP($A438&amp;" Corp","CPN"))</f>
        <v/>
      </c>
      <c r="L438" s="19">
        <f>IF($A438="","",_xll.BDP($A438&amp;" Corp","MATURITY"))</f>
        <v/>
      </c>
      <c r="M438" s="20">
        <f>IF($A438="","",IFERROR(_xll.BDP($A438&amp;" Corp","MIN_PIECE")/1000,""))</f>
        <v/>
      </c>
      <c r="N438" s="21">
        <f>IF($A438="","",_xll.BDP($A438&amp;" Corp","PX_LAST"))</f>
        <v/>
      </c>
      <c r="O438" s="21">
        <f>IF($A438="","",_xll.BDP($A438&amp;" Corp","YAS_BOND_YLD","YAS_YLD_FLAG=15"))</f>
        <v/>
      </c>
      <c r="P438" s="21">
        <f>IF($A438="","",_xll.BDP($A438&amp;" Corp","YAS_MOD_DUR"))</f>
        <v/>
      </c>
      <c r="Q438" s="22">
        <f>IF($A438="","",_xll.BDP($A438&amp;" Corp","YAS_OAS_SPRD"))</f>
        <v/>
      </c>
      <c r="R438" s="22">
        <f>IF($A438="","",_xll.BDP($A438&amp;" Corp","YAS_OAS_SPRD","SETTLE_DT",$B$2))</f>
        <v/>
      </c>
      <c r="S438" s="23">
        <f>IF($A438="","",IF(OR(NOT(ISNUMBER($Q438)),NOT(ISNUMBER($R438))),"",$Q438-$R438))</f>
        <v/>
      </c>
      <c r="T438" s="21">
        <f>IF($A438="","",_xll.BDP($A438&amp;" Corp","YAS_BOND_YLD","YAS_YLD_FLAG=15","SETTLE_DT",$B$2))</f>
        <v/>
      </c>
      <c r="U438" s="24">
        <f>IF($A438="","",IF(OR(NOT(ISNUMBER($O438)),NOT(ISNUMBER($T438))),"",$O438-$T438))</f>
        <v/>
      </c>
      <c r="V438" s="22">
        <f>IF(NOT(ISNUMBER($S438)),"",COUNTIFS($G$7:$G$850,$G438,$S$7:$S$850,"&gt;"&amp;$S438)+COUNTIFS($G$7:$G438,$G438,$S$7:$S438,$S438))</f>
        <v/>
      </c>
      <c r="W438" s="22">
        <f>IF(NOT(ISNUMBER($S438)),"",COUNTIFS($G$7:$G$850,$G438,$S$7:$S$850,"&lt;"&amp;$S438)+COUNTIFS($G$7:$G438,$G438,$S$7:$S438,$S438))</f>
        <v/>
      </c>
      <c r="X438" s="17">
        <f>IF($V438="","",$G438&amp;"|"&amp;$V438)</f>
        <v/>
      </c>
      <c r="Y438" s="17">
        <f>IF($W438="","",$G438&amp;"|"&amp;$W438)</f>
        <v/>
      </c>
    </row>
    <row r="439">
      <c r="A439" s="7" t="inlineStr">
        <is>
          <t>US882508BM50</t>
        </is>
      </c>
      <c r="B439" s="8">
        <f>IF($A439="","",PROPER(_xll.BDP($A439&amp;" Corp","NAME")))</f>
        <v/>
      </c>
      <c r="C439" s="8">
        <f>IF($A439="","",IFERROR(INDEX(Company_desc!$B$2:$B$1144,MATCH($A439,Company_desc!$A$2:$A$1144,0)),IFERROR(INDEX(SYZ_static!$Q$2:$Q$806,MATCH($A439,SYZ_static!$A$2:$A$806,0)),"")))</f>
        <v/>
      </c>
      <c r="D439" s="8">
        <f>IF($A439="","",IFERROR(INDEX(SYZ_static!$B$2:$B$806,MATCH($A439,SYZ_static!$A$2:$A$806,0)),""))</f>
        <v/>
      </c>
      <c r="E439" s="8">
        <f>IF($A439="","",_xll.BDP($A439&amp;" Corp","INDUSTRY_SECTOR"))</f>
        <v/>
      </c>
      <c r="F439" s="8">
        <f>IF($A439="","",PROPER(_xll.BDP($A439&amp;" Corp","COUNTRY_FULL_NAME")))</f>
        <v/>
      </c>
      <c r="G439" s="8">
        <f>IF($A439="","",_xll.BDP($A439&amp;" Corp","CRNCY"))</f>
        <v/>
      </c>
      <c r="H439" s="8">
        <f>IF($A439="","",IFERROR(INDEX(SYZ_static!$T$2:$T$806,MATCH($A439,SYZ_static!$A$2:$A$806,0)),_xll.BDP($A439&amp;" Corp","RTG_SP")))</f>
        <v/>
      </c>
      <c r="I439" s="8">
        <f>IF($A439="","",IFERROR(INDEX(SYZ_static!$S$2:$S$806,MATCH($A439,SYZ_static!$A$2:$A$806,0)),""))</f>
        <v/>
      </c>
      <c r="J439" s="8">
        <f>IF($A439="","",_xll.BDP($A439&amp;" Corp","PAYMENT_RANK"))</f>
        <v/>
      </c>
      <c r="K439" s="9">
        <f>IF($A439="","",_xll.BDP($A439&amp;" Corp","CPN"))</f>
        <v/>
      </c>
      <c r="L439" s="10">
        <f>IF($A439="","",_xll.BDP($A439&amp;" Corp","MATURITY"))</f>
        <v/>
      </c>
      <c r="M439" s="11">
        <f>IF($A439="","",IFERROR(_xll.BDP($A439&amp;" Corp","MIN_PIECE")/1000,""))</f>
        <v/>
      </c>
      <c r="N439" s="12">
        <f>IF($A439="","",_xll.BDP($A439&amp;" Corp","PX_LAST"))</f>
        <v/>
      </c>
      <c r="O439" s="12">
        <f>IF($A439="","",_xll.BDP($A439&amp;" Corp","YAS_BOND_YLD","YAS_YLD_FLAG=15"))</f>
        <v/>
      </c>
      <c r="P439" s="12">
        <f>IF($A439="","",_xll.BDP($A439&amp;" Corp","YAS_MOD_DUR"))</f>
        <v/>
      </c>
      <c r="Q439" s="13">
        <f>IF($A439="","",_xll.BDP($A439&amp;" Corp","YAS_OAS_SPRD"))</f>
        <v/>
      </c>
      <c r="R439" s="13">
        <f>IF($A439="","",_xll.BDP($A439&amp;" Corp","YAS_OAS_SPRD","SETTLE_DT",$B$2))</f>
        <v/>
      </c>
      <c r="S439" s="14">
        <f>IF($A439="","",IF(OR(NOT(ISNUMBER($Q439)),NOT(ISNUMBER($R439))),"",$Q439-$R439))</f>
        <v/>
      </c>
      <c r="T439" s="12">
        <f>IF($A439="","",_xll.BDP($A439&amp;" Corp","YAS_BOND_YLD","YAS_YLD_FLAG=15","SETTLE_DT",$B$2))</f>
        <v/>
      </c>
      <c r="U439" s="15">
        <f>IF($A439="","",IF(OR(NOT(ISNUMBER($O439)),NOT(ISNUMBER($T439))),"",$O439-$T439))</f>
        <v/>
      </c>
      <c r="V439" s="13">
        <f>IF(NOT(ISNUMBER($S439)),"",COUNTIFS($G$7:$G$850,$G439,$S$7:$S$850,"&gt;"&amp;$S439)+COUNTIFS($G$7:$G439,$G439,$S$7:$S439,$S439))</f>
        <v/>
      </c>
      <c r="W439" s="13">
        <f>IF(NOT(ISNUMBER($S439)),"",COUNTIFS($G$7:$G$850,$G439,$S$7:$S$850,"&lt;"&amp;$S439)+COUNTIFS($G$7:$G439,$G439,$S$7:$S439,$S439))</f>
        <v/>
      </c>
      <c r="X439" s="8">
        <f>IF($V439="","",$G439&amp;"|"&amp;$V439)</f>
        <v/>
      </c>
      <c r="Y439" s="8">
        <f>IF($W439="","",$G439&amp;"|"&amp;$W439)</f>
        <v/>
      </c>
    </row>
    <row r="440">
      <c r="A440" s="16" t="inlineStr">
        <is>
          <t>US11135FCD15</t>
        </is>
      </c>
      <c r="B440" s="17">
        <f>IF($A440="","",PROPER(_xll.BDP($A440&amp;" Corp","NAME")))</f>
        <v/>
      </c>
      <c r="C440" s="17">
        <f>IF($A440="","",IFERROR(INDEX(Company_desc!$B$2:$B$1144,MATCH($A440,Company_desc!$A$2:$A$1144,0)),IFERROR(INDEX(SYZ_static!$Q$2:$Q$806,MATCH($A440,SYZ_static!$A$2:$A$806,0)),"")))</f>
        <v/>
      </c>
      <c r="D440" s="17">
        <f>IF($A440="","",IFERROR(INDEX(SYZ_static!$B$2:$B$806,MATCH($A440,SYZ_static!$A$2:$A$806,0)),""))</f>
        <v/>
      </c>
      <c r="E440" s="17">
        <f>IF($A440="","",_xll.BDP($A440&amp;" Corp","INDUSTRY_SECTOR"))</f>
        <v/>
      </c>
      <c r="F440" s="17">
        <f>IF($A440="","",PROPER(_xll.BDP($A440&amp;" Corp","COUNTRY_FULL_NAME")))</f>
        <v/>
      </c>
      <c r="G440" s="17">
        <f>IF($A440="","",_xll.BDP($A440&amp;" Corp","CRNCY"))</f>
        <v/>
      </c>
      <c r="H440" s="17">
        <f>IF($A440="","",IFERROR(INDEX(SYZ_static!$T$2:$T$806,MATCH($A440,SYZ_static!$A$2:$A$806,0)),_xll.BDP($A440&amp;" Corp","RTG_SP")))</f>
        <v/>
      </c>
      <c r="I440" s="17">
        <f>IF($A440="","",IFERROR(INDEX(SYZ_static!$S$2:$S$806,MATCH($A440,SYZ_static!$A$2:$A$806,0)),""))</f>
        <v/>
      </c>
      <c r="J440" s="17">
        <f>IF($A440="","",_xll.BDP($A440&amp;" Corp","PAYMENT_RANK"))</f>
        <v/>
      </c>
      <c r="K440" s="18">
        <f>IF($A440="","",_xll.BDP($A440&amp;" Corp","CPN"))</f>
        <v/>
      </c>
      <c r="L440" s="19">
        <f>IF($A440="","",_xll.BDP($A440&amp;" Corp","MATURITY"))</f>
        <v/>
      </c>
      <c r="M440" s="20">
        <f>IF($A440="","",IFERROR(_xll.BDP($A440&amp;" Corp","MIN_PIECE")/1000,""))</f>
        <v/>
      </c>
      <c r="N440" s="21">
        <f>IF($A440="","",_xll.BDP($A440&amp;" Corp","PX_LAST"))</f>
        <v/>
      </c>
      <c r="O440" s="21">
        <f>IF($A440="","",_xll.BDP($A440&amp;" Corp","YAS_BOND_YLD","YAS_YLD_FLAG=15"))</f>
        <v/>
      </c>
      <c r="P440" s="21">
        <f>IF($A440="","",_xll.BDP($A440&amp;" Corp","YAS_MOD_DUR"))</f>
        <v/>
      </c>
      <c r="Q440" s="22">
        <f>IF($A440="","",_xll.BDP($A440&amp;" Corp","YAS_OAS_SPRD"))</f>
        <v/>
      </c>
      <c r="R440" s="22">
        <f>IF($A440="","",_xll.BDP($A440&amp;" Corp","YAS_OAS_SPRD","SETTLE_DT",$B$2))</f>
        <v/>
      </c>
      <c r="S440" s="23">
        <f>IF($A440="","",IF(OR(NOT(ISNUMBER($Q440)),NOT(ISNUMBER($R440))),"",$Q440-$R440))</f>
        <v/>
      </c>
      <c r="T440" s="21">
        <f>IF($A440="","",_xll.BDP($A440&amp;" Corp","YAS_BOND_YLD","YAS_YLD_FLAG=15","SETTLE_DT",$B$2))</f>
        <v/>
      </c>
      <c r="U440" s="24">
        <f>IF($A440="","",IF(OR(NOT(ISNUMBER($O440)),NOT(ISNUMBER($T440))),"",$O440-$T440))</f>
        <v/>
      </c>
      <c r="V440" s="22">
        <f>IF(NOT(ISNUMBER($S440)),"",COUNTIFS($G$7:$G$850,$G440,$S$7:$S$850,"&gt;"&amp;$S440)+COUNTIFS($G$7:$G440,$G440,$S$7:$S440,$S440))</f>
        <v/>
      </c>
      <c r="W440" s="22">
        <f>IF(NOT(ISNUMBER($S440)),"",COUNTIFS($G$7:$G$850,$G440,$S$7:$S$850,"&lt;"&amp;$S440)+COUNTIFS($G$7:$G440,$G440,$S$7:$S440,$S440))</f>
        <v/>
      </c>
      <c r="X440" s="17">
        <f>IF($V440="","",$G440&amp;"|"&amp;$V440)</f>
        <v/>
      </c>
      <c r="Y440" s="17">
        <f>IF($W440="","",$G440&amp;"|"&amp;$W440)</f>
        <v/>
      </c>
    </row>
    <row r="441">
      <c r="A441" s="7" t="inlineStr">
        <is>
          <t>XS1716248197</t>
        </is>
      </c>
      <c r="B441" s="8">
        <f>IF($A441="","",PROPER(_xll.BDP($A441&amp;" Corp","NAME")))</f>
        <v/>
      </c>
      <c r="C441" s="8">
        <f>IF($A441="","",IFERROR(INDEX(Company_desc!$B$2:$B$1144,MATCH($A441,Company_desc!$A$2:$A$1144,0)),IFERROR(INDEX(SYZ_static!$Q$2:$Q$806,MATCH($A441,SYZ_static!$A$2:$A$806,0)),"")))</f>
        <v/>
      </c>
      <c r="D441" s="8">
        <f>IF($A441="","",IFERROR(INDEX(SYZ_static!$B$2:$B$806,MATCH($A441,SYZ_static!$A$2:$A$806,0)),""))</f>
        <v/>
      </c>
      <c r="E441" s="8">
        <f>IF($A441="","",_xll.BDP($A441&amp;" Corp","INDUSTRY_SECTOR"))</f>
        <v/>
      </c>
      <c r="F441" s="8">
        <f>IF($A441="","",PROPER(_xll.BDP($A441&amp;" Corp","COUNTRY_FULL_NAME")))</f>
        <v/>
      </c>
      <c r="G441" s="8">
        <f>IF($A441="","",_xll.BDP($A441&amp;" Corp","CRNCY"))</f>
        <v/>
      </c>
      <c r="H441" s="8">
        <f>IF($A441="","",IFERROR(INDEX(SYZ_static!$T$2:$T$806,MATCH($A441,SYZ_static!$A$2:$A$806,0)),_xll.BDP($A441&amp;" Corp","RTG_SP")))</f>
        <v/>
      </c>
      <c r="I441" s="8">
        <f>IF($A441="","",IFERROR(INDEX(SYZ_static!$S$2:$S$806,MATCH($A441,SYZ_static!$A$2:$A$806,0)),""))</f>
        <v/>
      </c>
      <c r="J441" s="8">
        <f>IF($A441="","",_xll.BDP($A441&amp;" Corp","PAYMENT_RANK"))</f>
        <v/>
      </c>
      <c r="K441" s="9">
        <f>IF($A441="","",_xll.BDP($A441&amp;" Corp","CPN"))</f>
        <v/>
      </c>
      <c r="L441" s="10">
        <f>IF($A441="","",_xll.BDP($A441&amp;" Corp","MATURITY"))</f>
        <v/>
      </c>
      <c r="M441" s="11">
        <f>IF($A441="","",IFERROR(_xll.BDP($A441&amp;" Corp","MIN_PIECE")/1000,""))</f>
        <v/>
      </c>
      <c r="N441" s="12">
        <f>IF($A441="","",_xll.BDP($A441&amp;" Corp","PX_LAST"))</f>
        <v/>
      </c>
      <c r="O441" s="12">
        <f>IF($A441="","",_xll.BDP($A441&amp;" Corp","YAS_BOND_YLD","YAS_YLD_FLAG=15"))</f>
        <v/>
      </c>
      <c r="P441" s="12">
        <f>IF($A441="","",_xll.BDP($A441&amp;" Corp","YAS_MOD_DUR"))</f>
        <v/>
      </c>
      <c r="Q441" s="13">
        <f>IF($A441="","",_xll.BDP($A441&amp;" Corp","YAS_OAS_SPRD"))</f>
        <v/>
      </c>
      <c r="R441" s="13">
        <f>IF($A441="","",_xll.BDP($A441&amp;" Corp","YAS_OAS_SPRD","SETTLE_DT",$B$2))</f>
        <v/>
      </c>
      <c r="S441" s="14">
        <f>IF($A441="","",IF(OR(NOT(ISNUMBER($Q441)),NOT(ISNUMBER($R441))),"",$Q441-$R441))</f>
        <v/>
      </c>
      <c r="T441" s="12">
        <f>IF($A441="","",_xll.BDP($A441&amp;" Corp","YAS_BOND_YLD","YAS_YLD_FLAG=15","SETTLE_DT",$B$2))</f>
        <v/>
      </c>
      <c r="U441" s="15">
        <f>IF($A441="","",IF(OR(NOT(ISNUMBER($O441)),NOT(ISNUMBER($T441))),"",$O441-$T441))</f>
        <v/>
      </c>
      <c r="V441" s="13">
        <f>IF(NOT(ISNUMBER($S441)),"",COUNTIFS($G$7:$G$850,$G441,$S$7:$S$850,"&gt;"&amp;$S441)+COUNTIFS($G$7:$G441,$G441,$S$7:$S441,$S441))</f>
        <v/>
      </c>
      <c r="W441" s="13">
        <f>IF(NOT(ISNUMBER($S441)),"",COUNTIFS($G$7:$G$850,$G441,$S$7:$S$850,"&lt;"&amp;$S441)+COUNTIFS($G$7:$G441,$G441,$S$7:$S441,$S441))</f>
        <v/>
      </c>
      <c r="X441" s="8">
        <f>IF($V441="","",$G441&amp;"|"&amp;$V441)</f>
        <v/>
      </c>
      <c r="Y441" s="8">
        <f>IF($W441="","",$G441&amp;"|"&amp;$W441)</f>
        <v/>
      </c>
    </row>
    <row r="442">
      <c r="A442" s="16" t="inlineStr">
        <is>
          <t>XS2056491587</t>
        </is>
      </c>
      <c r="B442" s="17">
        <f>IF($A442="","",PROPER(_xll.BDP($A442&amp;" Corp","NAME")))</f>
        <v/>
      </c>
      <c r="C442" s="17">
        <f>IF($A442="","",IFERROR(INDEX(Company_desc!$B$2:$B$1144,MATCH($A442,Company_desc!$A$2:$A$1144,0)),IFERROR(INDEX(SYZ_static!$Q$2:$Q$806,MATCH($A442,SYZ_static!$A$2:$A$806,0)),"")))</f>
        <v/>
      </c>
      <c r="D442" s="17">
        <f>IF($A442="","",IFERROR(INDEX(SYZ_static!$B$2:$B$806,MATCH($A442,SYZ_static!$A$2:$A$806,0)),""))</f>
        <v/>
      </c>
      <c r="E442" s="17">
        <f>IF($A442="","",_xll.BDP($A442&amp;" Corp","INDUSTRY_SECTOR"))</f>
        <v/>
      </c>
      <c r="F442" s="17">
        <f>IF($A442="","",PROPER(_xll.BDP($A442&amp;" Corp","COUNTRY_FULL_NAME")))</f>
        <v/>
      </c>
      <c r="G442" s="17">
        <f>IF($A442="","",_xll.BDP($A442&amp;" Corp","CRNCY"))</f>
        <v/>
      </c>
      <c r="H442" s="17">
        <f>IF($A442="","",IFERROR(INDEX(SYZ_static!$T$2:$T$806,MATCH($A442,SYZ_static!$A$2:$A$806,0)),_xll.BDP($A442&amp;" Corp","RTG_SP")))</f>
        <v/>
      </c>
      <c r="I442" s="17">
        <f>IF($A442="","",IFERROR(INDEX(SYZ_static!$S$2:$S$806,MATCH($A442,SYZ_static!$A$2:$A$806,0)),""))</f>
        <v/>
      </c>
      <c r="J442" s="17">
        <f>IF($A442="","",_xll.BDP($A442&amp;" Corp","PAYMENT_RANK"))</f>
        <v/>
      </c>
      <c r="K442" s="18">
        <f>IF($A442="","",_xll.BDP($A442&amp;" Corp","CPN"))</f>
        <v/>
      </c>
      <c r="L442" s="19">
        <f>IF($A442="","",_xll.BDP($A442&amp;" Corp","MATURITY"))</f>
        <v/>
      </c>
      <c r="M442" s="20">
        <f>IF($A442="","",IFERROR(_xll.BDP($A442&amp;" Corp","MIN_PIECE")/1000,""))</f>
        <v/>
      </c>
      <c r="N442" s="21">
        <f>IF($A442="","",_xll.BDP($A442&amp;" Corp","PX_LAST"))</f>
        <v/>
      </c>
      <c r="O442" s="21">
        <f>IF($A442="","",_xll.BDP($A442&amp;" Corp","YAS_BOND_YLD","YAS_YLD_FLAG=15"))</f>
        <v/>
      </c>
      <c r="P442" s="21">
        <f>IF($A442="","",_xll.BDP($A442&amp;" Corp","YAS_MOD_DUR"))</f>
        <v/>
      </c>
      <c r="Q442" s="22">
        <f>IF($A442="","",_xll.BDP($A442&amp;" Corp","YAS_OAS_SPRD"))</f>
        <v/>
      </c>
      <c r="R442" s="22">
        <f>IF($A442="","",_xll.BDP($A442&amp;" Corp","YAS_OAS_SPRD","SETTLE_DT",$B$2))</f>
        <v/>
      </c>
      <c r="S442" s="23">
        <f>IF($A442="","",IF(OR(NOT(ISNUMBER($Q442)),NOT(ISNUMBER($R442))),"",$Q442-$R442))</f>
        <v/>
      </c>
      <c r="T442" s="21">
        <f>IF($A442="","",_xll.BDP($A442&amp;" Corp","YAS_BOND_YLD","YAS_YLD_FLAG=15","SETTLE_DT",$B$2))</f>
        <v/>
      </c>
      <c r="U442" s="24">
        <f>IF($A442="","",IF(OR(NOT(ISNUMBER($O442)),NOT(ISNUMBER($T442))),"",$O442-$T442))</f>
        <v/>
      </c>
      <c r="V442" s="22">
        <f>IF(NOT(ISNUMBER($S442)),"",COUNTIFS($G$7:$G$850,$G442,$S$7:$S$850,"&gt;"&amp;$S442)+COUNTIFS($G$7:$G442,$G442,$S$7:$S442,$S442))</f>
        <v/>
      </c>
      <c r="W442" s="22">
        <f>IF(NOT(ISNUMBER($S442)),"",COUNTIFS($G$7:$G$850,$G442,$S$7:$S$850,"&lt;"&amp;$S442)+COUNTIFS($G$7:$G442,$G442,$S$7:$S442,$S442))</f>
        <v/>
      </c>
      <c r="X442" s="17">
        <f>IF($V442="","",$G442&amp;"|"&amp;$V442)</f>
        <v/>
      </c>
      <c r="Y442" s="17">
        <f>IF($W442="","",$G442&amp;"|"&amp;$W442)</f>
        <v/>
      </c>
    </row>
    <row r="443">
      <c r="A443" s="7" t="inlineStr">
        <is>
          <t>XS2104968404</t>
        </is>
      </c>
      <c r="B443" s="8">
        <f>IF($A443="","",PROPER(_xll.BDP($A443&amp;" Corp","NAME")))</f>
        <v/>
      </c>
      <c r="C443" s="8">
        <f>IF($A443="","",IFERROR(INDEX(Company_desc!$B$2:$B$1144,MATCH($A443,Company_desc!$A$2:$A$1144,0)),IFERROR(INDEX(SYZ_static!$Q$2:$Q$806,MATCH($A443,SYZ_static!$A$2:$A$806,0)),"")))</f>
        <v/>
      </c>
      <c r="D443" s="8">
        <f>IF($A443="","",IFERROR(INDEX(SYZ_static!$B$2:$B$806,MATCH($A443,SYZ_static!$A$2:$A$806,0)),""))</f>
        <v/>
      </c>
      <c r="E443" s="8">
        <f>IF($A443="","",_xll.BDP($A443&amp;" Corp","INDUSTRY_SECTOR"))</f>
        <v/>
      </c>
      <c r="F443" s="8">
        <f>IF($A443="","",PROPER(_xll.BDP($A443&amp;" Corp","COUNTRY_FULL_NAME")))</f>
        <v/>
      </c>
      <c r="G443" s="8">
        <f>IF($A443="","",_xll.BDP($A443&amp;" Corp","CRNCY"))</f>
        <v/>
      </c>
      <c r="H443" s="8">
        <f>IF($A443="","",IFERROR(INDEX(SYZ_static!$T$2:$T$806,MATCH($A443,SYZ_static!$A$2:$A$806,0)),_xll.BDP($A443&amp;" Corp","RTG_SP")))</f>
        <v/>
      </c>
      <c r="I443" s="8">
        <f>IF($A443="","",IFERROR(INDEX(SYZ_static!$S$2:$S$806,MATCH($A443,SYZ_static!$A$2:$A$806,0)),""))</f>
        <v/>
      </c>
      <c r="J443" s="8">
        <f>IF($A443="","",_xll.BDP($A443&amp;" Corp","PAYMENT_RANK"))</f>
        <v/>
      </c>
      <c r="K443" s="9">
        <f>IF($A443="","",_xll.BDP($A443&amp;" Corp","CPN"))</f>
        <v/>
      </c>
      <c r="L443" s="10">
        <f>IF($A443="","",_xll.BDP($A443&amp;" Corp","MATURITY"))</f>
        <v/>
      </c>
      <c r="M443" s="11">
        <f>IF($A443="","",IFERROR(_xll.BDP($A443&amp;" Corp","MIN_PIECE")/1000,""))</f>
        <v/>
      </c>
      <c r="N443" s="12">
        <f>IF($A443="","",_xll.BDP($A443&amp;" Corp","PX_LAST"))</f>
        <v/>
      </c>
      <c r="O443" s="12">
        <f>IF($A443="","",_xll.BDP($A443&amp;" Corp","YAS_BOND_YLD","YAS_YLD_FLAG=15"))</f>
        <v/>
      </c>
      <c r="P443" s="12">
        <f>IF($A443="","",_xll.BDP($A443&amp;" Corp","YAS_MOD_DUR"))</f>
        <v/>
      </c>
      <c r="Q443" s="13">
        <f>IF($A443="","",_xll.BDP($A443&amp;" Corp","YAS_OAS_SPRD"))</f>
        <v/>
      </c>
      <c r="R443" s="13">
        <f>IF($A443="","",_xll.BDP($A443&amp;" Corp","YAS_OAS_SPRD","SETTLE_DT",$B$2))</f>
        <v/>
      </c>
      <c r="S443" s="14">
        <f>IF($A443="","",IF(OR(NOT(ISNUMBER($Q443)),NOT(ISNUMBER($R443))),"",$Q443-$R443))</f>
        <v/>
      </c>
      <c r="T443" s="12">
        <f>IF($A443="","",_xll.BDP($A443&amp;" Corp","YAS_BOND_YLD","YAS_YLD_FLAG=15","SETTLE_DT",$B$2))</f>
        <v/>
      </c>
      <c r="U443" s="15">
        <f>IF($A443="","",IF(OR(NOT(ISNUMBER($O443)),NOT(ISNUMBER($T443))),"",$O443-$T443))</f>
        <v/>
      </c>
      <c r="V443" s="13">
        <f>IF(NOT(ISNUMBER($S443)),"",COUNTIFS($G$7:$G$850,$G443,$S$7:$S$850,"&gt;"&amp;$S443)+COUNTIFS($G$7:$G443,$G443,$S$7:$S443,$S443))</f>
        <v/>
      </c>
      <c r="W443" s="13">
        <f>IF(NOT(ISNUMBER($S443)),"",COUNTIFS($G$7:$G$850,$G443,$S$7:$S$850,"&lt;"&amp;$S443)+COUNTIFS($G$7:$G443,$G443,$S$7:$S443,$S443))</f>
        <v/>
      </c>
      <c r="X443" s="8">
        <f>IF($V443="","",$G443&amp;"|"&amp;$V443)</f>
        <v/>
      </c>
      <c r="Y443" s="8">
        <f>IF($W443="","",$G443&amp;"|"&amp;$W443)</f>
        <v/>
      </c>
    </row>
    <row r="444">
      <c r="A444" s="16" t="inlineStr">
        <is>
          <t>XS1577961862</t>
        </is>
      </c>
      <c r="B444" s="17">
        <f>IF($A444="","",PROPER(_xll.BDP($A444&amp;" Corp","NAME")))</f>
        <v/>
      </c>
      <c r="C444" s="17">
        <f>IF($A444="","",IFERROR(INDEX(Company_desc!$B$2:$B$1144,MATCH($A444,Company_desc!$A$2:$A$1144,0)),IFERROR(INDEX(SYZ_static!$Q$2:$Q$806,MATCH($A444,SYZ_static!$A$2:$A$806,0)),"")))</f>
        <v/>
      </c>
      <c r="D444" s="17">
        <f>IF($A444="","",IFERROR(INDEX(SYZ_static!$B$2:$B$806,MATCH($A444,SYZ_static!$A$2:$A$806,0)),""))</f>
        <v/>
      </c>
      <c r="E444" s="17">
        <f>IF($A444="","",_xll.BDP($A444&amp;" Corp","INDUSTRY_SECTOR"))</f>
        <v/>
      </c>
      <c r="F444" s="17">
        <f>IF($A444="","",PROPER(_xll.BDP($A444&amp;" Corp","COUNTRY_FULL_NAME")))</f>
        <v/>
      </c>
      <c r="G444" s="17">
        <f>IF($A444="","",_xll.BDP($A444&amp;" Corp","CRNCY"))</f>
        <v/>
      </c>
      <c r="H444" s="17">
        <f>IF($A444="","",IFERROR(INDEX(SYZ_static!$T$2:$T$806,MATCH($A444,SYZ_static!$A$2:$A$806,0)),_xll.BDP($A444&amp;" Corp","RTG_SP")))</f>
        <v/>
      </c>
      <c r="I444" s="17">
        <f>IF($A444="","",IFERROR(INDEX(SYZ_static!$S$2:$S$806,MATCH($A444,SYZ_static!$A$2:$A$806,0)),""))</f>
        <v/>
      </c>
      <c r="J444" s="17">
        <f>IF($A444="","",_xll.BDP($A444&amp;" Corp","PAYMENT_RANK"))</f>
        <v/>
      </c>
      <c r="K444" s="18">
        <f>IF($A444="","",_xll.BDP($A444&amp;" Corp","CPN"))</f>
        <v/>
      </c>
      <c r="L444" s="19">
        <f>IF($A444="","",_xll.BDP($A444&amp;" Corp","MATURITY"))</f>
        <v/>
      </c>
      <c r="M444" s="20">
        <f>IF($A444="","",IFERROR(_xll.BDP($A444&amp;" Corp","MIN_PIECE")/1000,""))</f>
        <v/>
      </c>
      <c r="N444" s="21">
        <f>IF($A444="","",_xll.BDP($A444&amp;" Corp","PX_LAST"))</f>
        <v/>
      </c>
      <c r="O444" s="21">
        <f>IF($A444="","",_xll.BDP($A444&amp;" Corp","YAS_BOND_YLD","YAS_YLD_FLAG=15"))</f>
        <v/>
      </c>
      <c r="P444" s="21">
        <f>IF($A444="","",_xll.BDP($A444&amp;" Corp","YAS_MOD_DUR"))</f>
        <v/>
      </c>
      <c r="Q444" s="22">
        <f>IF($A444="","",_xll.BDP($A444&amp;" Corp","YAS_OAS_SPRD"))</f>
        <v/>
      </c>
      <c r="R444" s="22">
        <f>IF($A444="","",_xll.BDP($A444&amp;" Corp","YAS_OAS_SPRD","SETTLE_DT",$B$2))</f>
        <v/>
      </c>
      <c r="S444" s="23">
        <f>IF($A444="","",IF(OR(NOT(ISNUMBER($Q444)),NOT(ISNUMBER($R444))),"",$Q444-$R444))</f>
        <v/>
      </c>
      <c r="T444" s="21">
        <f>IF($A444="","",_xll.BDP($A444&amp;" Corp","YAS_BOND_YLD","YAS_YLD_FLAG=15","SETTLE_DT",$B$2))</f>
        <v/>
      </c>
      <c r="U444" s="24">
        <f>IF($A444="","",IF(OR(NOT(ISNUMBER($O444)),NOT(ISNUMBER($T444))),"",$O444-$T444))</f>
        <v/>
      </c>
      <c r="V444" s="22">
        <f>IF(NOT(ISNUMBER($S444)),"",COUNTIFS($G$7:$G$850,$G444,$S$7:$S$850,"&gt;"&amp;$S444)+COUNTIFS($G$7:$G444,$G444,$S$7:$S444,$S444))</f>
        <v/>
      </c>
      <c r="W444" s="22">
        <f>IF(NOT(ISNUMBER($S444)),"",COUNTIFS($G$7:$G$850,$G444,$S$7:$S$850,"&lt;"&amp;$S444)+COUNTIFS($G$7:$G444,$G444,$S$7:$S444,$S444))</f>
        <v/>
      </c>
      <c r="X444" s="17">
        <f>IF($V444="","",$G444&amp;"|"&amp;$V444)</f>
        <v/>
      </c>
      <c r="Y444" s="17">
        <f>IF($W444="","",$G444&amp;"|"&amp;$W444)</f>
        <v/>
      </c>
    </row>
    <row r="445">
      <c r="A445" s="7" t="inlineStr">
        <is>
          <t>US054989AA67</t>
        </is>
      </c>
      <c r="B445" s="8">
        <f>IF($A445="","",PROPER(_xll.BDP($A445&amp;" Corp","NAME")))</f>
        <v/>
      </c>
      <c r="C445" s="8">
        <f>IF($A445="","",IFERROR(INDEX(Company_desc!$B$2:$B$1144,MATCH($A445,Company_desc!$A$2:$A$1144,0)),IFERROR(INDEX(SYZ_static!$Q$2:$Q$806,MATCH($A445,SYZ_static!$A$2:$A$806,0)),"")))</f>
        <v/>
      </c>
      <c r="D445" s="8">
        <f>IF($A445="","",IFERROR(INDEX(SYZ_static!$B$2:$B$806,MATCH($A445,SYZ_static!$A$2:$A$806,0)),""))</f>
        <v/>
      </c>
      <c r="E445" s="8">
        <f>IF($A445="","",_xll.BDP($A445&amp;" Corp","INDUSTRY_SECTOR"))</f>
        <v/>
      </c>
      <c r="F445" s="8">
        <f>IF($A445="","",PROPER(_xll.BDP($A445&amp;" Corp","COUNTRY_FULL_NAME")))</f>
        <v/>
      </c>
      <c r="G445" s="8">
        <f>IF($A445="","",_xll.BDP($A445&amp;" Corp","CRNCY"))</f>
        <v/>
      </c>
      <c r="H445" s="8">
        <f>IF($A445="","",IFERROR(INDEX(SYZ_static!$T$2:$T$806,MATCH($A445,SYZ_static!$A$2:$A$806,0)),_xll.BDP($A445&amp;" Corp","RTG_SP")))</f>
        <v/>
      </c>
      <c r="I445" s="8">
        <f>IF($A445="","",IFERROR(INDEX(SYZ_static!$S$2:$S$806,MATCH($A445,SYZ_static!$A$2:$A$806,0)),""))</f>
        <v/>
      </c>
      <c r="J445" s="8">
        <f>IF($A445="","",_xll.BDP($A445&amp;" Corp","PAYMENT_RANK"))</f>
        <v/>
      </c>
      <c r="K445" s="9">
        <f>IF($A445="","",_xll.BDP($A445&amp;" Corp","CPN"))</f>
        <v/>
      </c>
      <c r="L445" s="10">
        <f>IF($A445="","",_xll.BDP($A445&amp;" Corp","MATURITY"))</f>
        <v/>
      </c>
      <c r="M445" s="11">
        <f>IF($A445="","",IFERROR(_xll.BDP($A445&amp;" Corp","MIN_PIECE")/1000,""))</f>
        <v/>
      </c>
      <c r="N445" s="12">
        <f>IF($A445="","",_xll.BDP($A445&amp;" Corp","PX_LAST"))</f>
        <v/>
      </c>
      <c r="O445" s="12">
        <f>IF($A445="","",_xll.BDP($A445&amp;" Corp","YAS_BOND_YLD","YAS_YLD_FLAG=15"))</f>
        <v/>
      </c>
      <c r="P445" s="12">
        <f>IF($A445="","",_xll.BDP($A445&amp;" Corp","YAS_MOD_DUR"))</f>
        <v/>
      </c>
      <c r="Q445" s="13">
        <f>IF($A445="","",_xll.BDP($A445&amp;" Corp","YAS_OAS_SPRD"))</f>
        <v/>
      </c>
      <c r="R445" s="13">
        <f>IF($A445="","",_xll.BDP($A445&amp;" Corp","YAS_OAS_SPRD","SETTLE_DT",$B$2))</f>
        <v/>
      </c>
      <c r="S445" s="14">
        <f>IF($A445="","",IF(OR(NOT(ISNUMBER($Q445)),NOT(ISNUMBER($R445))),"",$Q445-$R445))</f>
        <v/>
      </c>
      <c r="T445" s="12">
        <f>IF($A445="","",_xll.BDP($A445&amp;" Corp","YAS_BOND_YLD","YAS_YLD_FLAG=15","SETTLE_DT",$B$2))</f>
        <v/>
      </c>
      <c r="U445" s="15">
        <f>IF($A445="","",IF(OR(NOT(ISNUMBER($O445)),NOT(ISNUMBER($T445))),"",$O445-$T445))</f>
        <v/>
      </c>
      <c r="V445" s="13">
        <f>IF(NOT(ISNUMBER($S445)),"",COUNTIFS($G$7:$G$850,$G445,$S$7:$S$850,"&gt;"&amp;$S445)+COUNTIFS($G$7:$G445,$G445,$S$7:$S445,$S445))</f>
        <v/>
      </c>
      <c r="W445" s="13">
        <f>IF(NOT(ISNUMBER($S445)),"",COUNTIFS($G$7:$G$850,$G445,$S$7:$S$850,"&lt;"&amp;$S445)+COUNTIFS($G$7:$G445,$G445,$S$7:$S445,$S445))</f>
        <v/>
      </c>
      <c r="X445" s="8">
        <f>IF($V445="","",$G445&amp;"|"&amp;$V445)</f>
        <v/>
      </c>
      <c r="Y445" s="8">
        <f>IF($W445="","",$G445&amp;"|"&amp;$W445)</f>
        <v/>
      </c>
    </row>
    <row r="446">
      <c r="A446" s="16" t="inlineStr">
        <is>
          <t>CH0330938876</t>
        </is>
      </c>
      <c r="B446" s="17">
        <f>IF($A446="","",PROPER(_xll.BDP($A446&amp;" Corp","NAME")))</f>
        <v/>
      </c>
      <c r="C446" s="17">
        <f>IF($A446="","",IFERROR(INDEX(Company_desc!$B$2:$B$1144,MATCH($A446,Company_desc!$A$2:$A$1144,0)),IFERROR(INDEX(SYZ_static!$Q$2:$Q$806,MATCH($A446,SYZ_static!$A$2:$A$806,0)),"")))</f>
        <v/>
      </c>
      <c r="D446" s="17">
        <f>IF($A446="","",IFERROR(INDEX(SYZ_static!$B$2:$B$806,MATCH($A446,SYZ_static!$A$2:$A$806,0)),""))</f>
        <v/>
      </c>
      <c r="E446" s="17">
        <f>IF($A446="","",_xll.BDP($A446&amp;" Corp","INDUSTRY_SECTOR"))</f>
        <v/>
      </c>
      <c r="F446" s="17">
        <f>IF($A446="","",PROPER(_xll.BDP($A446&amp;" Corp","COUNTRY_FULL_NAME")))</f>
        <v/>
      </c>
      <c r="G446" s="17">
        <f>IF($A446="","",_xll.BDP($A446&amp;" Corp","CRNCY"))</f>
        <v/>
      </c>
      <c r="H446" s="17">
        <f>IF($A446="","",IFERROR(INDEX(SYZ_static!$T$2:$T$806,MATCH($A446,SYZ_static!$A$2:$A$806,0)),_xll.BDP($A446&amp;" Corp","RTG_SP")))</f>
        <v/>
      </c>
      <c r="I446" s="17">
        <f>IF($A446="","",IFERROR(INDEX(SYZ_static!$S$2:$S$806,MATCH($A446,SYZ_static!$A$2:$A$806,0)),""))</f>
        <v/>
      </c>
      <c r="J446" s="17">
        <f>IF($A446="","",_xll.BDP($A446&amp;" Corp","PAYMENT_RANK"))</f>
        <v/>
      </c>
      <c r="K446" s="18">
        <f>IF($A446="","",_xll.BDP($A446&amp;" Corp","CPN"))</f>
        <v/>
      </c>
      <c r="L446" s="19">
        <f>IF($A446="","",_xll.BDP($A446&amp;" Corp","MATURITY"))</f>
        <v/>
      </c>
      <c r="M446" s="20">
        <f>IF($A446="","",IFERROR(_xll.BDP($A446&amp;" Corp","MIN_PIECE")/1000,""))</f>
        <v/>
      </c>
      <c r="N446" s="21">
        <f>IF($A446="","",_xll.BDP($A446&amp;" Corp","PX_LAST"))</f>
        <v/>
      </c>
      <c r="O446" s="21">
        <f>IF($A446="","",_xll.BDP($A446&amp;" Corp","YAS_BOND_YLD","YAS_YLD_FLAG=15"))</f>
        <v/>
      </c>
      <c r="P446" s="21">
        <f>IF($A446="","",_xll.BDP($A446&amp;" Corp","YAS_MOD_DUR"))</f>
        <v/>
      </c>
      <c r="Q446" s="22">
        <f>IF($A446="","",_xll.BDP($A446&amp;" Corp","YAS_OAS_SPRD"))</f>
        <v/>
      </c>
      <c r="R446" s="22">
        <f>IF($A446="","",_xll.BDP($A446&amp;" Corp","YAS_OAS_SPRD","SETTLE_DT",$B$2))</f>
        <v/>
      </c>
      <c r="S446" s="23">
        <f>IF($A446="","",IF(OR(NOT(ISNUMBER($Q446)),NOT(ISNUMBER($R446))),"",$Q446-$R446))</f>
        <v/>
      </c>
      <c r="T446" s="21">
        <f>IF($A446="","",_xll.BDP($A446&amp;" Corp","YAS_BOND_YLD","YAS_YLD_FLAG=15","SETTLE_DT",$B$2))</f>
        <v/>
      </c>
      <c r="U446" s="24">
        <f>IF($A446="","",IF(OR(NOT(ISNUMBER($O446)),NOT(ISNUMBER($T446))),"",$O446-$T446))</f>
        <v/>
      </c>
      <c r="V446" s="22">
        <f>IF(NOT(ISNUMBER($S446)),"",COUNTIFS($G$7:$G$850,$G446,$S$7:$S$850,"&gt;"&amp;$S446)+COUNTIFS($G$7:$G446,$G446,$S$7:$S446,$S446))</f>
        <v/>
      </c>
      <c r="W446" s="22">
        <f>IF(NOT(ISNUMBER($S446)),"",COUNTIFS($G$7:$G$850,$G446,$S$7:$S$850,"&lt;"&amp;$S446)+COUNTIFS($G$7:$G446,$G446,$S$7:$S446,$S446))</f>
        <v/>
      </c>
      <c r="X446" s="17">
        <f>IF($V446="","",$G446&amp;"|"&amp;$V446)</f>
        <v/>
      </c>
      <c r="Y446" s="17">
        <f>IF($W446="","",$G446&amp;"|"&amp;$W446)</f>
        <v/>
      </c>
    </row>
    <row r="447">
      <c r="A447" s="7" t="inlineStr">
        <is>
          <t>XS2985139356</t>
        </is>
      </c>
      <c r="B447" s="8">
        <f>IF($A447="","",PROPER(_xll.BDP($A447&amp;" Corp","NAME")))</f>
        <v/>
      </c>
      <c r="C447" s="8">
        <f>IF($A447="","",IFERROR(INDEX(Company_desc!$B$2:$B$1144,MATCH($A447,Company_desc!$A$2:$A$1144,0)),IFERROR(INDEX(SYZ_static!$Q$2:$Q$806,MATCH($A447,SYZ_static!$A$2:$A$806,0)),"")))</f>
        <v/>
      </c>
      <c r="D447" s="8">
        <f>IF($A447="","",IFERROR(INDEX(SYZ_static!$B$2:$B$806,MATCH($A447,SYZ_static!$A$2:$A$806,0)),""))</f>
        <v/>
      </c>
      <c r="E447" s="8">
        <f>IF($A447="","",_xll.BDP($A447&amp;" Corp","INDUSTRY_SECTOR"))</f>
        <v/>
      </c>
      <c r="F447" s="8">
        <f>IF($A447="","",PROPER(_xll.BDP($A447&amp;" Corp","COUNTRY_FULL_NAME")))</f>
        <v/>
      </c>
      <c r="G447" s="8">
        <f>IF($A447="","",_xll.BDP($A447&amp;" Corp","CRNCY"))</f>
        <v/>
      </c>
      <c r="H447" s="8">
        <f>IF($A447="","",IFERROR(INDEX(SYZ_static!$T$2:$T$806,MATCH($A447,SYZ_static!$A$2:$A$806,0)),_xll.BDP($A447&amp;" Corp","RTG_SP")))</f>
        <v/>
      </c>
      <c r="I447" s="8">
        <f>IF($A447="","",IFERROR(INDEX(SYZ_static!$S$2:$S$806,MATCH($A447,SYZ_static!$A$2:$A$806,0)),""))</f>
        <v/>
      </c>
      <c r="J447" s="8">
        <f>IF($A447="","",_xll.BDP($A447&amp;" Corp","PAYMENT_RANK"))</f>
        <v/>
      </c>
      <c r="K447" s="9">
        <f>IF($A447="","",_xll.BDP($A447&amp;" Corp","CPN"))</f>
        <v/>
      </c>
      <c r="L447" s="10">
        <f>IF($A447="","",_xll.BDP($A447&amp;" Corp","MATURITY"))</f>
        <v/>
      </c>
      <c r="M447" s="11">
        <f>IF($A447="","",IFERROR(_xll.BDP($A447&amp;" Corp","MIN_PIECE")/1000,""))</f>
        <v/>
      </c>
      <c r="N447" s="12">
        <f>IF($A447="","",_xll.BDP($A447&amp;" Corp","PX_LAST"))</f>
        <v/>
      </c>
      <c r="O447" s="12">
        <f>IF($A447="","",_xll.BDP($A447&amp;" Corp","YAS_BOND_YLD","YAS_YLD_FLAG=15"))</f>
        <v/>
      </c>
      <c r="P447" s="12">
        <f>IF($A447="","",_xll.BDP($A447&amp;" Corp","YAS_MOD_DUR"))</f>
        <v/>
      </c>
      <c r="Q447" s="13">
        <f>IF($A447="","",_xll.BDP($A447&amp;" Corp","YAS_OAS_SPRD"))</f>
        <v/>
      </c>
      <c r="R447" s="13">
        <f>IF($A447="","",_xll.BDP($A447&amp;" Corp","YAS_OAS_SPRD","SETTLE_DT",$B$2))</f>
        <v/>
      </c>
      <c r="S447" s="14">
        <f>IF($A447="","",IF(OR(NOT(ISNUMBER($Q447)),NOT(ISNUMBER($R447))),"",$Q447-$R447))</f>
        <v/>
      </c>
      <c r="T447" s="12">
        <f>IF($A447="","",_xll.BDP($A447&amp;" Corp","YAS_BOND_YLD","YAS_YLD_FLAG=15","SETTLE_DT",$B$2))</f>
        <v/>
      </c>
      <c r="U447" s="15">
        <f>IF($A447="","",IF(OR(NOT(ISNUMBER($O447)),NOT(ISNUMBER($T447))),"",$O447-$T447))</f>
        <v/>
      </c>
      <c r="V447" s="13">
        <f>IF(NOT(ISNUMBER($S447)),"",COUNTIFS($G$7:$G$850,$G447,$S$7:$S$850,"&gt;"&amp;$S447)+COUNTIFS($G$7:$G447,$G447,$S$7:$S447,$S447))</f>
        <v/>
      </c>
      <c r="W447" s="13">
        <f>IF(NOT(ISNUMBER($S447)),"",COUNTIFS($G$7:$G$850,$G447,$S$7:$S$850,"&lt;"&amp;$S447)+COUNTIFS($G$7:$G447,$G447,$S$7:$S447,$S447))</f>
        <v/>
      </c>
      <c r="X447" s="8">
        <f>IF($V447="","",$G447&amp;"|"&amp;$V447)</f>
        <v/>
      </c>
      <c r="Y447" s="8">
        <f>IF($W447="","",$G447&amp;"|"&amp;$W447)</f>
        <v/>
      </c>
    </row>
    <row r="448">
      <c r="A448" s="16" t="inlineStr">
        <is>
          <t>FR0014006ND8</t>
        </is>
      </c>
      <c r="B448" s="17">
        <f>IF($A448="","",PROPER(_xll.BDP($A448&amp;" Corp","NAME")))</f>
        <v/>
      </c>
      <c r="C448" s="17">
        <f>IF($A448="","",IFERROR(INDEX(Company_desc!$B$2:$B$1144,MATCH($A448,Company_desc!$A$2:$A$1144,0)),IFERROR(INDEX(SYZ_static!$Q$2:$Q$806,MATCH($A448,SYZ_static!$A$2:$A$806,0)),"")))</f>
        <v/>
      </c>
      <c r="D448" s="17">
        <f>IF($A448="","",IFERROR(INDEX(SYZ_static!$B$2:$B$806,MATCH($A448,SYZ_static!$A$2:$A$806,0)),""))</f>
        <v/>
      </c>
      <c r="E448" s="17">
        <f>IF($A448="","",_xll.BDP($A448&amp;" Corp","INDUSTRY_SECTOR"))</f>
        <v/>
      </c>
      <c r="F448" s="17">
        <f>IF($A448="","",PROPER(_xll.BDP($A448&amp;" Corp","COUNTRY_FULL_NAME")))</f>
        <v/>
      </c>
      <c r="G448" s="17">
        <f>IF($A448="","",_xll.BDP($A448&amp;" Corp","CRNCY"))</f>
        <v/>
      </c>
      <c r="H448" s="17">
        <f>IF($A448="","",IFERROR(INDEX(SYZ_static!$T$2:$T$806,MATCH($A448,SYZ_static!$A$2:$A$806,0)),_xll.BDP($A448&amp;" Corp","RTG_SP")))</f>
        <v/>
      </c>
      <c r="I448" s="17">
        <f>IF($A448="","",IFERROR(INDEX(SYZ_static!$S$2:$S$806,MATCH($A448,SYZ_static!$A$2:$A$806,0)),""))</f>
        <v/>
      </c>
      <c r="J448" s="17">
        <f>IF($A448="","",_xll.BDP($A448&amp;" Corp","PAYMENT_RANK"))</f>
        <v/>
      </c>
      <c r="K448" s="18">
        <f>IF($A448="","",_xll.BDP($A448&amp;" Corp","CPN"))</f>
        <v/>
      </c>
      <c r="L448" s="19">
        <f>IF($A448="","",_xll.BDP($A448&amp;" Corp","MATURITY"))</f>
        <v/>
      </c>
      <c r="M448" s="20">
        <f>IF($A448="","",IFERROR(_xll.BDP($A448&amp;" Corp","MIN_PIECE")/1000,""))</f>
        <v/>
      </c>
      <c r="N448" s="21">
        <f>IF($A448="","",_xll.BDP($A448&amp;" Corp","PX_LAST"))</f>
        <v/>
      </c>
      <c r="O448" s="21">
        <f>IF($A448="","",_xll.BDP($A448&amp;" Corp","YAS_BOND_YLD","YAS_YLD_FLAG=15"))</f>
        <v/>
      </c>
      <c r="P448" s="21">
        <f>IF($A448="","",_xll.BDP($A448&amp;" Corp","YAS_MOD_DUR"))</f>
        <v/>
      </c>
      <c r="Q448" s="22">
        <f>IF($A448="","",_xll.BDP($A448&amp;" Corp","YAS_OAS_SPRD"))</f>
        <v/>
      </c>
      <c r="R448" s="22">
        <f>IF($A448="","",_xll.BDP($A448&amp;" Corp","YAS_OAS_SPRD","SETTLE_DT",$B$2))</f>
        <v/>
      </c>
      <c r="S448" s="23">
        <f>IF($A448="","",IF(OR(NOT(ISNUMBER($Q448)),NOT(ISNUMBER($R448))),"",$Q448-$R448))</f>
        <v/>
      </c>
      <c r="T448" s="21">
        <f>IF($A448="","",_xll.BDP($A448&amp;" Corp","YAS_BOND_YLD","YAS_YLD_FLAG=15","SETTLE_DT",$B$2))</f>
        <v/>
      </c>
      <c r="U448" s="24">
        <f>IF($A448="","",IF(OR(NOT(ISNUMBER($O448)),NOT(ISNUMBER($T448))),"",$O448-$T448))</f>
        <v/>
      </c>
      <c r="V448" s="22">
        <f>IF(NOT(ISNUMBER($S448)),"",COUNTIFS($G$7:$G$850,$G448,$S$7:$S$850,"&gt;"&amp;$S448)+COUNTIFS($G$7:$G448,$G448,$S$7:$S448,$S448))</f>
        <v/>
      </c>
      <c r="W448" s="22">
        <f>IF(NOT(ISNUMBER($S448)),"",COUNTIFS($G$7:$G$850,$G448,$S$7:$S$850,"&lt;"&amp;$S448)+COUNTIFS($G$7:$G448,$G448,$S$7:$S448,$S448))</f>
        <v/>
      </c>
      <c r="X448" s="17">
        <f>IF($V448="","",$G448&amp;"|"&amp;$V448)</f>
        <v/>
      </c>
      <c r="Y448" s="17">
        <f>IF($W448="","",$G448&amp;"|"&amp;$W448)</f>
        <v/>
      </c>
    </row>
    <row r="449">
      <c r="A449" s="7" t="inlineStr">
        <is>
          <t>XS1345415472</t>
        </is>
      </c>
      <c r="B449" s="8">
        <f>IF($A449="","",PROPER(_xll.BDP($A449&amp;" Corp","NAME")))</f>
        <v/>
      </c>
      <c r="C449" s="8">
        <f>IF($A449="","",IFERROR(INDEX(Company_desc!$B$2:$B$1144,MATCH($A449,Company_desc!$A$2:$A$1144,0)),IFERROR(INDEX(SYZ_static!$Q$2:$Q$806,MATCH($A449,SYZ_static!$A$2:$A$806,0)),"")))</f>
        <v/>
      </c>
      <c r="D449" s="8">
        <f>IF($A449="","",IFERROR(INDEX(SYZ_static!$B$2:$B$806,MATCH($A449,SYZ_static!$A$2:$A$806,0)),""))</f>
        <v/>
      </c>
      <c r="E449" s="8">
        <f>IF($A449="","",_xll.BDP($A449&amp;" Corp","INDUSTRY_SECTOR"))</f>
        <v/>
      </c>
      <c r="F449" s="8">
        <f>IF($A449="","",PROPER(_xll.BDP($A449&amp;" Corp","COUNTRY_FULL_NAME")))</f>
        <v/>
      </c>
      <c r="G449" s="8">
        <f>IF($A449="","",_xll.BDP($A449&amp;" Corp","CRNCY"))</f>
        <v/>
      </c>
      <c r="H449" s="8">
        <f>IF($A449="","",IFERROR(INDEX(SYZ_static!$T$2:$T$806,MATCH($A449,SYZ_static!$A$2:$A$806,0)),_xll.BDP($A449&amp;" Corp","RTG_SP")))</f>
        <v/>
      </c>
      <c r="I449" s="8">
        <f>IF($A449="","",IFERROR(INDEX(SYZ_static!$S$2:$S$806,MATCH($A449,SYZ_static!$A$2:$A$806,0)),""))</f>
        <v/>
      </c>
      <c r="J449" s="8">
        <f>IF($A449="","",_xll.BDP($A449&amp;" Corp","PAYMENT_RANK"))</f>
        <v/>
      </c>
      <c r="K449" s="9">
        <f>IF($A449="","",_xll.BDP($A449&amp;" Corp","CPN"))</f>
        <v/>
      </c>
      <c r="L449" s="10">
        <f>IF($A449="","",_xll.BDP($A449&amp;" Corp","MATURITY"))</f>
        <v/>
      </c>
      <c r="M449" s="11">
        <f>IF($A449="","",IFERROR(_xll.BDP($A449&amp;" Corp","MIN_PIECE")/1000,""))</f>
        <v/>
      </c>
      <c r="N449" s="12">
        <f>IF($A449="","",_xll.BDP($A449&amp;" Corp","PX_LAST"))</f>
        <v/>
      </c>
      <c r="O449" s="12">
        <f>IF($A449="","",_xll.BDP($A449&amp;" Corp","YAS_BOND_YLD","YAS_YLD_FLAG=15"))</f>
        <v/>
      </c>
      <c r="P449" s="12">
        <f>IF($A449="","",_xll.BDP($A449&amp;" Corp","YAS_MOD_DUR"))</f>
        <v/>
      </c>
      <c r="Q449" s="13">
        <f>IF($A449="","",_xll.BDP($A449&amp;" Corp","YAS_OAS_SPRD"))</f>
        <v/>
      </c>
      <c r="R449" s="13">
        <f>IF($A449="","",_xll.BDP($A449&amp;" Corp","YAS_OAS_SPRD","SETTLE_DT",$B$2))</f>
        <v/>
      </c>
      <c r="S449" s="14">
        <f>IF($A449="","",IF(OR(NOT(ISNUMBER($Q449)),NOT(ISNUMBER($R449))),"",$Q449-$R449))</f>
        <v/>
      </c>
      <c r="T449" s="12">
        <f>IF($A449="","",_xll.BDP($A449&amp;" Corp","YAS_BOND_YLD","YAS_YLD_FLAG=15","SETTLE_DT",$B$2))</f>
        <v/>
      </c>
      <c r="U449" s="15">
        <f>IF($A449="","",IF(OR(NOT(ISNUMBER($O449)),NOT(ISNUMBER($T449))),"",$O449-$T449))</f>
        <v/>
      </c>
      <c r="V449" s="13">
        <f>IF(NOT(ISNUMBER($S449)),"",COUNTIFS($G$7:$G$850,$G449,$S$7:$S$850,"&gt;"&amp;$S449)+COUNTIFS($G$7:$G449,$G449,$S$7:$S449,$S449))</f>
        <v/>
      </c>
      <c r="W449" s="13">
        <f>IF(NOT(ISNUMBER($S449)),"",COUNTIFS($G$7:$G$850,$G449,$S$7:$S$850,"&lt;"&amp;$S449)+COUNTIFS($G$7:$G449,$G449,$S$7:$S449,$S449))</f>
        <v/>
      </c>
      <c r="X449" s="8">
        <f>IF($V449="","",$G449&amp;"|"&amp;$V449)</f>
        <v/>
      </c>
      <c r="Y449" s="8">
        <f>IF($W449="","",$G449&amp;"|"&amp;$W449)</f>
        <v/>
      </c>
    </row>
    <row r="450">
      <c r="A450" s="16" t="inlineStr">
        <is>
          <t>XS2430951660</t>
        </is>
      </c>
      <c r="B450" s="17">
        <f>IF($A450="","",PROPER(_xll.BDP($A450&amp;" Corp","NAME")))</f>
        <v/>
      </c>
      <c r="C450" s="17">
        <f>IF($A450="","",IFERROR(INDEX(Company_desc!$B$2:$B$1144,MATCH($A450,Company_desc!$A$2:$A$1144,0)),IFERROR(INDEX(SYZ_static!$Q$2:$Q$806,MATCH($A450,SYZ_static!$A$2:$A$806,0)),"")))</f>
        <v/>
      </c>
      <c r="D450" s="17">
        <f>IF($A450="","",IFERROR(INDEX(SYZ_static!$B$2:$B$806,MATCH($A450,SYZ_static!$A$2:$A$806,0)),""))</f>
        <v/>
      </c>
      <c r="E450" s="17">
        <f>IF($A450="","",_xll.BDP($A450&amp;" Corp","INDUSTRY_SECTOR"))</f>
        <v/>
      </c>
      <c r="F450" s="17">
        <f>IF($A450="","",PROPER(_xll.BDP($A450&amp;" Corp","COUNTRY_FULL_NAME")))</f>
        <v/>
      </c>
      <c r="G450" s="17">
        <f>IF($A450="","",_xll.BDP($A450&amp;" Corp","CRNCY"))</f>
        <v/>
      </c>
      <c r="H450" s="17">
        <f>IF($A450="","",IFERROR(INDEX(SYZ_static!$T$2:$T$806,MATCH($A450,SYZ_static!$A$2:$A$806,0)),_xll.BDP($A450&amp;" Corp","RTG_SP")))</f>
        <v/>
      </c>
      <c r="I450" s="17">
        <f>IF($A450="","",IFERROR(INDEX(SYZ_static!$S$2:$S$806,MATCH($A450,SYZ_static!$A$2:$A$806,0)),""))</f>
        <v/>
      </c>
      <c r="J450" s="17">
        <f>IF($A450="","",_xll.BDP($A450&amp;" Corp","PAYMENT_RANK"))</f>
        <v/>
      </c>
      <c r="K450" s="18">
        <f>IF($A450="","",_xll.BDP($A450&amp;" Corp","CPN"))</f>
        <v/>
      </c>
      <c r="L450" s="19">
        <f>IF($A450="","",_xll.BDP($A450&amp;" Corp","MATURITY"))</f>
        <v/>
      </c>
      <c r="M450" s="20">
        <f>IF($A450="","",IFERROR(_xll.BDP($A450&amp;" Corp","MIN_PIECE")/1000,""))</f>
        <v/>
      </c>
      <c r="N450" s="21">
        <f>IF($A450="","",_xll.BDP($A450&amp;" Corp","PX_LAST"))</f>
        <v/>
      </c>
      <c r="O450" s="21">
        <f>IF($A450="","",_xll.BDP($A450&amp;" Corp","YAS_BOND_YLD","YAS_YLD_FLAG=15"))</f>
        <v/>
      </c>
      <c r="P450" s="21">
        <f>IF($A450="","",_xll.BDP($A450&amp;" Corp","YAS_MOD_DUR"))</f>
        <v/>
      </c>
      <c r="Q450" s="22">
        <f>IF($A450="","",_xll.BDP($A450&amp;" Corp","YAS_OAS_SPRD"))</f>
        <v/>
      </c>
      <c r="R450" s="22">
        <f>IF($A450="","",_xll.BDP($A450&amp;" Corp","YAS_OAS_SPRD","SETTLE_DT",$B$2))</f>
        <v/>
      </c>
      <c r="S450" s="23">
        <f>IF($A450="","",IF(OR(NOT(ISNUMBER($Q450)),NOT(ISNUMBER($R450))),"",$Q450-$R450))</f>
        <v/>
      </c>
      <c r="T450" s="21">
        <f>IF($A450="","",_xll.BDP($A450&amp;" Corp","YAS_BOND_YLD","YAS_YLD_FLAG=15","SETTLE_DT",$B$2))</f>
        <v/>
      </c>
      <c r="U450" s="24">
        <f>IF($A450="","",IF(OR(NOT(ISNUMBER($O450)),NOT(ISNUMBER($T450))),"",$O450-$T450))</f>
        <v/>
      </c>
      <c r="V450" s="22">
        <f>IF(NOT(ISNUMBER($S450)),"",COUNTIFS($G$7:$G$850,$G450,$S$7:$S$850,"&gt;"&amp;$S450)+COUNTIFS($G$7:$G450,$G450,$S$7:$S450,$S450))</f>
        <v/>
      </c>
      <c r="W450" s="22">
        <f>IF(NOT(ISNUMBER($S450)),"",COUNTIFS($G$7:$G$850,$G450,$S$7:$S$850,"&lt;"&amp;$S450)+COUNTIFS($G$7:$G450,$G450,$S$7:$S450,$S450))</f>
        <v/>
      </c>
      <c r="X450" s="17">
        <f>IF($V450="","",$G450&amp;"|"&amp;$V450)</f>
        <v/>
      </c>
      <c r="Y450" s="17">
        <f>IF($W450="","",$G450&amp;"|"&amp;$W450)</f>
        <v/>
      </c>
    </row>
    <row r="451">
      <c r="A451" s="7" t="inlineStr">
        <is>
          <t>US731011AV42</t>
        </is>
      </c>
      <c r="B451" s="8">
        <f>IF($A451="","",PROPER(_xll.BDP($A451&amp;" Corp","NAME")))</f>
        <v/>
      </c>
      <c r="C451" s="8">
        <f>IF($A451="","",IFERROR(INDEX(Company_desc!$B$2:$B$1144,MATCH($A451,Company_desc!$A$2:$A$1144,0)),IFERROR(INDEX(SYZ_static!$Q$2:$Q$806,MATCH($A451,SYZ_static!$A$2:$A$806,0)),"")))</f>
        <v/>
      </c>
      <c r="D451" s="8">
        <f>IF($A451="","",IFERROR(INDEX(SYZ_static!$B$2:$B$806,MATCH($A451,SYZ_static!$A$2:$A$806,0)),""))</f>
        <v/>
      </c>
      <c r="E451" s="8">
        <f>IF($A451="","",_xll.BDP($A451&amp;" Corp","INDUSTRY_SECTOR"))</f>
        <v/>
      </c>
      <c r="F451" s="8">
        <f>IF($A451="","",PROPER(_xll.BDP($A451&amp;" Corp","COUNTRY_FULL_NAME")))</f>
        <v/>
      </c>
      <c r="G451" s="8">
        <f>IF($A451="","",_xll.BDP($A451&amp;" Corp","CRNCY"))</f>
        <v/>
      </c>
      <c r="H451" s="8">
        <f>IF($A451="","",IFERROR(INDEX(SYZ_static!$T$2:$T$806,MATCH($A451,SYZ_static!$A$2:$A$806,0)),_xll.BDP($A451&amp;" Corp","RTG_SP")))</f>
        <v/>
      </c>
      <c r="I451" s="8">
        <f>IF($A451="","",IFERROR(INDEX(SYZ_static!$S$2:$S$806,MATCH($A451,SYZ_static!$A$2:$A$806,0)),""))</f>
        <v/>
      </c>
      <c r="J451" s="8">
        <f>IF($A451="","",_xll.BDP($A451&amp;" Corp","PAYMENT_RANK"))</f>
        <v/>
      </c>
      <c r="K451" s="9">
        <f>IF($A451="","",_xll.BDP($A451&amp;" Corp","CPN"))</f>
        <v/>
      </c>
      <c r="L451" s="10">
        <f>IF($A451="","",_xll.BDP($A451&amp;" Corp","MATURITY"))</f>
        <v/>
      </c>
      <c r="M451" s="11">
        <f>IF($A451="","",IFERROR(_xll.BDP($A451&amp;" Corp","MIN_PIECE")/1000,""))</f>
        <v/>
      </c>
      <c r="N451" s="12">
        <f>IF($A451="","",_xll.BDP($A451&amp;" Corp","PX_LAST"))</f>
        <v/>
      </c>
      <c r="O451" s="12">
        <f>IF($A451="","",_xll.BDP($A451&amp;" Corp","YAS_BOND_YLD","YAS_YLD_FLAG=15"))</f>
        <v/>
      </c>
      <c r="P451" s="12">
        <f>IF($A451="","",_xll.BDP($A451&amp;" Corp","YAS_MOD_DUR"))</f>
        <v/>
      </c>
      <c r="Q451" s="13">
        <f>IF($A451="","",_xll.BDP($A451&amp;" Corp","YAS_OAS_SPRD"))</f>
        <v/>
      </c>
      <c r="R451" s="13">
        <f>IF($A451="","",_xll.BDP($A451&amp;" Corp","YAS_OAS_SPRD","SETTLE_DT",$B$2))</f>
        <v/>
      </c>
      <c r="S451" s="14">
        <f>IF($A451="","",IF(OR(NOT(ISNUMBER($Q451)),NOT(ISNUMBER($R451))),"",$Q451-$R451))</f>
        <v/>
      </c>
      <c r="T451" s="12">
        <f>IF($A451="","",_xll.BDP($A451&amp;" Corp","YAS_BOND_YLD","YAS_YLD_FLAG=15","SETTLE_DT",$B$2))</f>
        <v/>
      </c>
      <c r="U451" s="15">
        <f>IF($A451="","",IF(OR(NOT(ISNUMBER($O451)),NOT(ISNUMBER($T451))),"",$O451-$T451))</f>
        <v/>
      </c>
      <c r="V451" s="13">
        <f>IF(NOT(ISNUMBER($S451)),"",COUNTIFS($G$7:$G$850,$G451,$S$7:$S$850,"&gt;"&amp;$S451)+COUNTIFS($G$7:$G451,$G451,$S$7:$S451,$S451))</f>
        <v/>
      </c>
      <c r="W451" s="13">
        <f>IF(NOT(ISNUMBER($S451)),"",COUNTIFS($G$7:$G$850,$G451,$S$7:$S$850,"&lt;"&amp;$S451)+COUNTIFS($G$7:$G451,$G451,$S$7:$S451,$S451))</f>
        <v/>
      </c>
      <c r="X451" s="8">
        <f>IF($V451="","",$G451&amp;"|"&amp;$V451)</f>
        <v/>
      </c>
      <c r="Y451" s="8">
        <f>IF($W451="","",$G451&amp;"|"&amp;$W451)</f>
        <v/>
      </c>
    </row>
    <row r="452">
      <c r="A452" s="16" t="inlineStr">
        <is>
          <t>CH1142700363</t>
        </is>
      </c>
      <c r="B452" s="17">
        <f>IF($A452="","",PROPER(_xll.BDP($A452&amp;" Corp","NAME")))</f>
        <v/>
      </c>
      <c r="C452" s="17">
        <f>IF($A452="","",IFERROR(INDEX(Company_desc!$B$2:$B$1144,MATCH($A452,Company_desc!$A$2:$A$1144,0)),IFERROR(INDEX(SYZ_static!$Q$2:$Q$806,MATCH($A452,SYZ_static!$A$2:$A$806,0)),"")))</f>
        <v/>
      </c>
      <c r="D452" s="17">
        <f>IF($A452="","",IFERROR(INDEX(SYZ_static!$B$2:$B$806,MATCH($A452,SYZ_static!$A$2:$A$806,0)),""))</f>
        <v/>
      </c>
      <c r="E452" s="17">
        <f>IF($A452="","",_xll.BDP($A452&amp;" Corp","INDUSTRY_SECTOR"))</f>
        <v/>
      </c>
      <c r="F452" s="17">
        <f>IF($A452="","",PROPER(_xll.BDP($A452&amp;" Corp","COUNTRY_FULL_NAME")))</f>
        <v/>
      </c>
      <c r="G452" s="17">
        <f>IF($A452="","",_xll.BDP($A452&amp;" Corp","CRNCY"))</f>
        <v/>
      </c>
      <c r="H452" s="17">
        <f>IF($A452="","",IFERROR(INDEX(SYZ_static!$T$2:$T$806,MATCH($A452,SYZ_static!$A$2:$A$806,0)),_xll.BDP($A452&amp;" Corp","RTG_SP")))</f>
        <v/>
      </c>
      <c r="I452" s="17">
        <f>IF($A452="","",IFERROR(INDEX(SYZ_static!$S$2:$S$806,MATCH($A452,SYZ_static!$A$2:$A$806,0)),""))</f>
        <v/>
      </c>
      <c r="J452" s="17">
        <f>IF($A452="","",_xll.BDP($A452&amp;" Corp","PAYMENT_RANK"))</f>
        <v/>
      </c>
      <c r="K452" s="18">
        <f>IF($A452="","",_xll.BDP($A452&amp;" Corp","CPN"))</f>
        <v/>
      </c>
      <c r="L452" s="19">
        <f>IF($A452="","",_xll.BDP($A452&amp;" Corp","MATURITY"))</f>
        <v/>
      </c>
      <c r="M452" s="20">
        <f>IF($A452="","",IFERROR(_xll.BDP($A452&amp;" Corp","MIN_PIECE")/1000,""))</f>
        <v/>
      </c>
      <c r="N452" s="21">
        <f>IF($A452="","",_xll.BDP($A452&amp;" Corp","PX_LAST"))</f>
        <v/>
      </c>
      <c r="O452" s="21">
        <f>IF($A452="","",_xll.BDP($A452&amp;" Corp","YAS_BOND_YLD","YAS_YLD_FLAG=15"))</f>
        <v/>
      </c>
      <c r="P452" s="21">
        <f>IF($A452="","",_xll.BDP($A452&amp;" Corp","YAS_MOD_DUR"))</f>
        <v/>
      </c>
      <c r="Q452" s="22">
        <f>IF($A452="","",_xll.BDP($A452&amp;" Corp","YAS_OAS_SPRD"))</f>
        <v/>
      </c>
      <c r="R452" s="22">
        <f>IF($A452="","",_xll.BDP($A452&amp;" Corp","YAS_OAS_SPRD","SETTLE_DT",$B$2))</f>
        <v/>
      </c>
      <c r="S452" s="23">
        <f>IF($A452="","",IF(OR(NOT(ISNUMBER($Q452)),NOT(ISNUMBER($R452))),"",$Q452-$R452))</f>
        <v/>
      </c>
      <c r="T452" s="21">
        <f>IF($A452="","",_xll.BDP($A452&amp;" Corp","YAS_BOND_YLD","YAS_YLD_FLAG=15","SETTLE_DT",$B$2))</f>
        <v/>
      </c>
      <c r="U452" s="24">
        <f>IF($A452="","",IF(OR(NOT(ISNUMBER($O452)),NOT(ISNUMBER($T452))),"",$O452-$T452))</f>
        <v/>
      </c>
      <c r="V452" s="22">
        <f>IF(NOT(ISNUMBER($S452)),"",COUNTIFS($G$7:$G$850,$G452,$S$7:$S$850,"&gt;"&amp;$S452)+COUNTIFS($G$7:$G452,$G452,$S$7:$S452,$S452))</f>
        <v/>
      </c>
      <c r="W452" s="22">
        <f>IF(NOT(ISNUMBER($S452)),"",COUNTIFS($G$7:$G$850,$G452,$S$7:$S$850,"&lt;"&amp;$S452)+COUNTIFS($G$7:$G452,$G452,$S$7:$S452,$S452))</f>
        <v/>
      </c>
      <c r="X452" s="17">
        <f>IF($V452="","",$G452&amp;"|"&amp;$V452)</f>
        <v/>
      </c>
      <c r="Y452" s="17">
        <f>IF($W452="","",$G452&amp;"|"&amp;$W452)</f>
        <v/>
      </c>
    </row>
    <row r="453">
      <c r="A453" s="7" t="inlineStr">
        <is>
          <t>XS2624938739</t>
        </is>
      </c>
      <c r="B453" s="8">
        <f>IF($A453="","",PROPER(_xll.BDP($A453&amp;" Corp","NAME")))</f>
        <v/>
      </c>
      <c r="C453" s="8">
        <f>IF($A453="","",IFERROR(INDEX(Company_desc!$B$2:$B$1144,MATCH($A453,Company_desc!$A$2:$A$1144,0)),IFERROR(INDEX(SYZ_static!$Q$2:$Q$806,MATCH($A453,SYZ_static!$A$2:$A$806,0)),"")))</f>
        <v/>
      </c>
      <c r="D453" s="8">
        <f>IF($A453="","",IFERROR(INDEX(SYZ_static!$B$2:$B$806,MATCH($A453,SYZ_static!$A$2:$A$806,0)),""))</f>
        <v/>
      </c>
      <c r="E453" s="8">
        <f>IF($A453="","",_xll.BDP($A453&amp;" Corp","INDUSTRY_SECTOR"))</f>
        <v/>
      </c>
      <c r="F453" s="8">
        <f>IF($A453="","",PROPER(_xll.BDP($A453&amp;" Corp","COUNTRY_FULL_NAME")))</f>
        <v/>
      </c>
      <c r="G453" s="8">
        <f>IF($A453="","",_xll.BDP($A453&amp;" Corp","CRNCY"))</f>
        <v/>
      </c>
      <c r="H453" s="8">
        <f>IF($A453="","",IFERROR(INDEX(SYZ_static!$T$2:$T$806,MATCH($A453,SYZ_static!$A$2:$A$806,0)),_xll.BDP($A453&amp;" Corp","RTG_SP")))</f>
        <v/>
      </c>
      <c r="I453" s="8">
        <f>IF($A453="","",IFERROR(INDEX(SYZ_static!$S$2:$S$806,MATCH($A453,SYZ_static!$A$2:$A$806,0)),""))</f>
        <v/>
      </c>
      <c r="J453" s="8">
        <f>IF($A453="","",_xll.BDP($A453&amp;" Corp","PAYMENT_RANK"))</f>
        <v/>
      </c>
      <c r="K453" s="9">
        <f>IF($A453="","",_xll.BDP($A453&amp;" Corp","CPN"))</f>
        <v/>
      </c>
      <c r="L453" s="10">
        <f>IF($A453="","",_xll.BDP($A453&amp;" Corp","MATURITY"))</f>
        <v/>
      </c>
      <c r="M453" s="11">
        <f>IF($A453="","",IFERROR(_xll.BDP($A453&amp;" Corp","MIN_PIECE")/1000,""))</f>
        <v/>
      </c>
      <c r="N453" s="12">
        <f>IF($A453="","",_xll.BDP($A453&amp;" Corp","PX_LAST"))</f>
        <v/>
      </c>
      <c r="O453" s="12">
        <f>IF($A453="","",_xll.BDP($A453&amp;" Corp","YAS_BOND_YLD","YAS_YLD_FLAG=15"))</f>
        <v/>
      </c>
      <c r="P453" s="12">
        <f>IF($A453="","",_xll.BDP($A453&amp;" Corp","YAS_MOD_DUR"))</f>
        <v/>
      </c>
      <c r="Q453" s="13">
        <f>IF($A453="","",_xll.BDP($A453&amp;" Corp","YAS_OAS_SPRD"))</f>
        <v/>
      </c>
      <c r="R453" s="13">
        <f>IF($A453="","",_xll.BDP($A453&amp;" Corp","YAS_OAS_SPRD","SETTLE_DT",$B$2))</f>
        <v/>
      </c>
      <c r="S453" s="14">
        <f>IF($A453="","",IF(OR(NOT(ISNUMBER($Q453)),NOT(ISNUMBER($R453))),"",$Q453-$R453))</f>
        <v/>
      </c>
      <c r="T453" s="12">
        <f>IF($A453="","",_xll.BDP($A453&amp;" Corp","YAS_BOND_YLD","YAS_YLD_FLAG=15","SETTLE_DT",$B$2))</f>
        <v/>
      </c>
      <c r="U453" s="15">
        <f>IF($A453="","",IF(OR(NOT(ISNUMBER($O453)),NOT(ISNUMBER($T453))),"",$O453-$T453))</f>
        <v/>
      </c>
      <c r="V453" s="13">
        <f>IF(NOT(ISNUMBER($S453)),"",COUNTIFS($G$7:$G$850,$G453,$S$7:$S$850,"&gt;"&amp;$S453)+COUNTIFS($G$7:$G453,$G453,$S$7:$S453,$S453))</f>
        <v/>
      </c>
      <c r="W453" s="13">
        <f>IF(NOT(ISNUMBER($S453)),"",COUNTIFS($G$7:$G$850,$G453,$S$7:$S$850,"&lt;"&amp;$S453)+COUNTIFS($G$7:$G453,$G453,$S$7:$S453,$S453))</f>
        <v/>
      </c>
      <c r="X453" s="8">
        <f>IF($V453="","",$G453&amp;"|"&amp;$V453)</f>
        <v/>
      </c>
      <c r="Y453" s="8">
        <f>IF($W453="","",$G453&amp;"|"&amp;$W453)</f>
        <v/>
      </c>
    </row>
    <row r="454">
      <c r="A454" s="16" t="inlineStr">
        <is>
          <t>CH1243933558</t>
        </is>
      </c>
      <c r="B454" s="17">
        <f>IF($A454="","",PROPER(_xll.BDP($A454&amp;" Corp","NAME")))</f>
        <v/>
      </c>
      <c r="C454" s="17">
        <f>IF($A454="","",IFERROR(INDEX(Company_desc!$B$2:$B$1144,MATCH($A454,Company_desc!$A$2:$A$1144,0)),IFERROR(INDEX(SYZ_static!$Q$2:$Q$806,MATCH($A454,SYZ_static!$A$2:$A$806,0)),"")))</f>
        <v/>
      </c>
      <c r="D454" s="17">
        <f>IF($A454="","",IFERROR(INDEX(SYZ_static!$B$2:$B$806,MATCH($A454,SYZ_static!$A$2:$A$806,0)),""))</f>
        <v/>
      </c>
      <c r="E454" s="17">
        <f>IF($A454="","",_xll.BDP($A454&amp;" Corp","INDUSTRY_SECTOR"))</f>
        <v/>
      </c>
      <c r="F454" s="17">
        <f>IF($A454="","",PROPER(_xll.BDP($A454&amp;" Corp","COUNTRY_FULL_NAME")))</f>
        <v/>
      </c>
      <c r="G454" s="17">
        <f>IF($A454="","",_xll.BDP($A454&amp;" Corp","CRNCY"))</f>
        <v/>
      </c>
      <c r="H454" s="17">
        <f>IF($A454="","",IFERROR(INDEX(SYZ_static!$T$2:$T$806,MATCH($A454,SYZ_static!$A$2:$A$806,0)),_xll.BDP($A454&amp;" Corp","RTG_SP")))</f>
        <v/>
      </c>
      <c r="I454" s="17">
        <f>IF($A454="","",IFERROR(INDEX(SYZ_static!$S$2:$S$806,MATCH($A454,SYZ_static!$A$2:$A$806,0)),""))</f>
        <v/>
      </c>
      <c r="J454" s="17">
        <f>IF($A454="","",_xll.BDP($A454&amp;" Corp","PAYMENT_RANK"))</f>
        <v/>
      </c>
      <c r="K454" s="18">
        <f>IF($A454="","",_xll.BDP($A454&amp;" Corp","CPN"))</f>
        <v/>
      </c>
      <c r="L454" s="19">
        <f>IF($A454="","",_xll.BDP($A454&amp;" Corp","MATURITY"))</f>
        <v/>
      </c>
      <c r="M454" s="20">
        <f>IF($A454="","",IFERROR(_xll.BDP($A454&amp;" Corp","MIN_PIECE")/1000,""))</f>
        <v/>
      </c>
      <c r="N454" s="21">
        <f>IF($A454="","",_xll.BDP($A454&amp;" Corp","PX_LAST"))</f>
        <v/>
      </c>
      <c r="O454" s="21">
        <f>IF($A454="","",_xll.BDP($A454&amp;" Corp","YAS_BOND_YLD","YAS_YLD_FLAG=15"))</f>
        <v/>
      </c>
      <c r="P454" s="21">
        <f>IF($A454="","",_xll.BDP($A454&amp;" Corp","YAS_MOD_DUR"))</f>
        <v/>
      </c>
      <c r="Q454" s="22">
        <f>IF($A454="","",_xll.BDP($A454&amp;" Corp","YAS_OAS_SPRD"))</f>
        <v/>
      </c>
      <c r="R454" s="22">
        <f>IF($A454="","",_xll.BDP($A454&amp;" Corp","YAS_OAS_SPRD","SETTLE_DT",$B$2))</f>
        <v/>
      </c>
      <c r="S454" s="23">
        <f>IF($A454="","",IF(OR(NOT(ISNUMBER($Q454)),NOT(ISNUMBER($R454))),"",$Q454-$R454))</f>
        <v/>
      </c>
      <c r="T454" s="21">
        <f>IF($A454="","",_xll.BDP($A454&amp;" Corp","YAS_BOND_YLD","YAS_YLD_FLAG=15","SETTLE_DT",$B$2))</f>
        <v/>
      </c>
      <c r="U454" s="24">
        <f>IF($A454="","",IF(OR(NOT(ISNUMBER($O454)),NOT(ISNUMBER($T454))),"",$O454-$T454))</f>
        <v/>
      </c>
      <c r="V454" s="22">
        <f>IF(NOT(ISNUMBER($S454)),"",COUNTIFS($G$7:$G$850,$G454,$S$7:$S$850,"&gt;"&amp;$S454)+COUNTIFS($G$7:$G454,$G454,$S$7:$S454,$S454))</f>
        <v/>
      </c>
      <c r="W454" s="22">
        <f>IF(NOT(ISNUMBER($S454)),"",COUNTIFS($G$7:$G$850,$G454,$S$7:$S$850,"&lt;"&amp;$S454)+COUNTIFS($G$7:$G454,$G454,$S$7:$S454,$S454))</f>
        <v/>
      </c>
      <c r="X454" s="17">
        <f>IF($V454="","",$G454&amp;"|"&amp;$V454)</f>
        <v/>
      </c>
      <c r="Y454" s="17">
        <f>IF($W454="","",$G454&amp;"|"&amp;$W454)</f>
        <v/>
      </c>
    </row>
    <row r="455">
      <c r="A455" s="7" t="inlineStr">
        <is>
          <t>US055451BA54</t>
        </is>
      </c>
      <c r="B455" s="8">
        <f>IF($A455="","",PROPER(_xll.BDP($A455&amp;" Corp","NAME")))</f>
        <v/>
      </c>
      <c r="C455" s="8">
        <f>IF($A455="","",IFERROR(INDEX(Company_desc!$B$2:$B$1144,MATCH($A455,Company_desc!$A$2:$A$1144,0)),IFERROR(INDEX(SYZ_static!$Q$2:$Q$806,MATCH($A455,SYZ_static!$A$2:$A$806,0)),"")))</f>
        <v/>
      </c>
      <c r="D455" s="8">
        <f>IF($A455="","",IFERROR(INDEX(SYZ_static!$B$2:$B$806,MATCH($A455,SYZ_static!$A$2:$A$806,0)),""))</f>
        <v/>
      </c>
      <c r="E455" s="8">
        <f>IF($A455="","",_xll.BDP($A455&amp;" Corp","INDUSTRY_SECTOR"))</f>
        <v/>
      </c>
      <c r="F455" s="8">
        <f>IF($A455="","",PROPER(_xll.BDP($A455&amp;" Corp","COUNTRY_FULL_NAME")))</f>
        <v/>
      </c>
      <c r="G455" s="8">
        <f>IF($A455="","",_xll.BDP($A455&amp;" Corp","CRNCY"))</f>
        <v/>
      </c>
      <c r="H455" s="8">
        <f>IF($A455="","",IFERROR(INDEX(SYZ_static!$T$2:$T$806,MATCH($A455,SYZ_static!$A$2:$A$806,0)),_xll.BDP($A455&amp;" Corp","RTG_SP")))</f>
        <v/>
      </c>
      <c r="I455" s="8">
        <f>IF($A455="","",IFERROR(INDEX(SYZ_static!$S$2:$S$806,MATCH($A455,SYZ_static!$A$2:$A$806,0)),""))</f>
        <v/>
      </c>
      <c r="J455" s="8">
        <f>IF($A455="","",_xll.BDP($A455&amp;" Corp","PAYMENT_RANK"))</f>
        <v/>
      </c>
      <c r="K455" s="9">
        <f>IF($A455="","",_xll.BDP($A455&amp;" Corp","CPN"))</f>
        <v/>
      </c>
      <c r="L455" s="10">
        <f>IF($A455="","",_xll.BDP($A455&amp;" Corp","MATURITY"))</f>
        <v/>
      </c>
      <c r="M455" s="11">
        <f>IF($A455="","",IFERROR(_xll.BDP($A455&amp;" Corp","MIN_PIECE")/1000,""))</f>
        <v/>
      </c>
      <c r="N455" s="12">
        <f>IF($A455="","",_xll.BDP($A455&amp;" Corp","PX_LAST"))</f>
        <v/>
      </c>
      <c r="O455" s="12">
        <f>IF($A455="","",_xll.BDP($A455&amp;" Corp","YAS_BOND_YLD","YAS_YLD_FLAG=15"))</f>
        <v/>
      </c>
      <c r="P455" s="12">
        <f>IF($A455="","",_xll.BDP($A455&amp;" Corp","YAS_MOD_DUR"))</f>
        <v/>
      </c>
      <c r="Q455" s="13">
        <f>IF($A455="","",_xll.BDP($A455&amp;" Corp","YAS_OAS_SPRD"))</f>
        <v/>
      </c>
      <c r="R455" s="13">
        <f>IF($A455="","",_xll.BDP($A455&amp;" Corp","YAS_OAS_SPRD","SETTLE_DT",$B$2))</f>
        <v/>
      </c>
      <c r="S455" s="14">
        <f>IF($A455="","",IF(OR(NOT(ISNUMBER($Q455)),NOT(ISNUMBER($R455))),"",$Q455-$R455))</f>
        <v/>
      </c>
      <c r="T455" s="12">
        <f>IF($A455="","",_xll.BDP($A455&amp;" Corp","YAS_BOND_YLD","YAS_YLD_FLAG=15","SETTLE_DT",$B$2))</f>
        <v/>
      </c>
      <c r="U455" s="15">
        <f>IF($A455="","",IF(OR(NOT(ISNUMBER($O455)),NOT(ISNUMBER($T455))),"",$O455-$T455))</f>
        <v/>
      </c>
      <c r="V455" s="13">
        <f>IF(NOT(ISNUMBER($S455)),"",COUNTIFS($G$7:$G$850,$G455,$S$7:$S$850,"&gt;"&amp;$S455)+COUNTIFS($G$7:$G455,$G455,$S$7:$S455,$S455))</f>
        <v/>
      </c>
      <c r="W455" s="13">
        <f>IF(NOT(ISNUMBER($S455)),"",COUNTIFS($G$7:$G$850,$G455,$S$7:$S$850,"&lt;"&amp;$S455)+COUNTIFS($G$7:$G455,$G455,$S$7:$S455,$S455))</f>
        <v/>
      </c>
      <c r="X455" s="8">
        <f>IF($V455="","",$G455&amp;"|"&amp;$V455)</f>
        <v/>
      </c>
      <c r="Y455" s="8">
        <f>IF($W455="","",$G455&amp;"|"&amp;$W455)</f>
        <v/>
      </c>
    </row>
    <row r="456">
      <c r="A456" s="16" t="inlineStr">
        <is>
          <t>CH0503924414</t>
        </is>
      </c>
      <c r="B456" s="17">
        <f>IF($A456="","",PROPER(_xll.BDP($A456&amp;" Corp","NAME")))</f>
        <v/>
      </c>
      <c r="C456" s="17">
        <f>IF($A456="","",IFERROR(INDEX(Company_desc!$B$2:$B$1144,MATCH($A456,Company_desc!$A$2:$A$1144,0)),IFERROR(INDEX(SYZ_static!$Q$2:$Q$806,MATCH($A456,SYZ_static!$A$2:$A$806,0)),"")))</f>
        <v/>
      </c>
      <c r="D456" s="17">
        <f>IF($A456="","",IFERROR(INDEX(SYZ_static!$B$2:$B$806,MATCH($A456,SYZ_static!$A$2:$A$806,0)),""))</f>
        <v/>
      </c>
      <c r="E456" s="17">
        <f>IF($A456="","",_xll.BDP($A456&amp;" Corp","INDUSTRY_SECTOR"))</f>
        <v/>
      </c>
      <c r="F456" s="17">
        <f>IF($A456="","",PROPER(_xll.BDP($A456&amp;" Corp","COUNTRY_FULL_NAME")))</f>
        <v/>
      </c>
      <c r="G456" s="17">
        <f>IF($A456="","",_xll.BDP($A456&amp;" Corp","CRNCY"))</f>
        <v/>
      </c>
      <c r="H456" s="17">
        <f>IF($A456="","",IFERROR(INDEX(SYZ_static!$T$2:$T$806,MATCH($A456,SYZ_static!$A$2:$A$806,0)),_xll.BDP($A456&amp;" Corp","RTG_SP")))</f>
        <v/>
      </c>
      <c r="I456" s="17">
        <f>IF($A456="","",IFERROR(INDEX(SYZ_static!$S$2:$S$806,MATCH($A456,SYZ_static!$A$2:$A$806,0)),""))</f>
        <v/>
      </c>
      <c r="J456" s="17">
        <f>IF($A456="","",_xll.BDP($A456&amp;" Corp","PAYMENT_RANK"))</f>
        <v/>
      </c>
      <c r="K456" s="18">
        <f>IF($A456="","",_xll.BDP($A456&amp;" Corp","CPN"))</f>
        <v/>
      </c>
      <c r="L456" s="19">
        <f>IF($A456="","",_xll.BDP($A456&amp;" Corp","MATURITY"))</f>
        <v/>
      </c>
      <c r="M456" s="20">
        <f>IF($A456="","",IFERROR(_xll.BDP($A456&amp;" Corp","MIN_PIECE")/1000,""))</f>
        <v/>
      </c>
      <c r="N456" s="21">
        <f>IF($A456="","",_xll.BDP($A456&amp;" Corp","PX_LAST"))</f>
        <v/>
      </c>
      <c r="O456" s="21">
        <f>IF($A456="","",_xll.BDP($A456&amp;" Corp","YAS_BOND_YLD","YAS_YLD_FLAG=15"))</f>
        <v/>
      </c>
      <c r="P456" s="21">
        <f>IF($A456="","",_xll.BDP($A456&amp;" Corp","YAS_MOD_DUR"))</f>
        <v/>
      </c>
      <c r="Q456" s="22">
        <f>IF($A456="","",_xll.BDP($A456&amp;" Corp","YAS_OAS_SPRD"))</f>
        <v/>
      </c>
      <c r="R456" s="22">
        <f>IF($A456="","",_xll.BDP($A456&amp;" Corp","YAS_OAS_SPRD","SETTLE_DT",$B$2))</f>
        <v/>
      </c>
      <c r="S456" s="23">
        <f>IF($A456="","",IF(OR(NOT(ISNUMBER($Q456)),NOT(ISNUMBER($R456))),"",$Q456-$R456))</f>
        <v/>
      </c>
      <c r="T456" s="21">
        <f>IF($A456="","",_xll.BDP($A456&amp;" Corp","YAS_BOND_YLD","YAS_YLD_FLAG=15","SETTLE_DT",$B$2))</f>
        <v/>
      </c>
      <c r="U456" s="24">
        <f>IF($A456="","",IF(OR(NOT(ISNUMBER($O456)),NOT(ISNUMBER($T456))),"",$O456-$T456))</f>
        <v/>
      </c>
      <c r="V456" s="22">
        <f>IF(NOT(ISNUMBER($S456)),"",COUNTIFS($G$7:$G$850,$G456,$S$7:$S$850,"&gt;"&amp;$S456)+COUNTIFS($G$7:$G456,$G456,$S$7:$S456,$S456))</f>
        <v/>
      </c>
      <c r="W456" s="22">
        <f>IF(NOT(ISNUMBER($S456)),"",COUNTIFS($G$7:$G$850,$G456,$S$7:$S$850,"&lt;"&amp;$S456)+COUNTIFS($G$7:$G456,$G456,$S$7:$S456,$S456))</f>
        <v/>
      </c>
      <c r="X456" s="17">
        <f>IF($V456="","",$G456&amp;"|"&amp;$V456)</f>
        <v/>
      </c>
      <c r="Y456" s="17">
        <f>IF($W456="","",$G456&amp;"|"&amp;$W456)</f>
        <v/>
      </c>
    </row>
    <row r="457">
      <c r="A457" s="7" t="inlineStr">
        <is>
          <t>CH1376931569</t>
        </is>
      </c>
      <c r="B457" s="8">
        <f>IF($A457="","",PROPER(_xll.BDP($A457&amp;" Corp","NAME")))</f>
        <v/>
      </c>
      <c r="C457" s="8">
        <f>IF($A457="","",IFERROR(INDEX(Company_desc!$B$2:$B$1144,MATCH($A457,Company_desc!$A$2:$A$1144,0)),IFERROR(INDEX(SYZ_static!$Q$2:$Q$806,MATCH($A457,SYZ_static!$A$2:$A$806,0)),"")))</f>
        <v/>
      </c>
      <c r="D457" s="8">
        <f>IF($A457="","",IFERROR(INDEX(SYZ_static!$B$2:$B$806,MATCH($A457,SYZ_static!$A$2:$A$806,0)),""))</f>
        <v/>
      </c>
      <c r="E457" s="8">
        <f>IF($A457="","",_xll.BDP($A457&amp;" Corp","INDUSTRY_SECTOR"))</f>
        <v/>
      </c>
      <c r="F457" s="8">
        <f>IF($A457="","",PROPER(_xll.BDP($A457&amp;" Corp","COUNTRY_FULL_NAME")))</f>
        <v/>
      </c>
      <c r="G457" s="8">
        <f>IF($A457="","",_xll.BDP($A457&amp;" Corp","CRNCY"))</f>
        <v/>
      </c>
      <c r="H457" s="8">
        <f>IF($A457="","",IFERROR(INDEX(SYZ_static!$T$2:$T$806,MATCH($A457,SYZ_static!$A$2:$A$806,0)),_xll.BDP($A457&amp;" Corp","RTG_SP")))</f>
        <v/>
      </c>
      <c r="I457" s="8">
        <f>IF($A457="","",IFERROR(INDEX(SYZ_static!$S$2:$S$806,MATCH($A457,SYZ_static!$A$2:$A$806,0)),""))</f>
        <v/>
      </c>
      <c r="J457" s="8">
        <f>IF($A457="","",_xll.BDP($A457&amp;" Corp","PAYMENT_RANK"))</f>
        <v/>
      </c>
      <c r="K457" s="9">
        <f>IF($A457="","",_xll.BDP($A457&amp;" Corp","CPN"))</f>
        <v/>
      </c>
      <c r="L457" s="10">
        <f>IF($A457="","",_xll.BDP($A457&amp;" Corp","MATURITY"))</f>
        <v/>
      </c>
      <c r="M457" s="11">
        <f>IF($A457="","",IFERROR(_xll.BDP($A457&amp;" Corp","MIN_PIECE")/1000,""))</f>
        <v/>
      </c>
      <c r="N457" s="12">
        <f>IF($A457="","",_xll.BDP($A457&amp;" Corp","PX_LAST"))</f>
        <v/>
      </c>
      <c r="O457" s="12">
        <f>IF($A457="","",_xll.BDP($A457&amp;" Corp","YAS_BOND_YLD","YAS_YLD_FLAG=15"))</f>
        <v/>
      </c>
      <c r="P457" s="12">
        <f>IF($A457="","",_xll.BDP($A457&amp;" Corp","YAS_MOD_DUR"))</f>
        <v/>
      </c>
      <c r="Q457" s="13">
        <f>IF($A457="","",_xll.BDP($A457&amp;" Corp","YAS_OAS_SPRD"))</f>
        <v/>
      </c>
      <c r="R457" s="13">
        <f>IF($A457="","",_xll.BDP($A457&amp;" Corp","YAS_OAS_SPRD","SETTLE_DT",$B$2))</f>
        <v/>
      </c>
      <c r="S457" s="14">
        <f>IF($A457="","",IF(OR(NOT(ISNUMBER($Q457)),NOT(ISNUMBER($R457))),"",$Q457-$R457))</f>
        <v/>
      </c>
      <c r="T457" s="12">
        <f>IF($A457="","",_xll.BDP($A457&amp;" Corp","YAS_BOND_YLD","YAS_YLD_FLAG=15","SETTLE_DT",$B$2))</f>
        <v/>
      </c>
      <c r="U457" s="15">
        <f>IF($A457="","",IF(OR(NOT(ISNUMBER($O457)),NOT(ISNUMBER($T457))),"",$O457-$T457))</f>
        <v/>
      </c>
      <c r="V457" s="13">
        <f>IF(NOT(ISNUMBER($S457)),"",COUNTIFS($G$7:$G$850,$G457,$S$7:$S$850,"&gt;"&amp;$S457)+COUNTIFS($G$7:$G457,$G457,$S$7:$S457,$S457))</f>
        <v/>
      </c>
      <c r="W457" s="13">
        <f>IF(NOT(ISNUMBER($S457)),"",COUNTIFS($G$7:$G$850,$G457,$S$7:$S$850,"&lt;"&amp;$S457)+COUNTIFS($G$7:$G457,$G457,$S$7:$S457,$S457))</f>
        <v/>
      </c>
      <c r="X457" s="8">
        <f>IF($V457="","",$G457&amp;"|"&amp;$V457)</f>
        <v/>
      </c>
      <c r="Y457" s="8">
        <f>IF($W457="","",$G457&amp;"|"&amp;$W457)</f>
        <v/>
      </c>
    </row>
    <row r="458">
      <c r="A458" s="16" t="inlineStr">
        <is>
          <t>XS2589260723</t>
        </is>
      </c>
      <c r="B458" s="17">
        <f>IF($A458="","",PROPER(_xll.BDP($A458&amp;" Corp","NAME")))</f>
        <v/>
      </c>
      <c r="C458" s="17">
        <f>IF($A458="","",IFERROR(INDEX(Company_desc!$B$2:$B$1144,MATCH($A458,Company_desc!$A$2:$A$1144,0)),IFERROR(INDEX(SYZ_static!$Q$2:$Q$806,MATCH($A458,SYZ_static!$A$2:$A$806,0)),"")))</f>
        <v/>
      </c>
      <c r="D458" s="17">
        <f>IF($A458="","",IFERROR(INDEX(SYZ_static!$B$2:$B$806,MATCH($A458,SYZ_static!$A$2:$A$806,0)),""))</f>
        <v/>
      </c>
      <c r="E458" s="17">
        <f>IF($A458="","",_xll.BDP($A458&amp;" Corp","INDUSTRY_SECTOR"))</f>
        <v/>
      </c>
      <c r="F458" s="17">
        <f>IF($A458="","",PROPER(_xll.BDP($A458&amp;" Corp","COUNTRY_FULL_NAME")))</f>
        <v/>
      </c>
      <c r="G458" s="17">
        <f>IF($A458="","",_xll.BDP($A458&amp;" Corp","CRNCY"))</f>
        <v/>
      </c>
      <c r="H458" s="17">
        <f>IF($A458="","",IFERROR(INDEX(SYZ_static!$T$2:$T$806,MATCH($A458,SYZ_static!$A$2:$A$806,0)),_xll.BDP($A458&amp;" Corp","RTG_SP")))</f>
        <v/>
      </c>
      <c r="I458" s="17">
        <f>IF($A458="","",IFERROR(INDEX(SYZ_static!$S$2:$S$806,MATCH($A458,SYZ_static!$A$2:$A$806,0)),""))</f>
        <v/>
      </c>
      <c r="J458" s="17">
        <f>IF($A458="","",_xll.BDP($A458&amp;" Corp","PAYMENT_RANK"))</f>
        <v/>
      </c>
      <c r="K458" s="18">
        <f>IF($A458="","",_xll.BDP($A458&amp;" Corp","CPN"))</f>
        <v/>
      </c>
      <c r="L458" s="19">
        <f>IF($A458="","",_xll.BDP($A458&amp;" Corp","MATURITY"))</f>
        <v/>
      </c>
      <c r="M458" s="20">
        <f>IF($A458="","",IFERROR(_xll.BDP($A458&amp;" Corp","MIN_PIECE")/1000,""))</f>
        <v/>
      </c>
      <c r="N458" s="21">
        <f>IF($A458="","",_xll.BDP($A458&amp;" Corp","PX_LAST"))</f>
        <v/>
      </c>
      <c r="O458" s="21">
        <f>IF($A458="","",_xll.BDP($A458&amp;" Corp","YAS_BOND_YLD","YAS_YLD_FLAG=15"))</f>
        <v/>
      </c>
      <c r="P458" s="21">
        <f>IF($A458="","",_xll.BDP($A458&amp;" Corp","YAS_MOD_DUR"))</f>
        <v/>
      </c>
      <c r="Q458" s="22">
        <f>IF($A458="","",_xll.BDP($A458&amp;" Corp","YAS_OAS_SPRD"))</f>
        <v/>
      </c>
      <c r="R458" s="22">
        <f>IF($A458="","",_xll.BDP($A458&amp;" Corp","YAS_OAS_SPRD","SETTLE_DT",$B$2))</f>
        <v/>
      </c>
      <c r="S458" s="23">
        <f>IF($A458="","",IF(OR(NOT(ISNUMBER($Q458)),NOT(ISNUMBER($R458))),"",$Q458-$R458))</f>
        <v/>
      </c>
      <c r="T458" s="21">
        <f>IF($A458="","",_xll.BDP($A458&amp;" Corp","YAS_BOND_YLD","YAS_YLD_FLAG=15","SETTLE_DT",$B$2))</f>
        <v/>
      </c>
      <c r="U458" s="24">
        <f>IF($A458="","",IF(OR(NOT(ISNUMBER($O458)),NOT(ISNUMBER($T458))),"",$O458-$T458))</f>
        <v/>
      </c>
      <c r="V458" s="22">
        <f>IF(NOT(ISNUMBER($S458)),"",COUNTIFS($G$7:$G$850,$G458,$S$7:$S$850,"&gt;"&amp;$S458)+COUNTIFS($G$7:$G458,$G458,$S$7:$S458,$S458))</f>
        <v/>
      </c>
      <c r="W458" s="22">
        <f>IF(NOT(ISNUMBER($S458)),"",COUNTIFS($G$7:$G$850,$G458,$S$7:$S$850,"&lt;"&amp;$S458)+COUNTIFS($G$7:$G458,$G458,$S$7:$S458,$S458))</f>
        <v/>
      </c>
      <c r="X458" s="17">
        <f>IF($V458="","",$G458&amp;"|"&amp;$V458)</f>
        <v/>
      </c>
      <c r="Y458" s="17">
        <f>IF($W458="","",$G458&amp;"|"&amp;$W458)</f>
        <v/>
      </c>
    </row>
    <row r="459">
      <c r="A459" s="7" t="inlineStr">
        <is>
          <t>XS2229875989</t>
        </is>
      </c>
      <c r="B459" s="8">
        <f>IF($A459="","",PROPER(_xll.BDP($A459&amp;" Corp","NAME")))</f>
        <v/>
      </c>
      <c r="C459" s="8">
        <f>IF($A459="","",IFERROR(INDEX(Company_desc!$B$2:$B$1144,MATCH($A459,Company_desc!$A$2:$A$1144,0)),IFERROR(INDEX(SYZ_static!$Q$2:$Q$806,MATCH($A459,SYZ_static!$A$2:$A$806,0)),"")))</f>
        <v/>
      </c>
      <c r="D459" s="8">
        <f>IF($A459="","",IFERROR(INDEX(SYZ_static!$B$2:$B$806,MATCH($A459,SYZ_static!$A$2:$A$806,0)),""))</f>
        <v/>
      </c>
      <c r="E459" s="8">
        <f>IF($A459="","",_xll.BDP($A459&amp;" Corp","INDUSTRY_SECTOR"))</f>
        <v/>
      </c>
      <c r="F459" s="8">
        <f>IF($A459="","",PROPER(_xll.BDP($A459&amp;" Corp","COUNTRY_FULL_NAME")))</f>
        <v/>
      </c>
      <c r="G459" s="8">
        <f>IF($A459="","",_xll.BDP($A459&amp;" Corp","CRNCY"))</f>
        <v/>
      </c>
      <c r="H459" s="8">
        <f>IF($A459="","",IFERROR(INDEX(SYZ_static!$T$2:$T$806,MATCH($A459,SYZ_static!$A$2:$A$806,0)),_xll.BDP($A459&amp;" Corp","RTG_SP")))</f>
        <v/>
      </c>
      <c r="I459" s="8">
        <f>IF($A459="","",IFERROR(INDEX(SYZ_static!$S$2:$S$806,MATCH($A459,SYZ_static!$A$2:$A$806,0)),""))</f>
        <v/>
      </c>
      <c r="J459" s="8">
        <f>IF($A459="","",_xll.BDP($A459&amp;" Corp","PAYMENT_RANK"))</f>
        <v/>
      </c>
      <c r="K459" s="9">
        <f>IF($A459="","",_xll.BDP($A459&amp;" Corp","CPN"))</f>
        <v/>
      </c>
      <c r="L459" s="10">
        <f>IF($A459="","",_xll.BDP($A459&amp;" Corp","MATURITY"))</f>
        <v/>
      </c>
      <c r="M459" s="11">
        <f>IF($A459="","",IFERROR(_xll.BDP($A459&amp;" Corp","MIN_PIECE")/1000,""))</f>
        <v/>
      </c>
      <c r="N459" s="12">
        <f>IF($A459="","",_xll.BDP($A459&amp;" Corp","PX_LAST"))</f>
        <v/>
      </c>
      <c r="O459" s="12">
        <f>IF($A459="","",_xll.BDP($A459&amp;" Corp","YAS_BOND_YLD","YAS_YLD_FLAG=15"))</f>
        <v/>
      </c>
      <c r="P459" s="12">
        <f>IF($A459="","",_xll.BDP($A459&amp;" Corp","YAS_MOD_DUR"))</f>
        <v/>
      </c>
      <c r="Q459" s="13">
        <f>IF($A459="","",_xll.BDP($A459&amp;" Corp","YAS_OAS_SPRD"))</f>
        <v/>
      </c>
      <c r="R459" s="13">
        <f>IF($A459="","",_xll.BDP($A459&amp;" Corp","YAS_OAS_SPRD","SETTLE_DT",$B$2))</f>
        <v/>
      </c>
      <c r="S459" s="14">
        <f>IF($A459="","",IF(OR(NOT(ISNUMBER($Q459)),NOT(ISNUMBER($R459))),"",$Q459-$R459))</f>
        <v/>
      </c>
      <c r="T459" s="12">
        <f>IF($A459="","",_xll.BDP($A459&amp;" Corp","YAS_BOND_YLD","YAS_YLD_FLAG=15","SETTLE_DT",$B$2))</f>
        <v/>
      </c>
      <c r="U459" s="15">
        <f>IF($A459="","",IF(OR(NOT(ISNUMBER($O459)),NOT(ISNUMBER($T459))),"",$O459-$T459))</f>
        <v/>
      </c>
      <c r="V459" s="13">
        <f>IF(NOT(ISNUMBER($S459)),"",COUNTIFS($G$7:$G$850,$G459,$S$7:$S$850,"&gt;"&amp;$S459)+COUNTIFS($G$7:$G459,$G459,$S$7:$S459,$S459))</f>
        <v/>
      </c>
      <c r="W459" s="13">
        <f>IF(NOT(ISNUMBER($S459)),"",COUNTIFS($G$7:$G$850,$G459,$S$7:$S$850,"&lt;"&amp;$S459)+COUNTIFS($G$7:$G459,$G459,$S$7:$S459,$S459))</f>
        <v/>
      </c>
      <c r="X459" s="8">
        <f>IF($V459="","",$G459&amp;"|"&amp;$V459)</f>
        <v/>
      </c>
      <c r="Y459" s="8">
        <f>IF($W459="","",$G459&amp;"|"&amp;$W459)</f>
        <v/>
      </c>
    </row>
    <row r="460">
      <c r="A460" s="16" t="inlineStr">
        <is>
          <t>CH1232107164</t>
        </is>
      </c>
      <c r="B460" s="17">
        <f>IF($A460="","",PROPER(_xll.BDP($A460&amp;" Corp","NAME")))</f>
        <v/>
      </c>
      <c r="C460" s="17">
        <f>IF($A460="","",IFERROR(INDEX(Company_desc!$B$2:$B$1144,MATCH($A460,Company_desc!$A$2:$A$1144,0)),IFERROR(INDEX(SYZ_static!$Q$2:$Q$806,MATCH($A460,SYZ_static!$A$2:$A$806,0)),"")))</f>
        <v/>
      </c>
      <c r="D460" s="17">
        <f>IF($A460="","",IFERROR(INDEX(SYZ_static!$B$2:$B$806,MATCH($A460,SYZ_static!$A$2:$A$806,0)),""))</f>
        <v/>
      </c>
      <c r="E460" s="17">
        <f>IF($A460="","",_xll.BDP($A460&amp;" Corp","INDUSTRY_SECTOR"))</f>
        <v/>
      </c>
      <c r="F460" s="17">
        <f>IF($A460="","",PROPER(_xll.BDP($A460&amp;" Corp","COUNTRY_FULL_NAME")))</f>
        <v/>
      </c>
      <c r="G460" s="17">
        <f>IF($A460="","",_xll.BDP($A460&amp;" Corp","CRNCY"))</f>
        <v/>
      </c>
      <c r="H460" s="17">
        <f>IF($A460="","",IFERROR(INDEX(SYZ_static!$T$2:$T$806,MATCH($A460,SYZ_static!$A$2:$A$806,0)),_xll.BDP($A460&amp;" Corp","RTG_SP")))</f>
        <v/>
      </c>
      <c r="I460" s="17">
        <f>IF($A460="","",IFERROR(INDEX(SYZ_static!$S$2:$S$806,MATCH($A460,SYZ_static!$A$2:$A$806,0)),""))</f>
        <v/>
      </c>
      <c r="J460" s="17">
        <f>IF($A460="","",_xll.BDP($A460&amp;" Corp","PAYMENT_RANK"))</f>
        <v/>
      </c>
      <c r="K460" s="18">
        <f>IF($A460="","",_xll.BDP($A460&amp;" Corp","CPN"))</f>
        <v/>
      </c>
      <c r="L460" s="19">
        <f>IF($A460="","",_xll.BDP($A460&amp;" Corp","MATURITY"))</f>
        <v/>
      </c>
      <c r="M460" s="20">
        <f>IF($A460="","",IFERROR(_xll.BDP($A460&amp;" Corp","MIN_PIECE")/1000,""))</f>
        <v/>
      </c>
      <c r="N460" s="21">
        <f>IF($A460="","",_xll.BDP($A460&amp;" Corp","PX_LAST"))</f>
        <v/>
      </c>
      <c r="O460" s="21">
        <f>IF($A460="","",_xll.BDP($A460&amp;" Corp","YAS_BOND_YLD","YAS_YLD_FLAG=15"))</f>
        <v/>
      </c>
      <c r="P460" s="21">
        <f>IF($A460="","",_xll.BDP($A460&amp;" Corp","YAS_MOD_DUR"))</f>
        <v/>
      </c>
      <c r="Q460" s="22">
        <f>IF($A460="","",_xll.BDP($A460&amp;" Corp","YAS_OAS_SPRD"))</f>
        <v/>
      </c>
      <c r="R460" s="22">
        <f>IF($A460="","",_xll.BDP($A460&amp;" Corp","YAS_OAS_SPRD","SETTLE_DT",$B$2))</f>
        <v/>
      </c>
      <c r="S460" s="23">
        <f>IF($A460="","",IF(OR(NOT(ISNUMBER($Q460)),NOT(ISNUMBER($R460))),"",$Q460-$R460))</f>
        <v/>
      </c>
      <c r="T460" s="21">
        <f>IF($A460="","",_xll.BDP($A460&amp;" Corp","YAS_BOND_YLD","YAS_YLD_FLAG=15","SETTLE_DT",$B$2))</f>
        <v/>
      </c>
      <c r="U460" s="24">
        <f>IF($A460="","",IF(OR(NOT(ISNUMBER($O460)),NOT(ISNUMBER($T460))),"",$O460-$T460))</f>
        <v/>
      </c>
      <c r="V460" s="22">
        <f>IF(NOT(ISNUMBER($S460)),"",COUNTIFS($G$7:$G$850,$G460,$S$7:$S$850,"&gt;"&amp;$S460)+COUNTIFS($G$7:$G460,$G460,$S$7:$S460,$S460))</f>
        <v/>
      </c>
      <c r="W460" s="22">
        <f>IF(NOT(ISNUMBER($S460)),"",COUNTIFS($G$7:$G$850,$G460,$S$7:$S$850,"&lt;"&amp;$S460)+COUNTIFS($G$7:$G460,$G460,$S$7:$S460,$S460))</f>
        <v/>
      </c>
      <c r="X460" s="17">
        <f>IF($V460="","",$G460&amp;"|"&amp;$V460)</f>
        <v/>
      </c>
      <c r="Y460" s="17">
        <f>IF($W460="","",$G460&amp;"|"&amp;$W460)</f>
        <v/>
      </c>
    </row>
    <row r="461">
      <c r="A461" s="7" t="inlineStr">
        <is>
          <t>XS0143739182</t>
        </is>
      </c>
      <c r="B461" s="8">
        <f>IF($A461="","",PROPER(_xll.BDP($A461&amp;" Corp","NAME")))</f>
        <v/>
      </c>
      <c r="C461" s="8">
        <f>IF($A461="","",IFERROR(INDEX(Company_desc!$B$2:$B$1144,MATCH($A461,Company_desc!$A$2:$A$1144,0)),IFERROR(INDEX(SYZ_static!$Q$2:$Q$806,MATCH($A461,SYZ_static!$A$2:$A$806,0)),"")))</f>
        <v/>
      </c>
      <c r="D461" s="8">
        <f>IF($A461="","",IFERROR(INDEX(SYZ_static!$B$2:$B$806,MATCH($A461,SYZ_static!$A$2:$A$806,0)),""))</f>
        <v/>
      </c>
      <c r="E461" s="8">
        <f>IF($A461="","",_xll.BDP($A461&amp;" Corp","INDUSTRY_SECTOR"))</f>
        <v/>
      </c>
      <c r="F461" s="8">
        <f>IF($A461="","",PROPER(_xll.BDP($A461&amp;" Corp","COUNTRY_FULL_NAME")))</f>
        <v/>
      </c>
      <c r="G461" s="8">
        <f>IF($A461="","",_xll.BDP($A461&amp;" Corp","CRNCY"))</f>
        <v/>
      </c>
      <c r="H461" s="8">
        <f>IF($A461="","",IFERROR(INDEX(SYZ_static!$T$2:$T$806,MATCH($A461,SYZ_static!$A$2:$A$806,0)),_xll.BDP($A461&amp;" Corp","RTG_SP")))</f>
        <v/>
      </c>
      <c r="I461" s="8">
        <f>IF($A461="","",IFERROR(INDEX(SYZ_static!$S$2:$S$806,MATCH($A461,SYZ_static!$A$2:$A$806,0)),""))</f>
        <v/>
      </c>
      <c r="J461" s="8">
        <f>IF($A461="","",_xll.BDP($A461&amp;" Corp","PAYMENT_RANK"))</f>
        <v/>
      </c>
      <c r="K461" s="9">
        <f>IF($A461="","",_xll.BDP($A461&amp;" Corp","CPN"))</f>
        <v/>
      </c>
      <c r="L461" s="10">
        <f>IF($A461="","",_xll.BDP($A461&amp;" Corp","MATURITY"))</f>
        <v/>
      </c>
      <c r="M461" s="11">
        <f>IF($A461="","",IFERROR(_xll.BDP($A461&amp;" Corp","MIN_PIECE")/1000,""))</f>
        <v/>
      </c>
      <c r="N461" s="12">
        <f>IF($A461="","",_xll.BDP($A461&amp;" Corp","PX_LAST"))</f>
        <v/>
      </c>
      <c r="O461" s="12">
        <f>IF($A461="","",_xll.BDP($A461&amp;" Corp","YAS_BOND_YLD","YAS_YLD_FLAG=15"))</f>
        <v/>
      </c>
      <c r="P461" s="12">
        <f>IF($A461="","",_xll.BDP($A461&amp;" Corp","YAS_MOD_DUR"))</f>
        <v/>
      </c>
      <c r="Q461" s="13">
        <f>IF($A461="","",_xll.BDP($A461&amp;" Corp","YAS_OAS_SPRD"))</f>
        <v/>
      </c>
      <c r="R461" s="13">
        <f>IF($A461="","",_xll.BDP($A461&amp;" Corp","YAS_OAS_SPRD","SETTLE_DT",$B$2))</f>
        <v/>
      </c>
      <c r="S461" s="14">
        <f>IF($A461="","",IF(OR(NOT(ISNUMBER($Q461)),NOT(ISNUMBER($R461))),"",$Q461-$R461))</f>
        <v/>
      </c>
      <c r="T461" s="12">
        <f>IF($A461="","",_xll.BDP($A461&amp;" Corp","YAS_BOND_YLD","YAS_YLD_FLAG=15","SETTLE_DT",$B$2))</f>
        <v/>
      </c>
      <c r="U461" s="15">
        <f>IF($A461="","",IF(OR(NOT(ISNUMBER($O461)),NOT(ISNUMBER($T461))),"",$O461-$T461))</f>
        <v/>
      </c>
      <c r="V461" s="13">
        <f>IF(NOT(ISNUMBER($S461)),"",COUNTIFS($G$7:$G$850,$G461,$S$7:$S$850,"&gt;"&amp;$S461)+COUNTIFS($G$7:$G461,$G461,$S$7:$S461,$S461))</f>
        <v/>
      </c>
      <c r="W461" s="13">
        <f>IF(NOT(ISNUMBER($S461)),"",COUNTIFS($G$7:$G$850,$G461,$S$7:$S$850,"&lt;"&amp;$S461)+COUNTIFS($G$7:$G461,$G461,$S$7:$S461,$S461))</f>
        <v/>
      </c>
      <c r="X461" s="8">
        <f>IF($V461="","",$G461&amp;"|"&amp;$V461)</f>
        <v/>
      </c>
      <c r="Y461" s="8">
        <f>IF($W461="","",$G461&amp;"|"&amp;$W461)</f>
        <v/>
      </c>
    </row>
    <row r="462">
      <c r="A462" s="16" t="inlineStr">
        <is>
          <t>FR001400U660</t>
        </is>
      </c>
      <c r="B462" s="17">
        <f>IF($A462="","",PROPER(_xll.BDP($A462&amp;" Corp","NAME")))</f>
        <v/>
      </c>
      <c r="C462" s="17">
        <f>IF($A462="","",IFERROR(INDEX(Company_desc!$B$2:$B$1144,MATCH($A462,Company_desc!$A$2:$A$1144,0)),IFERROR(INDEX(SYZ_static!$Q$2:$Q$806,MATCH($A462,SYZ_static!$A$2:$A$806,0)),"")))</f>
        <v/>
      </c>
      <c r="D462" s="17">
        <f>IF($A462="","",IFERROR(INDEX(SYZ_static!$B$2:$B$806,MATCH($A462,SYZ_static!$A$2:$A$806,0)),""))</f>
        <v/>
      </c>
      <c r="E462" s="17">
        <f>IF($A462="","",_xll.BDP($A462&amp;" Corp","INDUSTRY_SECTOR"))</f>
        <v/>
      </c>
      <c r="F462" s="17">
        <f>IF($A462="","",PROPER(_xll.BDP($A462&amp;" Corp","COUNTRY_FULL_NAME")))</f>
        <v/>
      </c>
      <c r="G462" s="17">
        <f>IF($A462="","",_xll.BDP($A462&amp;" Corp","CRNCY"))</f>
        <v/>
      </c>
      <c r="H462" s="17">
        <f>IF($A462="","",IFERROR(INDEX(SYZ_static!$T$2:$T$806,MATCH($A462,SYZ_static!$A$2:$A$806,0)),_xll.BDP($A462&amp;" Corp","RTG_SP")))</f>
        <v/>
      </c>
      <c r="I462" s="17">
        <f>IF($A462="","",IFERROR(INDEX(SYZ_static!$S$2:$S$806,MATCH($A462,SYZ_static!$A$2:$A$806,0)),""))</f>
        <v/>
      </c>
      <c r="J462" s="17">
        <f>IF($A462="","",_xll.BDP($A462&amp;" Corp","PAYMENT_RANK"))</f>
        <v/>
      </c>
      <c r="K462" s="18">
        <f>IF($A462="","",_xll.BDP($A462&amp;" Corp","CPN"))</f>
        <v/>
      </c>
      <c r="L462" s="19">
        <f>IF($A462="","",_xll.BDP($A462&amp;" Corp","MATURITY"))</f>
        <v/>
      </c>
      <c r="M462" s="20">
        <f>IF($A462="","",IFERROR(_xll.BDP($A462&amp;" Corp","MIN_PIECE")/1000,""))</f>
        <v/>
      </c>
      <c r="N462" s="21">
        <f>IF($A462="","",_xll.BDP($A462&amp;" Corp","PX_LAST"))</f>
        <v/>
      </c>
      <c r="O462" s="21">
        <f>IF($A462="","",_xll.BDP($A462&amp;" Corp","YAS_BOND_YLD","YAS_YLD_FLAG=15"))</f>
        <v/>
      </c>
      <c r="P462" s="21">
        <f>IF($A462="","",_xll.BDP($A462&amp;" Corp","YAS_MOD_DUR"))</f>
        <v/>
      </c>
      <c r="Q462" s="22">
        <f>IF($A462="","",_xll.BDP($A462&amp;" Corp","YAS_OAS_SPRD"))</f>
        <v/>
      </c>
      <c r="R462" s="22">
        <f>IF($A462="","",_xll.BDP($A462&amp;" Corp","YAS_OAS_SPRD","SETTLE_DT",$B$2))</f>
        <v/>
      </c>
      <c r="S462" s="23">
        <f>IF($A462="","",IF(OR(NOT(ISNUMBER($Q462)),NOT(ISNUMBER($R462))),"",$Q462-$R462))</f>
        <v/>
      </c>
      <c r="T462" s="21">
        <f>IF($A462="","",_xll.BDP($A462&amp;" Corp","YAS_BOND_YLD","YAS_YLD_FLAG=15","SETTLE_DT",$B$2))</f>
        <v/>
      </c>
      <c r="U462" s="24">
        <f>IF($A462="","",IF(OR(NOT(ISNUMBER($O462)),NOT(ISNUMBER($T462))),"",$O462-$T462))</f>
        <v/>
      </c>
      <c r="V462" s="22">
        <f>IF(NOT(ISNUMBER($S462)),"",COUNTIFS($G$7:$G$850,$G462,$S$7:$S$850,"&gt;"&amp;$S462)+COUNTIFS($G$7:$G462,$G462,$S$7:$S462,$S462))</f>
        <v/>
      </c>
      <c r="W462" s="22">
        <f>IF(NOT(ISNUMBER($S462)),"",COUNTIFS($G$7:$G$850,$G462,$S$7:$S$850,"&lt;"&amp;$S462)+COUNTIFS($G$7:$G462,$G462,$S$7:$S462,$S462))</f>
        <v/>
      </c>
      <c r="X462" s="17">
        <f>IF($V462="","",$G462&amp;"|"&amp;$V462)</f>
        <v/>
      </c>
      <c r="Y462" s="17">
        <f>IF($W462="","",$G462&amp;"|"&amp;$W462)</f>
        <v/>
      </c>
    </row>
    <row r="463">
      <c r="A463" s="7" t="inlineStr">
        <is>
          <t>US46647PEA03</t>
        </is>
      </c>
      <c r="B463" s="8">
        <f>IF($A463="","",PROPER(_xll.BDP($A463&amp;" Corp","NAME")))</f>
        <v/>
      </c>
      <c r="C463" s="8">
        <f>IF($A463="","",IFERROR(INDEX(Company_desc!$B$2:$B$1144,MATCH($A463,Company_desc!$A$2:$A$1144,0)),IFERROR(INDEX(SYZ_static!$Q$2:$Q$806,MATCH($A463,SYZ_static!$A$2:$A$806,0)),"")))</f>
        <v/>
      </c>
      <c r="D463" s="8">
        <f>IF($A463="","",IFERROR(INDEX(SYZ_static!$B$2:$B$806,MATCH($A463,SYZ_static!$A$2:$A$806,0)),""))</f>
        <v/>
      </c>
      <c r="E463" s="8">
        <f>IF($A463="","",_xll.BDP($A463&amp;" Corp","INDUSTRY_SECTOR"))</f>
        <v/>
      </c>
      <c r="F463" s="8">
        <f>IF($A463="","",PROPER(_xll.BDP($A463&amp;" Corp","COUNTRY_FULL_NAME")))</f>
        <v/>
      </c>
      <c r="G463" s="8">
        <f>IF($A463="","",_xll.BDP($A463&amp;" Corp","CRNCY"))</f>
        <v/>
      </c>
      <c r="H463" s="8">
        <f>IF($A463="","",IFERROR(INDEX(SYZ_static!$T$2:$T$806,MATCH($A463,SYZ_static!$A$2:$A$806,0)),_xll.BDP($A463&amp;" Corp","RTG_SP")))</f>
        <v/>
      </c>
      <c r="I463" s="8">
        <f>IF($A463="","",IFERROR(INDEX(SYZ_static!$S$2:$S$806,MATCH($A463,SYZ_static!$A$2:$A$806,0)),""))</f>
        <v/>
      </c>
      <c r="J463" s="8">
        <f>IF($A463="","",_xll.BDP($A463&amp;" Corp","PAYMENT_RANK"))</f>
        <v/>
      </c>
      <c r="K463" s="9">
        <f>IF($A463="","",_xll.BDP($A463&amp;" Corp","CPN"))</f>
        <v/>
      </c>
      <c r="L463" s="10">
        <f>IF($A463="","",_xll.BDP($A463&amp;" Corp","MATURITY"))</f>
        <v/>
      </c>
      <c r="M463" s="11">
        <f>IF($A463="","",IFERROR(_xll.BDP($A463&amp;" Corp","MIN_PIECE")/1000,""))</f>
        <v/>
      </c>
      <c r="N463" s="12">
        <f>IF($A463="","",_xll.BDP($A463&amp;" Corp","PX_LAST"))</f>
        <v/>
      </c>
      <c r="O463" s="12">
        <f>IF($A463="","",_xll.BDP($A463&amp;" Corp","YAS_BOND_YLD","YAS_YLD_FLAG=15"))</f>
        <v/>
      </c>
      <c r="P463" s="12">
        <f>IF($A463="","",_xll.BDP($A463&amp;" Corp","YAS_MOD_DUR"))</f>
        <v/>
      </c>
      <c r="Q463" s="13">
        <f>IF($A463="","",_xll.BDP($A463&amp;" Corp","YAS_OAS_SPRD"))</f>
        <v/>
      </c>
      <c r="R463" s="13">
        <f>IF($A463="","",_xll.BDP($A463&amp;" Corp","YAS_OAS_SPRD","SETTLE_DT",$B$2))</f>
        <v/>
      </c>
      <c r="S463" s="14">
        <f>IF($A463="","",IF(OR(NOT(ISNUMBER($Q463)),NOT(ISNUMBER($R463))),"",$Q463-$R463))</f>
        <v/>
      </c>
      <c r="T463" s="12">
        <f>IF($A463="","",_xll.BDP($A463&amp;" Corp","YAS_BOND_YLD","YAS_YLD_FLAG=15","SETTLE_DT",$B$2))</f>
        <v/>
      </c>
      <c r="U463" s="15">
        <f>IF($A463="","",IF(OR(NOT(ISNUMBER($O463)),NOT(ISNUMBER($T463))),"",$O463-$T463))</f>
        <v/>
      </c>
      <c r="V463" s="13">
        <f>IF(NOT(ISNUMBER($S463)),"",COUNTIFS($G$7:$G$850,$G463,$S$7:$S$850,"&gt;"&amp;$S463)+COUNTIFS($G$7:$G463,$G463,$S$7:$S463,$S463))</f>
        <v/>
      </c>
      <c r="W463" s="13">
        <f>IF(NOT(ISNUMBER($S463)),"",COUNTIFS($G$7:$G$850,$G463,$S$7:$S$850,"&lt;"&amp;$S463)+COUNTIFS($G$7:$G463,$G463,$S$7:$S463,$S463))</f>
        <v/>
      </c>
      <c r="X463" s="8">
        <f>IF($V463="","",$G463&amp;"|"&amp;$V463)</f>
        <v/>
      </c>
      <c r="Y463" s="8">
        <f>IF($W463="","",$G463&amp;"|"&amp;$W463)</f>
        <v/>
      </c>
    </row>
    <row r="464">
      <c r="A464" s="16" t="inlineStr">
        <is>
          <t>CH1129053802</t>
        </is>
      </c>
      <c r="B464" s="17">
        <f>IF($A464="","",PROPER(_xll.BDP($A464&amp;" Corp","NAME")))</f>
        <v/>
      </c>
      <c r="C464" s="17">
        <f>IF($A464="","",IFERROR(INDEX(Company_desc!$B$2:$B$1144,MATCH($A464,Company_desc!$A$2:$A$1144,0)),IFERROR(INDEX(SYZ_static!$Q$2:$Q$806,MATCH($A464,SYZ_static!$A$2:$A$806,0)),"")))</f>
        <v/>
      </c>
      <c r="D464" s="17">
        <f>IF($A464="","",IFERROR(INDEX(SYZ_static!$B$2:$B$806,MATCH($A464,SYZ_static!$A$2:$A$806,0)),""))</f>
        <v/>
      </c>
      <c r="E464" s="17">
        <f>IF($A464="","",_xll.BDP($A464&amp;" Corp","INDUSTRY_SECTOR"))</f>
        <v/>
      </c>
      <c r="F464" s="17">
        <f>IF($A464="","",PROPER(_xll.BDP($A464&amp;" Corp","COUNTRY_FULL_NAME")))</f>
        <v/>
      </c>
      <c r="G464" s="17">
        <f>IF($A464="","",_xll.BDP($A464&amp;" Corp","CRNCY"))</f>
        <v/>
      </c>
      <c r="H464" s="17">
        <f>IF($A464="","",IFERROR(INDEX(SYZ_static!$T$2:$T$806,MATCH($A464,SYZ_static!$A$2:$A$806,0)),_xll.BDP($A464&amp;" Corp","RTG_SP")))</f>
        <v/>
      </c>
      <c r="I464" s="17">
        <f>IF($A464="","",IFERROR(INDEX(SYZ_static!$S$2:$S$806,MATCH($A464,SYZ_static!$A$2:$A$806,0)),""))</f>
        <v/>
      </c>
      <c r="J464" s="17">
        <f>IF($A464="","",_xll.BDP($A464&amp;" Corp","PAYMENT_RANK"))</f>
        <v/>
      </c>
      <c r="K464" s="18">
        <f>IF($A464="","",_xll.BDP($A464&amp;" Corp","CPN"))</f>
        <v/>
      </c>
      <c r="L464" s="19">
        <f>IF($A464="","",_xll.BDP($A464&amp;" Corp","MATURITY"))</f>
        <v/>
      </c>
      <c r="M464" s="20">
        <f>IF($A464="","",IFERROR(_xll.BDP($A464&amp;" Corp","MIN_PIECE")/1000,""))</f>
        <v/>
      </c>
      <c r="N464" s="21">
        <f>IF($A464="","",_xll.BDP($A464&amp;" Corp","PX_LAST"))</f>
        <v/>
      </c>
      <c r="O464" s="21">
        <f>IF($A464="","",_xll.BDP($A464&amp;" Corp","YAS_BOND_YLD","YAS_YLD_FLAG=15"))</f>
        <v/>
      </c>
      <c r="P464" s="21">
        <f>IF($A464="","",_xll.BDP($A464&amp;" Corp","YAS_MOD_DUR"))</f>
        <v/>
      </c>
      <c r="Q464" s="22">
        <f>IF($A464="","",_xll.BDP($A464&amp;" Corp","YAS_OAS_SPRD"))</f>
        <v/>
      </c>
      <c r="R464" s="22">
        <f>IF($A464="","",_xll.BDP($A464&amp;" Corp","YAS_OAS_SPRD","SETTLE_DT",$B$2))</f>
        <v/>
      </c>
      <c r="S464" s="23">
        <f>IF($A464="","",IF(OR(NOT(ISNUMBER($Q464)),NOT(ISNUMBER($R464))),"",$Q464-$R464))</f>
        <v/>
      </c>
      <c r="T464" s="21">
        <f>IF($A464="","",_xll.BDP($A464&amp;" Corp","YAS_BOND_YLD","YAS_YLD_FLAG=15","SETTLE_DT",$B$2))</f>
        <v/>
      </c>
      <c r="U464" s="24">
        <f>IF($A464="","",IF(OR(NOT(ISNUMBER($O464)),NOT(ISNUMBER($T464))),"",$O464-$T464))</f>
        <v/>
      </c>
      <c r="V464" s="22">
        <f>IF(NOT(ISNUMBER($S464)),"",COUNTIFS($G$7:$G$850,$G464,$S$7:$S$850,"&gt;"&amp;$S464)+COUNTIFS($G$7:$G464,$G464,$S$7:$S464,$S464))</f>
        <v/>
      </c>
      <c r="W464" s="22">
        <f>IF(NOT(ISNUMBER($S464)),"",COUNTIFS($G$7:$G$850,$G464,$S$7:$S$850,"&lt;"&amp;$S464)+COUNTIFS($G$7:$G464,$G464,$S$7:$S464,$S464))</f>
        <v/>
      </c>
      <c r="X464" s="17">
        <f>IF($V464="","",$G464&amp;"|"&amp;$V464)</f>
        <v/>
      </c>
      <c r="Y464" s="17">
        <f>IF($W464="","",$G464&amp;"|"&amp;$W464)</f>
        <v/>
      </c>
    </row>
    <row r="465">
      <c r="A465" s="7" t="inlineStr">
        <is>
          <t>XS2989779231</t>
        </is>
      </c>
      <c r="B465" s="8">
        <f>IF($A465="","",PROPER(_xll.BDP($A465&amp;" Corp","NAME")))</f>
        <v/>
      </c>
      <c r="C465" s="8">
        <f>IF($A465="","",IFERROR(INDEX(Company_desc!$B$2:$B$1144,MATCH($A465,Company_desc!$A$2:$A$1144,0)),IFERROR(INDEX(SYZ_static!$Q$2:$Q$806,MATCH($A465,SYZ_static!$A$2:$A$806,0)),"")))</f>
        <v/>
      </c>
      <c r="D465" s="8">
        <f>IF($A465="","",IFERROR(INDEX(SYZ_static!$B$2:$B$806,MATCH($A465,SYZ_static!$A$2:$A$806,0)),""))</f>
        <v/>
      </c>
      <c r="E465" s="8">
        <f>IF($A465="","",_xll.BDP($A465&amp;" Corp","INDUSTRY_SECTOR"))</f>
        <v/>
      </c>
      <c r="F465" s="8">
        <f>IF($A465="","",PROPER(_xll.BDP($A465&amp;" Corp","COUNTRY_FULL_NAME")))</f>
        <v/>
      </c>
      <c r="G465" s="8">
        <f>IF($A465="","",_xll.BDP($A465&amp;" Corp","CRNCY"))</f>
        <v/>
      </c>
      <c r="H465" s="8">
        <f>IF($A465="","",IFERROR(INDEX(SYZ_static!$T$2:$T$806,MATCH($A465,SYZ_static!$A$2:$A$806,0)),_xll.BDP($A465&amp;" Corp","RTG_SP")))</f>
        <v/>
      </c>
      <c r="I465" s="8">
        <f>IF($A465="","",IFERROR(INDEX(SYZ_static!$S$2:$S$806,MATCH($A465,SYZ_static!$A$2:$A$806,0)),""))</f>
        <v/>
      </c>
      <c r="J465" s="8">
        <f>IF($A465="","",_xll.BDP($A465&amp;" Corp","PAYMENT_RANK"))</f>
        <v/>
      </c>
      <c r="K465" s="9">
        <f>IF($A465="","",_xll.BDP($A465&amp;" Corp","CPN"))</f>
        <v/>
      </c>
      <c r="L465" s="10">
        <f>IF($A465="","",_xll.BDP($A465&amp;" Corp","MATURITY"))</f>
        <v/>
      </c>
      <c r="M465" s="11">
        <f>IF($A465="","",IFERROR(_xll.BDP($A465&amp;" Corp","MIN_PIECE")/1000,""))</f>
        <v/>
      </c>
      <c r="N465" s="12">
        <f>IF($A465="","",_xll.BDP($A465&amp;" Corp","PX_LAST"))</f>
        <v/>
      </c>
      <c r="O465" s="12">
        <f>IF($A465="","",_xll.BDP($A465&amp;" Corp","YAS_BOND_YLD","YAS_YLD_FLAG=15"))</f>
        <v/>
      </c>
      <c r="P465" s="12">
        <f>IF($A465="","",_xll.BDP($A465&amp;" Corp","YAS_MOD_DUR"))</f>
        <v/>
      </c>
      <c r="Q465" s="13">
        <f>IF($A465="","",_xll.BDP($A465&amp;" Corp","YAS_OAS_SPRD"))</f>
        <v/>
      </c>
      <c r="R465" s="13">
        <f>IF($A465="","",_xll.BDP($A465&amp;" Corp","YAS_OAS_SPRD","SETTLE_DT",$B$2))</f>
        <v/>
      </c>
      <c r="S465" s="14">
        <f>IF($A465="","",IF(OR(NOT(ISNUMBER($Q465)),NOT(ISNUMBER($R465))),"",$Q465-$R465))</f>
        <v/>
      </c>
      <c r="T465" s="12">
        <f>IF($A465="","",_xll.BDP($A465&amp;" Corp","YAS_BOND_YLD","YAS_YLD_FLAG=15","SETTLE_DT",$B$2))</f>
        <v/>
      </c>
      <c r="U465" s="15">
        <f>IF($A465="","",IF(OR(NOT(ISNUMBER($O465)),NOT(ISNUMBER($T465))),"",$O465-$T465))</f>
        <v/>
      </c>
      <c r="V465" s="13">
        <f>IF(NOT(ISNUMBER($S465)),"",COUNTIFS($G$7:$G$850,$G465,$S$7:$S$850,"&gt;"&amp;$S465)+COUNTIFS($G$7:$G465,$G465,$S$7:$S465,$S465))</f>
        <v/>
      </c>
      <c r="W465" s="13">
        <f>IF(NOT(ISNUMBER($S465)),"",COUNTIFS($G$7:$G$850,$G465,$S$7:$S$850,"&lt;"&amp;$S465)+COUNTIFS($G$7:$G465,$G465,$S$7:$S465,$S465))</f>
        <v/>
      </c>
      <c r="X465" s="8">
        <f>IF($V465="","",$G465&amp;"|"&amp;$V465)</f>
        <v/>
      </c>
      <c r="Y465" s="8">
        <f>IF($W465="","",$G465&amp;"|"&amp;$W465)</f>
        <v/>
      </c>
    </row>
    <row r="466">
      <c r="A466" s="16" t="inlineStr">
        <is>
          <t>XS2197356186</t>
        </is>
      </c>
      <c r="B466" s="17">
        <f>IF($A466="","",PROPER(_xll.BDP($A466&amp;" Corp","NAME")))</f>
        <v/>
      </c>
      <c r="C466" s="17">
        <f>IF($A466="","",IFERROR(INDEX(Company_desc!$B$2:$B$1144,MATCH($A466,Company_desc!$A$2:$A$1144,0)),IFERROR(INDEX(SYZ_static!$Q$2:$Q$806,MATCH($A466,SYZ_static!$A$2:$A$806,0)),"")))</f>
        <v/>
      </c>
      <c r="D466" s="17">
        <f>IF($A466="","",IFERROR(INDEX(SYZ_static!$B$2:$B$806,MATCH($A466,SYZ_static!$A$2:$A$806,0)),""))</f>
        <v/>
      </c>
      <c r="E466" s="17">
        <f>IF($A466="","",_xll.BDP($A466&amp;" Corp","INDUSTRY_SECTOR"))</f>
        <v/>
      </c>
      <c r="F466" s="17">
        <f>IF($A466="","",PROPER(_xll.BDP($A466&amp;" Corp","COUNTRY_FULL_NAME")))</f>
        <v/>
      </c>
      <c r="G466" s="17">
        <f>IF($A466="","",_xll.BDP($A466&amp;" Corp","CRNCY"))</f>
        <v/>
      </c>
      <c r="H466" s="17">
        <f>IF($A466="","",IFERROR(INDEX(SYZ_static!$T$2:$T$806,MATCH($A466,SYZ_static!$A$2:$A$806,0)),_xll.BDP($A466&amp;" Corp","RTG_SP")))</f>
        <v/>
      </c>
      <c r="I466" s="17">
        <f>IF($A466="","",IFERROR(INDEX(SYZ_static!$S$2:$S$806,MATCH($A466,SYZ_static!$A$2:$A$806,0)),""))</f>
        <v/>
      </c>
      <c r="J466" s="17">
        <f>IF($A466="","",_xll.BDP($A466&amp;" Corp","PAYMENT_RANK"))</f>
        <v/>
      </c>
      <c r="K466" s="18">
        <f>IF($A466="","",_xll.BDP($A466&amp;" Corp","CPN"))</f>
        <v/>
      </c>
      <c r="L466" s="19">
        <f>IF($A466="","",_xll.BDP($A466&amp;" Corp","MATURITY"))</f>
        <v/>
      </c>
      <c r="M466" s="20">
        <f>IF($A466="","",IFERROR(_xll.BDP($A466&amp;" Corp","MIN_PIECE")/1000,""))</f>
        <v/>
      </c>
      <c r="N466" s="21">
        <f>IF($A466="","",_xll.BDP($A466&amp;" Corp","PX_LAST"))</f>
        <v/>
      </c>
      <c r="O466" s="21">
        <f>IF($A466="","",_xll.BDP($A466&amp;" Corp","YAS_BOND_YLD","YAS_YLD_FLAG=15"))</f>
        <v/>
      </c>
      <c r="P466" s="21">
        <f>IF($A466="","",_xll.BDP($A466&amp;" Corp","YAS_MOD_DUR"))</f>
        <v/>
      </c>
      <c r="Q466" s="22">
        <f>IF($A466="","",_xll.BDP($A466&amp;" Corp","YAS_OAS_SPRD"))</f>
        <v/>
      </c>
      <c r="R466" s="22">
        <f>IF($A466="","",_xll.BDP($A466&amp;" Corp","YAS_OAS_SPRD","SETTLE_DT",$B$2))</f>
        <v/>
      </c>
      <c r="S466" s="23">
        <f>IF($A466="","",IF(OR(NOT(ISNUMBER($Q466)),NOT(ISNUMBER($R466))),"",$Q466-$R466))</f>
        <v/>
      </c>
      <c r="T466" s="21">
        <f>IF($A466="","",_xll.BDP($A466&amp;" Corp","YAS_BOND_YLD","YAS_YLD_FLAG=15","SETTLE_DT",$B$2))</f>
        <v/>
      </c>
      <c r="U466" s="24">
        <f>IF($A466="","",IF(OR(NOT(ISNUMBER($O466)),NOT(ISNUMBER($T466))),"",$O466-$T466))</f>
        <v/>
      </c>
      <c r="V466" s="22">
        <f>IF(NOT(ISNUMBER($S466)),"",COUNTIFS($G$7:$G$850,$G466,$S$7:$S$850,"&gt;"&amp;$S466)+COUNTIFS($G$7:$G466,$G466,$S$7:$S466,$S466))</f>
        <v/>
      </c>
      <c r="W466" s="22">
        <f>IF(NOT(ISNUMBER($S466)),"",COUNTIFS($G$7:$G$850,$G466,$S$7:$S$850,"&lt;"&amp;$S466)+COUNTIFS($G$7:$G466,$G466,$S$7:$S466,$S466))</f>
        <v/>
      </c>
      <c r="X466" s="17">
        <f>IF($V466="","",$G466&amp;"|"&amp;$V466)</f>
        <v/>
      </c>
      <c r="Y466" s="17">
        <f>IF($W466="","",$G466&amp;"|"&amp;$W466)</f>
        <v/>
      </c>
    </row>
    <row r="467">
      <c r="A467" s="7" t="inlineStr">
        <is>
          <t>FR0010680041</t>
        </is>
      </c>
      <c r="B467" s="8">
        <f>IF($A467="","",PROPER(_xll.BDP($A467&amp;" Corp","NAME")))</f>
        <v/>
      </c>
      <c r="C467" s="8">
        <f>IF($A467="","",IFERROR(INDEX(Company_desc!$B$2:$B$1144,MATCH($A467,Company_desc!$A$2:$A$1144,0)),IFERROR(INDEX(SYZ_static!$Q$2:$Q$806,MATCH($A467,SYZ_static!$A$2:$A$806,0)),"")))</f>
        <v/>
      </c>
      <c r="D467" s="8">
        <f>IF($A467="","",IFERROR(INDEX(SYZ_static!$B$2:$B$806,MATCH($A467,SYZ_static!$A$2:$A$806,0)),""))</f>
        <v/>
      </c>
      <c r="E467" s="8">
        <f>IF($A467="","",_xll.BDP($A467&amp;" Corp","INDUSTRY_SECTOR"))</f>
        <v/>
      </c>
      <c r="F467" s="8">
        <f>IF($A467="","",PROPER(_xll.BDP($A467&amp;" Corp","COUNTRY_FULL_NAME")))</f>
        <v/>
      </c>
      <c r="G467" s="8">
        <f>IF($A467="","",_xll.BDP($A467&amp;" Corp","CRNCY"))</f>
        <v/>
      </c>
      <c r="H467" s="8">
        <f>IF($A467="","",IFERROR(INDEX(SYZ_static!$T$2:$T$806,MATCH($A467,SYZ_static!$A$2:$A$806,0)),_xll.BDP($A467&amp;" Corp","RTG_SP")))</f>
        <v/>
      </c>
      <c r="I467" s="8">
        <f>IF($A467="","",IFERROR(INDEX(SYZ_static!$S$2:$S$806,MATCH($A467,SYZ_static!$A$2:$A$806,0)),""))</f>
        <v/>
      </c>
      <c r="J467" s="8">
        <f>IF($A467="","",_xll.BDP($A467&amp;" Corp","PAYMENT_RANK"))</f>
        <v/>
      </c>
      <c r="K467" s="9">
        <f>IF($A467="","",_xll.BDP($A467&amp;" Corp","CPN"))</f>
        <v/>
      </c>
      <c r="L467" s="10">
        <f>IF($A467="","",_xll.BDP($A467&amp;" Corp","MATURITY"))</f>
        <v/>
      </c>
      <c r="M467" s="11">
        <f>IF($A467="","",IFERROR(_xll.BDP($A467&amp;" Corp","MIN_PIECE")/1000,""))</f>
        <v/>
      </c>
      <c r="N467" s="12">
        <f>IF($A467="","",_xll.BDP($A467&amp;" Corp","PX_LAST"))</f>
        <v/>
      </c>
      <c r="O467" s="12">
        <f>IF($A467="","",_xll.BDP($A467&amp;" Corp","YAS_BOND_YLD","YAS_YLD_FLAG=15"))</f>
        <v/>
      </c>
      <c r="P467" s="12">
        <f>IF($A467="","",_xll.BDP($A467&amp;" Corp","YAS_MOD_DUR"))</f>
        <v/>
      </c>
      <c r="Q467" s="13">
        <f>IF($A467="","",_xll.BDP($A467&amp;" Corp","YAS_OAS_SPRD"))</f>
        <v/>
      </c>
      <c r="R467" s="13">
        <f>IF($A467="","",_xll.BDP($A467&amp;" Corp","YAS_OAS_SPRD","SETTLE_DT",$B$2))</f>
        <v/>
      </c>
      <c r="S467" s="14">
        <f>IF($A467="","",IF(OR(NOT(ISNUMBER($Q467)),NOT(ISNUMBER($R467))),"",$Q467-$R467))</f>
        <v/>
      </c>
      <c r="T467" s="12">
        <f>IF($A467="","",_xll.BDP($A467&amp;" Corp","YAS_BOND_YLD","YAS_YLD_FLAG=15","SETTLE_DT",$B$2))</f>
        <v/>
      </c>
      <c r="U467" s="15">
        <f>IF($A467="","",IF(OR(NOT(ISNUMBER($O467)),NOT(ISNUMBER($T467))),"",$O467-$T467))</f>
        <v/>
      </c>
      <c r="V467" s="13">
        <f>IF(NOT(ISNUMBER($S467)),"",COUNTIFS($G$7:$G$850,$G467,$S$7:$S$850,"&gt;"&amp;$S467)+COUNTIFS($G$7:$G467,$G467,$S$7:$S467,$S467))</f>
        <v/>
      </c>
      <c r="W467" s="13">
        <f>IF(NOT(ISNUMBER($S467)),"",COUNTIFS($G$7:$G$850,$G467,$S$7:$S$850,"&lt;"&amp;$S467)+COUNTIFS($G$7:$G467,$G467,$S$7:$S467,$S467))</f>
        <v/>
      </c>
      <c r="X467" s="8">
        <f>IF($V467="","",$G467&amp;"|"&amp;$V467)</f>
        <v/>
      </c>
      <c r="Y467" s="8">
        <f>IF($W467="","",$G467&amp;"|"&amp;$W467)</f>
        <v/>
      </c>
    </row>
    <row r="468">
      <c r="A468" s="16" t="inlineStr">
        <is>
          <t>XS2586741543</t>
        </is>
      </c>
      <c r="B468" s="17">
        <f>IF($A468="","",PROPER(_xll.BDP($A468&amp;" Corp","NAME")))</f>
        <v/>
      </c>
      <c r="C468" s="17">
        <f>IF($A468="","",IFERROR(INDEX(Company_desc!$B$2:$B$1144,MATCH($A468,Company_desc!$A$2:$A$1144,0)),IFERROR(INDEX(SYZ_static!$Q$2:$Q$806,MATCH($A468,SYZ_static!$A$2:$A$806,0)),"")))</f>
        <v/>
      </c>
      <c r="D468" s="17">
        <f>IF($A468="","",IFERROR(INDEX(SYZ_static!$B$2:$B$806,MATCH($A468,SYZ_static!$A$2:$A$806,0)),""))</f>
        <v/>
      </c>
      <c r="E468" s="17">
        <f>IF($A468="","",_xll.BDP($A468&amp;" Corp","INDUSTRY_SECTOR"))</f>
        <v/>
      </c>
      <c r="F468" s="17">
        <f>IF($A468="","",PROPER(_xll.BDP($A468&amp;" Corp","COUNTRY_FULL_NAME")))</f>
        <v/>
      </c>
      <c r="G468" s="17">
        <f>IF($A468="","",_xll.BDP($A468&amp;" Corp","CRNCY"))</f>
        <v/>
      </c>
      <c r="H468" s="17">
        <f>IF($A468="","",IFERROR(INDEX(SYZ_static!$T$2:$T$806,MATCH($A468,SYZ_static!$A$2:$A$806,0)),_xll.BDP($A468&amp;" Corp","RTG_SP")))</f>
        <v/>
      </c>
      <c r="I468" s="17">
        <f>IF($A468="","",IFERROR(INDEX(SYZ_static!$S$2:$S$806,MATCH($A468,SYZ_static!$A$2:$A$806,0)),""))</f>
        <v/>
      </c>
      <c r="J468" s="17">
        <f>IF($A468="","",_xll.BDP($A468&amp;" Corp","PAYMENT_RANK"))</f>
        <v/>
      </c>
      <c r="K468" s="18">
        <f>IF($A468="","",_xll.BDP($A468&amp;" Corp","CPN"))</f>
        <v/>
      </c>
      <c r="L468" s="19">
        <f>IF($A468="","",_xll.BDP($A468&amp;" Corp","MATURITY"))</f>
        <v/>
      </c>
      <c r="M468" s="20">
        <f>IF($A468="","",IFERROR(_xll.BDP($A468&amp;" Corp","MIN_PIECE")/1000,""))</f>
        <v/>
      </c>
      <c r="N468" s="21">
        <f>IF($A468="","",_xll.BDP($A468&amp;" Corp","PX_LAST"))</f>
        <v/>
      </c>
      <c r="O468" s="21">
        <f>IF($A468="","",_xll.BDP($A468&amp;" Corp","YAS_BOND_YLD","YAS_YLD_FLAG=15"))</f>
        <v/>
      </c>
      <c r="P468" s="21">
        <f>IF($A468="","",_xll.BDP($A468&amp;" Corp","YAS_MOD_DUR"))</f>
        <v/>
      </c>
      <c r="Q468" s="22">
        <f>IF($A468="","",_xll.BDP($A468&amp;" Corp","YAS_OAS_SPRD"))</f>
        <v/>
      </c>
      <c r="R468" s="22">
        <f>IF($A468="","",_xll.BDP($A468&amp;" Corp","YAS_OAS_SPRD","SETTLE_DT",$B$2))</f>
        <v/>
      </c>
      <c r="S468" s="23">
        <f>IF($A468="","",IF(OR(NOT(ISNUMBER($Q468)),NOT(ISNUMBER($R468))),"",$Q468-$R468))</f>
        <v/>
      </c>
      <c r="T468" s="21">
        <f>IF($A468="","",_xll.BDP($A468&amp;" Corp","YAS_BOND_YLD","YAS_YLD_FLAG=15","SETTLE_DT",$B$2))</f>
        <v/>
      </c>
      <c r="U468" s="24">
        <f>IF($A468="","",IF(OR(NOT(ISNUMBER($O468)),NOT(ISNUMBER($T468))),"",$O468-$T468))</f>
        <v/>
      </c>
      <c r="V468" s="22">
        <f>IF(NOT(ISNUMBER($S468)),"",COUNTIFS($G$7:$G$850,$G468,$S$7:$S$850,"&gt;"&amp;$S468)+COUNTIFS($G$7:$G468,$G468,$S$7:$S468,$S468))</f>
        <v/>
      </c>
      <c r="W468" s="22">
        <f>IF(NOT(ISNUMBER($S468)),"",COUNTIFS($G$7:$G$850,$G468,$S$7:$S$850,"&lt;"&amp;$S468)+COUNTIFS($G$7:$G468,$G468,$S$7:$S468,$S468))</f>
        <v/>
      </c>
      <c r="X468" s="17">
        <f>IF($V468="","",$G468&amp;"|"&amp;$V468)</f>
        <v/>
      </c>
      <c r="Y468" s="17">
        <f>IF($W468="","",$G468&amp;"|"&amp;$W468)</f>
        <v/>
      </c>
    </row>
    <row r="469">
      <c r="A469" s="7" t="inlineStr">
        <is>
          <t>US606822BM52</t>
        </is>
      </c>
      <c r="B469" s="8">
        <f>IF($A469="","",PROPER(_xll.BDP($A469&amp;" Corp","NAME")))</f>
        <v/>
      </c>
      <c r="C469" s="8">
        <f>IF($A469="","",IFERROR(INDEX(Company_desc!$B$2:$B$1144,MATCH($A469,Company_desc!$A$2:$A$1144,0)),IFERROR(INDEX(SYZ_static!$Q$2:$Q$806,MATCH($A469,SYZ_static!$A$2:$A$806,0)),"")))</f>
        <v/>
      </c>
      <c r="D469" s="8">
        <f>IF($A469="","",IFERROR(INDEX(SYZ_static!$B$2:$B$806,MATCH($A469,SYZ_static!$A$2:$A$806,0)),""))</f>
        <v/>
      </c>
      <c r="E469" s="8">
        <f>IF($A469="","",_xll.BDP($A469&amp;" Corp","INDUSTRY_SECTOR"))</f>
        <v/>
      </c>
      <c r="F469" s="8">
        <f>IF($A469="","",PROPER(_xll.BDP($A469&amp;" Corp","COUNTRY_FULL_NAME")))</f>
        <v/>
      </c>
      <c r="G469" s="8">
        <f>IF($A469="","",_xll.BDP($A469&amp;" Corp","CRNCY"))</f>
        <v/>
      </c>
      <c r="H469" s="8">
        <f>IF($A469="","",IFERROR(INDEX(SYZ_static!$T$2:$T$806,MATCH($A469,SYZ_static!$A$2:$A$806,0)),_xll.BDP($A469&amp;" Corp","RTG_SP")))</f>
        <v/>
      </c>
      <c r="I469" s="8">
        <f>IF($A469="","",IFERROR(INDEX(SYZ_static!$S$2:$S$806,MATCH($A469,SYZ_static!$A$2:$A$806,0)),""))</f>
        <v/>
      </c>
      <c r="J469" s="8">
        <f>IF($A469="","",_xll.BDP($A469&amp;" Corp","PAYMENT_RANK"))</f>
        <v/>
      </c>
      <c r="K469" s="9">
        <f>IF($A469="","",_xll.BDP($A469&amp;" Corp","CPN"))</f>
        <v/>
      </c>
      <c r="L469" s="10">
        <f>IF($A469="","",_xll.BDP($A469&amp;" Corp","MATURITY"))</f>
        <v/>
      </c>
      <c r="M469" s="11">
        <f>IF($A469="","",IFERROR(_xll.BDP($A469&amp;" Corp","MIN_PIECE")/1000,""))</f>
        <v/>
      </c>
      <c r="N469" s="12">
        <f>IF($A469="","",_xll.BDP($A469&amp;" Corp","PX_LAST"))</f>
        <v/>
      </c>
      <c r="O469" s="12">
        <f>IF($A469="","",_xll.BDP($A469&amp;" Corp","YAS_BOND_YLD","YAS_YLD_FLAG=15"))</f>
        <v/>
      </c>
      <c r="P469" s="12">
        <f>IF($A469="","",_xll.BDP($A469&amp;" Corp","YAS_MOD_DUR"))</f>
        <v/>
      </c>
      <c r="Q469" s="13">
        <f>IF($A469="","",_xll.BDP($A469&amp;" Corp","YAS_OAS_SPRD"))</f>
        <v/>
      </c>
      <c r="R469" s="13">
        <f>IF($A469="","",_xll.BDP($A469&amp;" Corp","YAS_OAS_SPRD","SETTLE_DT",$B$2))</f>
        <v/>
      </c>
      <c r="S469" s="14">
        <f>IF($A469="","",IF(OR(NOT(ISNUMBER($Q469)),NOT(ISNUMBER($R469))),"",$Q469-$R469))</f>
        <v/>
      </c>
      <c r="T469" s="12">
        <f>IF($A469="","",_xll.BDP($A469&amp;" Corp","YAS_BOND_YLD","YAS_YLD_FLAG=15","SETTLE_DT",$B$2))</f>
        <v/>
      </c>
      <c r="U469" s="15">
        <f>IF($A469="","",IF(OR(NOT(ISNUMBER($O469)),NOT(ISNUMBER($T469))),"",$O469-$T469))</f>
        <v/>
      </c>
      <c r="V469" s="13">
        <f>IF(NOT(ISNUMBER($S469)),"",COUNTIFS($G$7:$G$850,$G469,$S$7:$S$850,"&gt;"&amp;$S469)+COUNTIFS($G$7:$G469,$G469,$S$7:$S469,$S469))</f>
        <v/>
      </c>
      <c r="W469" s="13">
        <f>IF(NOT(ISNUMBER($S469)),"",COUNTIFS($G$7:$G$850,$G469,$S$7:$S$850,"&lt;"&amp;$S469)+COUNTIFS($G$7:$G469,$G469,$S$7:$S469,$S469))</f>
        <v/>
      </c>
      <c r="X469" s="8">
        <f>IF($V469="","",$G469&amp;"|"&amp;$V469)</f>
        <v/>
      </c>
      <c r="Y469" s="8">
        <f>IF($W469="","",$G469&amp;"|"&amp;$W469)</f>
        <v/>
      </c>
    </row>
    <row r="470">
      <c r="A470" s="16" t="inlineStr">
        <is>
          <t>XS2577053825</t>
        </is>
      </c>
      <c r="B470" s="17">
        <f>IF($A470="","",PROPER(_xll.BDP($A470&amp;" Corp","NAME")))</f>
        <v/>
      </c>
      <c r="C470" s="17">
        <f>IF($A470="","",IFERROR(INDEX(Company_desc!$B$2:$B$1144,MATCH($A470,Company_desc!$A$2:$A$1144,0)),IFERROR(INDEX(SYZ_static!$Q$2:$Q$806,MATCH($A470,SYZ_static!$A$2:$A$806,0)),"")))</f>
        <v/>
      </c>
      <c r="D470" s="17">
        <f>IF($A470="","",IFERROR(INDEX(SYZ_static!$B$2:$B$806,MATCH($A470,SYZ_static!$A$2:$A$806,0)),""))</f>
        <v/>
      </c>
      <c r="E470" s="17">
        <f>IF($A470="","",_xll.BDP($A470&amp;" Corp","INDUSTRY_SECTOR"))</f>
        <v/>
      </c>
      <c r="F470" s="17">
        <f>IF($A470="","",PROPER(_xll.BDP($A470&amp;" Corp","COUNTRY_FULL_NAME")))</f>
        <v/>
      </c>
      <c r="G470" s="17">
        <f>IF($A470="","",_xll.BDP($A470&amp;" Corp","CRNCY"))</f>
        <v/>
      </c>
      <c r="H470" s="17">
        <f>IF($A470="","",IFERROR(INDEX(SYZ_static!$T$2:$T$806,MATCH($A470,SYZ_static!$A$2:$A$806,0)),_xll.BDP($A470&amp;" Corp","RTG_SP")))</f>
        <v/>
      </c>
      <c r="I470" s="17">
        <f>IF($A470="","",IFERROR(INDEX(SYZ_static!$S$2:$S$806,MATCH($A470,SYZ_static!$A$2:$A$806,0)),""))</f>
        <v/>
      </c>
      <c r="J470" s="17">
        <f>IF($A470="","",_xll.BDP($A470&amp;" Corp","PAYMENT_RANK"))</f>
        <v/>
      </c>
      <c r="K470" s="18">
        <f>IF($A470="","",_xll.BDP($A470&amp;" Corp","CPN"))</f>
        <v/>
      </c>
      <c r="L470" s="19">
        <f>IF($A470="","",_xll.BDP($A470&amp;" Corp","MATURITY"))</f>
        <v/>
      </c>
      <c r="M470" s="20">
        <f>IF($A470="","",IFERROR(_xll.BDP($A470&amp;" Corp","MIN_PIECE")/1000,""))</f>
        <v/>
      </c>
      <c r="N470" s="21">
        <f>IF($A470="","",_xll.BDP($A470&amp;" Corp","PX_LAST"))</f>
        <v/>
      </c>
      <c r="O470" s="21">
        <f>IF($A470="","",_xll.BDP($A470&amp;" Corp","YAS_BOND_YLD","YAS_YLD_FLAG=15"))</f>
        <v/>
      </c>
      <c r="P470" s="21">
        <f>IF($A470="","",_xll.BDP($A470&amp;" Corp","YAS_MOD_DUR"))</f>
        <v/>
      </c>
      <c r="Q470" s="22">
        <f>IF($A470="","",_xll.BDP($A470&amp;" Corp","YAS_OAS_SPRD"))</f>
        <v/>
      </c>
      <c r="R470" s="22">
        <f>IF($A470="","",_xll.BDP($A470&amp;" Corp","YAS_OAS_SPRD","SETTLE_DT",$B$2))</f>
        <v/>
      </c>
      <c r="S470" s="23">
        <f>IF($A470="","",IF(OR(NOT(ISNUMBER($Q470)),NOT(ISNUMBER($R470))),"",$Q470-$R470))</f>
        <v/>
      </c>
      <c r="T470" s="21">
        <f>IF($A470="","",_xll.BDP($A470&amp;" Corp","YAS_BOND_YLD","YAS_YLD_FLAG=15","SETTLE_DT",$B$2))</f>
        <v/>
      </c>
      <c r="U470" s="24">
        <f>IF($A470="","",IF(OR(NOT(ISNUMBER($O470)),NOT(ISNUMBER($T470))),"",$O470-$T470))</f>
        <v/>
      </c>
      <c r="V470" s="22">
        <f>IF(NOT(ISNUMBER($S470)),"",COUNTIFS($G$7:$G$850,$G470,$S$7:$S$850,"&gt;"&amp;$S470)+COUNTIFS($G$7:$G470,$G470,$S$7:$S470,$S470))</f>
        <v/>
      </c>
      <c r="W470" s="22">
        <f>IF(NOT(ISNUMBER($S470)),"",COUNTIFS($G$7:$G$850,$G470,$S$7:$S$850,"&lt;"&amp;$S470)+COUNTIFS($G$7:$G470,$G470,$S$7:$S470,$S470))</f>
        <v/>
      </c>
      <c r="X470" s="17">
        <f>IF($V470="","",$G470&amp;"|"&amp;$V470)</f>
        <v/>
      </c>
      <c r="Y470" s="17">
        <f>IF($W470="","",$G470&amp;"|"&amp;$W470)</f>
        <v/>
      </c>
    </row>
    <row r="471">
      <c r="A471" s="7" t="inlineStr">
        <is>
          <t>US855244BF54</t>
        </is>
      </c>
      <c r="B471" s="8">
        <f>IF($A471="","",PROPER(_xll.BDP($A471&amp;" Corp","NAME")))</f>
        <v/>
      </c>
      <c r="C471" s="8">
        <f>IF($A471="","",IFERROR(INDEX(Company_desc!$B$2:$B$1144,MATCH($A471,Company_desc!$A$2:$A$1144,0)),IFERROR(INDEX(SYZ_static!$Q$2:$Q$806,MATCH($A471,SYZ_static!$A$2:$A$806,0)),"")))</f>
        <v/>
      </c>
      <c r="D471" s="8">
        <f>IF($A471="","",IFERROR(INDEX(SYZ_static!$B$2:$B$806,MATCH($A471,SYZ_static!$A$2:$A$806,0)),""))</f>
        <v/>
      </c>
      <c r="E471" s="8">
        <f>IF($A471="","",_xll.BDP($A471&amp;" Corp","INDUSTRY_SECTOR"))</f>
        <v/>
      </c>
      <c r="F471" s="8">
        <f>IF($A471="","",PROPER(_xll.BDP($A471&amp;" Corp","COUNTRY_FULL_NAME")))</f>
        <v/>
      </c>
      <c r="G471" s="8">
        <f>IF($A471="","",_xll.BDP($A471&amp;" Corp","CRNCY"))</f>
        <v/>
      </c>
      <c r="H471" s="8">
        <f>IF($A471="","",IFERROR(INDEX(SYZ_static!$T$2:$T$806,MATCH($A471,SYZ_static!$A$2:$A$806,0)),_xll.BDP($A471&amp;" Corp","RTG_SP")))</f>
        <v/>
      </c>
      <c r="I471" s="8">
        <f>IF($A471="","",IFERROR(INDEX(SYZ_static!$S$2:$S$806,MATCH($A471,SYZ_static!$A$2:$A$806,0)),""))</f>
        <v/>
      </c>
      <c r="J471" s="8">
        <f>IF($A471="","",_xll.BDP($A471&amp;" Corp","PAYMENT_RANK"))</f>
        <v/>
      </c>
      <c r="K471" s="9">
        <f>IF($A471="","",_xll.BDP($A471&amp;" Corp","CPN"))</f>
        <v/>
      </c>
      <c r="L471" s="10">
        <f>IF($A471="","",_xll.BDP($A471&amp;" Corp","MATURITY"))</f>
        <v/>
      </c>
      <c r="M471" s="11">
        <f>IF($A471="","",IFERROR(_xll.BDP($A471&amp;" Corp","MIN_PIECE")/1000,""))</f>
        <v/>
      </c>
      <c r="N471" s="12">
        <f>IF($A471="","",_xll.BDP($A471&amp;" Corp","PX_LAST"))</f>
        <v/>
      </c>
      <c r="O471" s="12">
        <f>IF($A471="","",_xll.BDP($A471&amp;" Corp","YAS_BOND_YLD","YAS_YLD_FLAG=15"))</f>
        <v/>
      </c>
      <c r="P471" s="12">
        <f>IF($A471="","",_xll.BDP($A471&amp;" Corp","YAS_MOD_DUR"))</f>
        <v/>
      </c>
      <c r="Q471" s="13">
        <f>IF($A471="","",_xll.BDP($A471&amp;" Corp","YAS_OAS_SPRD"))</f>
        <v/>
      </c>
      <c r="R471" s="13">
        <f>IF($A471="","",_xll.BDP($A471&amp;" Corp","YAS_OAS_SPRD","SETTLE_DT",$B$2))</f>
        <v/>
      </c>
      <c r="S471" s="14">
        <f>IF($A471="","",IF(OR(NOT(ISNUMBER($Q471)),NOT(ISNUMBER($R471))),"",$Q471-$R471))</f>
        <v/>
      </c>
      <c r="T471" s="12">
        <f>IF($A471="","",_xll.BDP($A471&amp;" Corp","YAS_BOND_YLD","YAS_YLD_FLAG=15","SETTLE_DT",$B$2))</f>
        <v/>
      </c>
      <c r="U471" s="15">
        <f>IF($A471="","",IF(OR(NOT(ISNUMBER($O471)),NOT(ISNUMBER($T471))),"",$O471-$T471))</f>
        <v/>
      </c>
      <c r="V471" s="13">
        <f>IF(NOT(ISNUMBER($S471)),"",COUNTIFS($G$7:$G$850,$G471,$S$7:$S$850,"&gt;"&amp;$S471)+COUNTIFS($G$7:$G471,$G471,$S$7:$S471,$S471))</f>
        <v/>
      </c>
      <c r="W471" s="13">
        <f>IF(NOT(ISNUMBER($S471)),"",COUNTIFS($G$7:$G$850,$G471,$S$7:$S$850,"&lt;"&amp;$S471)+COUNTIFS($G$7:$G471,$G471,$S$7:$S471,$S471))</f>
        <v/>
      </c>
      <c r="X471" s="8">
        <f>IF($V471="","",$G471&amp;"|"&amp;$V471)</f>
        <v/>
      </c>
      <c r="Y471" s="8">
        <f>IF($W471="","",$G471&amp;"|"&amp;$W471)</f>
        <v/>
      </c>
    </row>
    <row r="472">
      <c r="A472" s="16" t="inlineStr">
        <is>
          <t>US10373QBU31</t>
        </is>
      </c>
      <c r="B472" s="17">
        <f>IF($A472="","",PROPER(_xll.BDP($A472&amp;" Corp","NAME")))</f>
        <v/>
      </c>
      <c r="C472" s="17">
        <f>IF($A472="","",IFERROR(INDEX(Company_desc!$B$2:$B$1144,MATCH($A472,Company_desc!$A$2:$A$1144,0)),IFERROR(INDEX(SYZ_static!$Q$2:$Q$806,MATCH($A472,SYZ_static!$A$2:$A$806,0)),"")))</f>
        <v/>
      </c>
      <c r="D472" s="17">
        <f>IF($A472="","",IFERROR(INDEX(SYZ_static!$B$2:$B$806,MATCH($A472,SYZ_static!$A$2:$A$806,0)),""))</f>
        <v/>
      </c>
      <c r="E472" s="17">
        <f>IF($A472="","",_xll.BDP($A472&amp;" Corp","INDUSTRY_SECTOR"))</f>
        <v/>
      </c>
      <c r="F472" s="17">
        <f>IF($A472="","",PROPER(_xll.BDP($A472&amp;" Corp","COUNTRY_FULL_NAME")))</f>
        <v/>
      </c>
      <c r="G472" s="17">
        <f>IF($A472="","",_xll.BDP($A472&amp;" Corp","CRNCY"))</f>
        <v/>
      </c>
      <c r="H472" s="17">
        <f>IF($A472="","",IFERROR(INDEX(SYZ_static!$T$2:$T$806,MATCH($A472,SYZ_static!$A$2:$A$806,0)),_xll.BDP($A472&amp;" Corp","RTG_SP")))</f>
        <v/>
      </c>
      <c r="I472" s="17">
        <f>IF($A472="","",IFERROR(INDEX(SYZ_static!$S$2:$S$806,MATCH($A472,SYZ_static!$A$2:$A$806,0)),""))</f>
        <v/>
      </c>
      <c r="J472" s="17">
        <f>IF($A472="","",_xll.BDP($A472&amp;" Corp","PAYMENT_RANK"))</f>
        <v/>
      </c>
      <c r="K472" s="18">
        <f>IF($A472="","",_xll.BDP($A472&amp;" Corp","CPN"))</f>
        <v/>
      </c>
      <c r="L472" s="19">
        <f>IF($A472="","",_xll.BDP($A472&amp;" Corp","MATURITY"))</f>
        <v/>
      </c>
      <c r="M472" s="20">
        <f>IF($A472="","",IFERROR(_xll.BDP($A472&amp;" Corp","MIN_PIECE")/1000,""))</f>
        <v/>
      </c>
      <c r="N472" s="21">
        <f>IF($A472="","",_xll.BDP($A472&amp;" Corp","PX_LAST"))</f>
        <v/>
      </c>
      <c r="O472" s="21">
        <f>IF($A472="","",_xll.BDP($A472&amp;" Corp","YAS_BOND_YLD","YAS_YLD_FLAG=15"))</f>
        <v/>
      </c>
      <c r="P472" s="21">
        <f>IF($A472="","",_xll.BDP($A472&amp;" Corp","YAS_MOD_DUR"))</f>
        <v/>
      </c>
      <c r="Q472" s="22">
        <f>IF($A472="","",_xll.BDP($A472&amp;" Corp","YAS_OAS_SPRD"))</f>
        <v/>
      </c>
      <c r="R472" s="22">
        <f>IF($A472="","",_xll.BDP($A472&amp;" Corp","YAS_OAS_SPRD","SETTLE_DT",$B$2))</f>
        <v/>
      </c>
      <c r="S472" s="23">
        <f>IF($A472="","",IF(OR(NOT(ISNUMBER($Q472)),NOT(ISNUMBER($R472))),"",$Q472-$R472))</f>
        <v/>
      </c>
      <c r="T472" s="21">
        <f>IF($A472="","",_xll.BDP($A472&amp;" Corp","YAS_BOND_YLD","YAS_YLD_FLAG=15","SETTLE_DT",$B$2))</f>
        <v/>
      </c>
      <c r="U472" s="24">
        <f>IF($A472="","",IF(OR(NOT(ISNUMBER($O472)),NOT(ISNUMBER($T472))),"",$O472-$T472))</f>
        <v/>
      </c>
      <c r="V472" s="22">
        <f>IF(NOT(ISNUMBER($S472)),"",COUNTIFS($G$7:$G$850,$G472,$S$7:$S$850,"&gt;"&amp;$S472)+COUNTIFS($G$7:$G472,$G472,$S$7:$S472,$S472))</f>
        <v/>
      </c>
      <c r="W472" s="22">
        <f>IF(NOT(ISNUMBER($S472)),"",COUNTIFS($G$7:$G$850,$G472,$S$7:$S$850,"&lt;"&amp;$S472)+COUNTIFS($G$7:$G472,$G472,$S$7:$S472,$S472))</f>
        <v/>
      </c>
      <c r="X472" s="17">
        <f>IF($V472="","",$G472&amp;"|"&amp;$V472)</f>
        <v/>
      </c>
      <c r="Y472" s="17">
        <f>IF($W472="","",$G472&amp;"|"&amp;$W472)</f>
        <v/>
      </c>
    </row>
    <row r="473">
      <c r="A473" s="7" t="inlineStr">
        <is>
          <t>CH1291809908</t>
        </is>
      </c>
      <c r="B473" s="8">
        <f>IF($A473="","",PROPER(_xll.BDP($A473&amp;" Corp","NAME")))</f>
        <v/>
      </c>
      <c r="C473" s="8">
        <f>IF($A473="","",IFERROR(INDEX(Company_desc!$B$2:$B$1144,MATCH($A473,Company_desc!$A$2:$A$1144,0)),IFERROR(INDEX(SYZ_static!$Q$2:$Q$806,MATCH($A473,SYZ_static!$A$2:$A$806,0)),"")))</f>
        <v/>
      </c>
      <c r="D473" s="8">
        <f>IF($A473="","",IFERROR(INDEX(SYZ_static!$B$2:$B$806,MATCH($A473,SYZ_static!$A$2:$A$806,0)),""))</f>
        <v/>
      </c>
      <c r="E473" s="8">
        <f>IF($A473="","",_xll.BDP($A473&amp;" Corp","INDUSTRY_SECTOR"))</f>
        <v/>
      </c>
      <c r="F473" s="8">
        <f>IF($A473="","",PROPER(_xll.BDP($A473&amp;" Corp","COUNTRY_FULL_NAME")))</f>
        <v/>
      </c>
      <c r="G473" s="8">
        <f>IF($A473="","",_xll.BDP($A473&amp;" Corp","CRNCY"))</f>
        <v/>
      </c>
      <c r="H473" s="8">
        <f>IF($A473="","",IFERROR(INDEX(SYZ_static!$T$2:$T$806,MATCH($A473,SYZ_static!$A$2:$A$806,0)),_xll.BDP($A473&amp;" Corp","RTG_SP")))</f>
        <v/>
      </c>
      <c r="I473" s="8">
        <f>IF($A473="","",IFERROR(INDEX(SYZ_static!$S$2:$S$806,MATCH($A473,SYZ_static!$A$2:$A$806,0)),""))</f>
        <v/>
      </c>
      <c r="J473" s="8">
        <f>IF($A473="","",_xll.BDP($A473&amp;" Corp","PAYMENT_RANK"))</f>
        <v/>
      </c>
      <c r="K473" s="9">
        <f>IF($A473="","",_xll.BDP($A473&amp;" Corp","CPN"))</f>
        <v/>
      </c>
      <c r="L473" s="10">
        <f>IF($A473="","",_xll.BDP($A473&amp;" Corp","MATURITY"))</f>
        <v/>
      </c>
      <c r="M473" s="11">
        <f>IF($A473="","",IFERROR(_xll.BDP($A473&amp;" Corp","MIN_PIECE")/1000,""))</f>
        <v/>
      </c>
      <c r="N473" s="12">
        <f>IF($A473="","",_xll.BDP($A473&amp;" Corp","PX_LAST"))</f>
        <v/>
      </c>
      <c r="O473" s="12">
        <f>IF($A473="","",_xll.BDP($A473&amp;" Corp","YAS_BOND_YLD","YAS_YLD_FLAG=15"))</f>
        <v/>
      </c>
      <c r="P473" s="12">
        <f>IF($A473="","",_xll.BDP($A473&amp;" Corp","YAS_MOD_DUR"))</f>
        <v/>
      </c>
      <c r="Q473" s="13">
        <f>IF($A473="","",_xll.BDP($A473&amp;" Corp","YAS_OAS_SPRD"))</f>
        <v/>
      </c>
      <c r="R473" s="13">
        <f>IF($A473="","",_xll.BDP($A473&amp;" Corp","YAS_OAS_SPRD","SETTLE_DT",$B$2))</f>
        <v/>
      </c>
      <c r="S473" s="14">
        <f>IF($A473="","",IF(OR(NOT(ISNUMBER($Q473)),NOT(ISNUMBER($R473))),"",$Q473-$R473))</f>
        <v/>
      </c>
      <c r="T473" s="12">
        <f>IF($A473="","",_xll.BDP($A473&amp;" Corp","YAS_BOND_YLD","YAS_YLD_FLAG=15","SETTLE_DT",$B$2))</f>
        <v/>
      </c>
      <c r="U473" s="15">
        <f>IF($A473="","",IF(OR(NOT(ISNUMBER($O473)),NOT(ISNUMBER($T473))),"",$O473-$T473))</f>
        <v/>
      </c>
      <c r="V473" s="13">
        <f>IF(NOT(ISNUMBER($S473)),"",COUNTIFS($G$7:$G$850,$G473,$S$7:$S$850,"&gt;"&amp;$S473)+COUNTIFS($G$7:$G473,$G473,$S$7:$S473,$S473))</f>
        <v/>
      </c>
      <c r="W473" s="13">
        <f>IF(NOT(ISNUMBER($S473)),"",COUNTIFS($G$7:$G$850,$G473,$S$7:$S$850,"&lt;"&amp;$S473)+COUNTIFS($G$7:$G473,$G473,$S$7:$S473,$S473))</f>
        <v/>
      </c>
      <c r="X473" s="8">
        <f>IF($V473="","",$G473&amp;"|"&amp;$V473)</f>
        <v/>
      </c>
      <c r="Y473" s="8">
        <f>IF($W473="","",$G473&amp;"|"&amp;$W473)</f>
        <v/>
      </c>
    </row>
    <row r="474">
      <c r="A474" s="16" t="inlineStr">
        <is>
          <t>CH1230759552</t>
        </is>
      </c>
      <c r="B474" s="17">
        <f>IF($A474="","",PROPER(_xll.BDP($A474&amp;" Corp","NAME")))</f>
        <v/>
      </c>
      <c r="C474" s="17">
        <f>IF($A474="","",IFERROR(INDEX(Company_desc!$B$2:$B$1144,MATCH($A474,Company_desc!$A$2:$A$1144,0)),IFERROR(INDEX(SYZ_static!$Q$2:$Q$806,MATCH($A474,SYZ_static!$A$2:$A$806,0)),"")))</f>
        <v/>
      </c>
      <c r="D474" s="17">
        <f>IF($A474="","",IFERROR(INDEX(SYZ_static!$B$2:$B$806,MATCH($A474,SYZ_static!$A$2:$A$806,0)),""))</f>
        <v/>
      </c>
      <c r="E474" s="17">
        <f>IF($A474="","",_xll.BDP($A474&amp;" Corp","INDUSTRY_SECTOR"))</f>
        <v/>
      </c>
      <c r="F474" s="17">
        <f>IF($A474="","",PROPER(_xll.BDP($A474&amp;" Corp","COUNTRY_FULL_NAME")))</f>
        <v/>
      </c>
      <c r="G474" s="17">
        <f>IF($A474="","",_xll.BDP($A474&amp;" Corp","CRNCY"))</f>
        <v/>
      </c>
      <c r="H474" s="17">
        <f>IF($A474="","",IFERROR(INDEX(SYZ_static!$T$2:$T$806,MATCH($A474,SYZ_static!$A$2:$A$806,0)),_xll.BDP($A474&amp;" Corp","RTG_SP")))</f>
        <v/>
      </c>
      <c r="I474" s="17">
        <f>IF($A474="","",IFERROR(INDEX(SYZ_static!$S$2:$S$806,MATCH($A474,SYZ_static!$A$2:$A$806,0)),""))</f>
        <v/>
      </c>
      <c r="J474" s="17">
        <f>IF($A474="","",_xll.BDP($A474&amp;" Corp","PAYMENT_RANK"))</f>
        <v/>
      </c>
      <c r="K474" s="18">
        <f>IF($A474="","",_xll.BDP($A474&amp;" Corp","CPN"))</f>
        <v/>
      </c>
      <c r="L474" s="19">
        <f>IF($A474="","",_xll.BDP($A474&amp;" Corp","MATURITY"))</f>
        <v/>
      </c>
      <c r="M474" s="20">
        <f>IF($A474="","",IFERROR(_xll.BDP($A474&amp;" Corp","MIN_PIECE")/1000,""))</f>
        <v/>
      </c>
      <c r="N474" s="21">
        <f>IF($A474="","",_xll.BDP($A474&amp;" Corp","PX_LAST"))</f>
        <v/>
      </c>
      <c r="O474" s="21">
        <f>IF($A474="","",_xll.BDP($A474&amp;" Corp","YAS_BOND_YLD","YAS_YLD_FLAG=15"))</f>
        <v/>
      </c>
      <c r="P474" s="21">
        <f>IF($A474="","",_xll.BDP($A474&amp;" Corp","YAS_MOD_DUR"))</f>
        <v/>
      </c>
      <c r="Q474" s="22">
        <f>IF($A474="","",_xll.BDP($A474&amp;" Corp","YAS_OAS_SPRD"))</f>
        <v/>
      </c>
      <c r="R474" s="22">
        <f>IF($A474="","",_xll.BDP($A474&amp;" Corp","YAS_OAS_SPRD","SETTLE_DT",$B$2))</f>
        <v/>
      </c>
      <c r="S474" s="23">
        <f>IF($A474="","",IF(OR(NOT(ISNUMBER($Q474)),NOT(ISNUMBER($R474))),"",$Q474-$R474))</f>
        <v/>
      </c>
      <c r="T474" s="21">
        <f>IF($A474="","",_xll.BDP($A474&amp;" Corp","YAS_BOND_YLD","YAS_YLD_FLAG=15","SETTLE_DT",$B$2))</f>
        <v/>
      </c>
      <c r="U474" s="24">
        <f>IF($A474="","",IF(OR(NOT(ISNUMBER($O474)),NOT(ISNUMBER($T474))),"",$O474-$T474))</f>
        <v/>
      </c>
      <c r="V474" s="22">
        <f>IF(NOT(ISNUMBER($S474)),"",COUNTIFS($G$7:$G$850,$G474,$S$7:$S$850,"&gt;"&amp;$S474)+COUNTIFS($G$7:$G474,$G474,$S$7:$S474,$S474))</f>
        <v/>
      </c>
      <c r="W474" s="22">
        <f>IF(NOT(ISNUMBER($S474)),"",COUNTIFS($G$7:$G$850,$G474,$S$7:$S$850,"&lt;"&amp;$S474)+COUNTIFS($G$7:$G474,$G474,$S$7:$S474,$S474))</f>
        <v/>
      </c>
      <c r="X474" s="17">
        <f>IF($V474="","",$G474&amp;"|"&amp;$V474)</f>
        <v/>
      </c>
      <c r="Y474" s="17">
        <f>IF($W474="","",$G474&amp;"|"&amp;$W474)</f>
        <v/>
      </c>
    </row>
    <row r="475">
      <c r="A475" s="7" t="inlineStr">
        <is>
          <t>XS2405871570</t>
        </is>
      </c>
      <c r="B475" s="8">
        <f>IF($A475="","",PROPER(_xll.BDP($A475&amp;" Corp","NAME")))</f>
        <v/>
      </c>
      <c r="C475" s="8">
        <f>IF($A475="","",IFERROR(INDEX(Company_desc!$B$2:$B$1144,MATCH($A475,Company_desc!$A$2:$A$1144,0)),IFERROR(INDEX(SYZ_static!$Q$2:$Q$806,MATCH($A475,SYZ_static!$A$2:$A$806,0)),"")))</f>
        <v/>
      </c>
      <c r="D475" s="8">
        <f>IF($A475="","",IFERROR(INDEX(SYZ_static!$B$2:$B$806,MATCH($A475,SYZ_static!$A$2:$A$806,0)),""))</f>
        <v/>
      </c>
      <c r="E475" s="8">
        <f>IF($A475="","",_xll.BDP($A475&amp;" Corp","INDUSTRY_SECTOR"))</f>
        <v/>
      </c>
      <c r="F475" s="8">
        <f>IF($A475="","",PROPER(_xll.BDP($A475&amp;" Corp","COUNTRY_FULL_NAME")))</f>
        <v/>
      </c>
      <c r="G475" s="8">
        <f>IF($A475="","",_xll.BDP($A475&amp;" Corp","CRNCY"))</f>
        <v/>
      </c>
      <c r="H475" s="8">
        <f>IF($A475="","",IFERROR(INDEX(SYZ_static!$T$2:$T$806,MATCH($A475,SYZ_static!$A$2:$A$806,0)),_xll.BDP($A475&amp;" Corp","RTG_SP")))</f>
        <v/>
      </c>
      <c r="I475" s="8">
        <f>IF($A475="","",IFERROR(INDEX(SYZ_static!$S$2:$S$806,MATCH($A475,SYZ_static!$A$2:$A$806,0)),""))</f>
        <v/>
      </c>
      <c r="J475" s="8">
        <f>IF($A475="","",_xll.BDP($A475&amp;" Corp","PAYMENT_RANK"))</f>
        <v/>
      </c>
      <c r="K475" s="9">
        <f>IF($A475="","",_xll.BDP($A475&amp;" Corp","CPN"))</f>
        <v/>
      </c>
      <c r="L475" s="10">
        <f>IF($A475="","",_xll.BDP($A475&amp;" Corp","MATURITY"))</f>
        <v/>
      </c>
      <c r="M475" s="11">
        <f>IF($A475="","",IFERROR(_xll.BDP($A475&amp;" Corp","MIN_PIECE")/1000,""))</f>
        <v/>
      </c>
      <c r="N475" s="12">
        <f>IF($A475="","",_xll.BDP($A475&amp;" Corp","PX_LAST"))</f>
        <v/>
      </c>
      <c r="O475" s="12">
        <f>IF($A475="","",_xll.BDP($A475&amp;" Corp","YAS_BOND_YLD","YAS_YLD_FLAG=15"))</f>
        <v/>
      </c>
      <c r="P475" s="12">
        <f>IF($A475="","",_xll.BDP($A475&amp;" Corp","YAS_MOD_DUR"))</f>
        <v/>
      </c>
      <c r="Q475" s="13">
        <f>IF($A475="","",_xll.BDP($A475&amp;" Corp","YAS_OAS_SPRD"))</f>
        <v/>
      </c>
      <c r="R475" s="13">
        <f>IF($A475="","",_xll.BDP($A475&amp;" Corp","YAS_OAS_SPRD","SETTLE_DT",$B$2))</f>
        <v/>
      </c>
      <c r="S475" s="14">
        <f>IF($A475="","",IF(OR(NOT(ISNUMBER($Q475)),NOT(ISNUMBER($R475))),"",$Q475-$R475))</f>
        <v/>
      </c>
      <c r="T475" s="12">
        <f>IF($A475="","",_xll.BDP($A475&amp;" Corp","YAS_BOND_YLD","YAS_YLD_FLAG=15","SETTLE_DT",$B$2))</f>
        <v/>
      </c>
      <c r="U475" s="15">
        <f>IF($A475="","",IF(OR(NOT(ISNUMBER($O475)),NOT(ISNUMBER($T475))),"",$O475-$T475))</f>
        <v/>
      </c>
      <c r="V475" s="13">
        <f>IF(NOT(ISNUMBER($S475)),"",COUNTIFS($G$7:$G$850,$G475,$S$7:$S$850,"&gt;"&amp;$S475)+COUNTIFS($G$7:$G475,$G475,$S$7:$S475,$S475))</f>
        <v/>
      </c>
      <c r="W475" s="13">
        <f>IF(NOT(ISNUMBER($S475)),"",COUNTIFS($G$7:$G$850,$G475,$S$7:$S$850,"&lt;"&amp;$S475)+COUNTIFS($G$7:$G475,$G475,$S$7:$S475,$S475))</f>
        <v/>
      </c>
      <c r="X475" s="8">
        <f>IF($V475="","",$G475&amp;"|"&amp;$V475)</f>
        <v/>
      </c>
      <c r="Y475" s="8">
        <f>IF($W475="","",$G475&amp;"|"&amp;$W475)</f>
        <v/>
      </c>
    </row>
    <row r="476">
      <c r="A476" s="16" t="inlineStr">
        <is>
          <t>XS2578939527</t>
        </is>
      </c>
      <c r="B476" s="17">
        <f>IF($A476="","",PROPER(_xll.BDP($A476&amp;" Corp","NAME")))</f>
        <v/>
      </c>
      <c r="C476" s="17">
        <f>IF($A476="","",IFERROR(INDEX(Company_desc!$B$2:$B$1144,MATCH($A476,Company_desc!$A$2:$A$1144,0)),IFERROR(INDEX(SYZ_static!$Q$2:$Q$806,MATCH($A476,SYZ_static!$A$2:$A$806,0)),"")))</f>
        <v/>
      </c>
      <c r="D476" s="17">
        <f>IF($A476="","",IFERROR(INDEX(SYZ_static!$B$2:$B$806,MATCH($A476,SYZ_static!$A$2:$A$806,0)),""))</f>
        <v/>
      </c>
      <c r="E476" s="17">
        <f>IF($A476="","",_xll.BDP($A476&amp;" Corp","INDUSTRY_SECTOR"))</f>
        <v/>
      </c>
      <c r="F476" s="17">
        <f>IF($A476="","",PROPER(_xll.BDP($A476&amp;" Corp","COUNTRY_FULL_NAME")))</f>
        <v/>
      </c>
      <c r="G476" s="17">
        <f>IF($A476="","",_xll.BDP($A476&amp;" Corp","CRNCY"))</f>
        <v/>
      </c>
      <c r="H476" s="17">
        <f>IF($A476="","",IFERROR(INDEX(SYZ_static!$T$2:$T$806,MATCH($A476,SYZ_static!$A$2:$A$806,0)),_xll.BDP($A476&amp;" Corp","RTG_SP")))</f>
        <v/>
      </c>
      <c r="I476" s="17">
        <f>IF($A476="","",IFERROR(INDEX(SYZ_static!$S$2:$S$806,MATCH($A476,SYZ_static!$A$2:$A$806,0)),""))</f>
        <v/>
      </c>
      <c r="J476" s="17">
        <f>IF($A476="","",_xll.BDP($A476&amp;" Corp","PAYMENT_RANK"))</f>
        <v/>
      </c>
      <c r="K476" s="18">
        <f>IF($A476="","",_xll.BDP($A476&amp;" Corp","CPN"))</f>
        <v/>
      </c>
      <c r="L476" s="19">
        <f>IF($A476="","",_xll.BDP($A476&amp;" Corp","MATURITY"))</f>
        <v/>
      </c>
      <c r="M476" s="20">
        <f>IF($A476="","",IFERROR(_xll.BDP($A476&amp;" Corp","MIN_PIECE")/1000,""))</f>
        <v/>
      </c>
      <c r="N476" s="21">
        <f>IF($A476="","",_xll.BDP($A476&amp;" Corp","PX_LAST"))</f>
        <v/>
      </c>
      <c r="O476" s="21">
        <f>IF($A476="","",_xll.BDP($A476&amp;" Corp","YAS_BOND_YLD","YAS_YLD_FLAG=15"))</f>
        <v/>
      </c>
      <c r="P476" s="21">
        <f>IF($A476="","",_xll.BDP($A476&amp;" Corp","YAS_MOD_DUR"))</f>
        <v/>
      </c>
      <c r="Q476" s="22">
        <f>IF($A476="","",_xll.BDP($A476&amp;" Corp","YAS_OAS_SPRD"))</f>
        <v/>
      </c>
      <c r="R476" s="22">
        <f>IF($A476="","",_xll.BDP($A476&amp;" Corp","YAS_OAS_SPRD","SETTLE_DT",$B$2))</f>
        <v/>
      </c>
      <c r="S476" s="23">
        <f>IF($A476="","",IF(OR(NOT(ISNUMBER($Q476)),NOT(ISNUMBER($R476))),"",$Q476-$R476))</f>
        <v/>
      </c>
      <c r="T476" s="21">
        <f>IF($A476="","",_xll.BDP($A476&amp;" Corp","YAS_BOND_YLD","YAS_YLD_FLAG=15","SETTLE_DT",$B$2))</f>
        <v/>
      </c>
      <c r="U476" s="24">
        <f>IF($A476="","",IF(OR(NOT(ISNUMBER($O476)),NOT(ISNUMBER($T476))),"",$O476-$T476))</f>
        <v/>
      </c>
      <c r="V476" s="22">
        <f>IF(NOT(ISNUMBER($S476)),"",COUNTIFS($G$7:$G$850,$G476,$S$7:$S$850,"&gt;"&amp;$S476)+COUNTIFS($G$7:$G476,$G476,$S$7:$S476,$S476))</f>
        <v/>
      </c>
      <c r="W476" s="22">
        <f>IF(NOT(ISNUMBER($S476)),"",COUNTIFS($G$7:$G$850,$G476,$S$7:$S$850,"&lt;"&amp;$S476)+COUNTIFS($G$7:$G476,$G476,$S$7:$S476,$S476))</f>
        <v/>
      </c>
      <c r="X476" s="17">
        <f>IF($V476="","",$G476&amp;"|"&amp;$V476)</f>
        <v/>
      </c>
      <c r="Y476" s="17">
        <f>IF($W476="","",$G476&amp;"|"&amp;$W476)</f>
        <v/>
      </c>
    </row>
    <row r="477">
      <c r="A477" s="7" t="inlineStr">
        <is>
          <t>PTBSSLOM0002</t>
        </is>
      </c>
      <c r="B477" s="8">
        <f>IF($A477="","",PROPER(_xll.BDP($A477&amp;" Corp","NAME")))</f>
        <v/>
      </c>
      <c r="C477" s="8">
        <f>IF($A477="","",IFERROR(INDEX(Company_desc!$B$2:$B$1144,MATCH($A477,Company_desc!$A$2:$A$1144,0)),IFERROR(INDEX(SYZ_static!$Q$2:$Q$806,MATCH($A477,SYZ_static!$A$2:$A$806,0)),"")))</f>
        <v/>
      </c>
      <c r="D477" s="8">
        <f>IF($A477="","",IFERROR(INDEX(SYZ_static!$B$2:$B$806,MATCH($A477,SYZ_static!$A$2:$A$806,0)),""))</f>
        <v/>
      </c>
      <c r="E477" s="8">
        <f>IF($A477="","",_xll.BDP($A477&amp;" Corp","INDUSTRY_SECTOR"))</f>
        <v/>
      </c>
      <c r="F477" s="8">
        <f>IF($A477="","",PROPER(_xll.BDP($A477&amp;" Corp","COUNTRY_FULL_NAME")))</f>
        <v/>
      </c>
      <c r="G477" s="8">
        <f>IF($A477="","",_xll.BDP($A477&amp;" Corp","CRNCY"))</f>
        <v/>
      </c>
      <c r="H477" s="8">
        <f>IF($A477="","",IFERROR(INDEX(SYZ_static!$T$2:$T$806,MATCH($A477,SYZ_static!$A$2:$A$806,0)),_xll.BDP($A477&amp;" Corp","RTG_SP")))</f>
        <v/>
      </c>
      <c r="I477" s="8">
        <f>IF($A477="","",IFERROR(INDEX(SYZ_static!$S$2:$S$806,MATCH($A477,SYZ_static!$A$2:$A$806,0)),""))</f>
        <v/>
      </c>
      <c r="J477" s="8">
        <f>IF($A477="","",_xll.BDP($A477&amp;" Corp","PAYMENT_RANK"))</f>
        <v/>
      </c>
      <c r="K477" s="9">
        <f>IF($A477="","",_xll.BDP($A477&amp;" Corp","CPN"))</f>
        <v/>
      </c>
      <c r="L477" s="10">
        <f>IF($A477="","",_xll.BDP($A477&amp;" Corp","MATURITY"))</f>
        <v/>
      </c>
      <c r="M477" s="11">
        <f>IF($A477="","",IFERROR(_xll.BDP($A477&amp;" Corp","MIN_PIECE")/1000,""))</f>
        <v/>
      </c>
      <c r="N477" s="12">
        <f>IF($A477="","",_xll.BDP($A477&amp;" Corp","PX_LAST"))</f>
        <v/>
      </c>
      <c r="O477" s="12">
        <f>IF($A477="","",_xll.BDP($A477&amp;" Corp","YAS_BOND_YLD","YAS_YLD_FLAG=15"))</f>
        <v/>
      </c>
      <c r="P477" s="12">
        <f>IF($A477="","",_xll.BDP($A477&amp;" Corp","YAS_MOD_DUR"))</f>
        <v/>
      </c>
      <c r="Q477" s="13">
        <f>IF($A477="","",_xll.BDP($A477&amp;" Corp","YAS_OAS_SPRD"))</f>
        <v/>
      </c>
      <c r="R477" s="13">
        <f>IF($A477="","",_xll.BDP($A477&amp;" Corp","YAS_OAS_SPRD","SETTLE_DT",$B$2))</f>
        <v/>
      </c>
      <c r="S477" s="14">
        <f>IF($A477="","",IF(OR(NOT(ISNUMBER($Q477)),NOT(ISNUMBER($R477))),"",$Q477-$R477))</f>
        <v/>
      </c>
      <c r="T477" s="12">
        <f>IF($A477="","",_xll.BDP($A477&amp;" Corp","YAS_BOND_YLD","YAS_YLD_FLAG=15","SETTLE_DT",$B$2))</f>
        <v/>
      </c>
      <c r="U477" s="15">
        <f>IF($A477="","",IF(OR(NOT(ISNUMBER($O477)),NOT(ISNUMBER($T477))),"",$O477-$T477))</f>
        <v/>
      </c>
      <c r="V477" s="13">
        <f>IF(NOT(ISNUMBER($S477)),"",COUNTIFS($G$7:$G$850,$G477,$S$7:$S$850,"&gt;"&amp;$S477)+COUNTIFS($G$7:$G477,$G477,$S$7:$S477,$S477))</f>
        <v/>
      </c>
      <c r="W477" s="13">
        <f>IF(NOT(ISNUMBER($S477)),"",COUNTIFS($G$7:$G$850,$G477,$S$7:$S$850,"&lt;"&amp;$S477)+COUNTIFS($G$7:$G477,$G477,$S$7:$S477,$S477))</f>
        <v/>
      </c>
      <c r="X477" s="8">
        <f>IF($V477="","",$G477&amp;"|"&amp;$V477)</f>
        <v/>
      </c>
      <c r="Y477" s="8">
        <f>IF($W477="","",$G477&amp;"|"&amp;$W477)</f>
        <v/>
      </c>
    </row>
    <row r="478">
      <c r="A478" s="16" t="inlineStr">
        <is>
          <t>CH1227937716</t>
        </is>
      </c>
      <c r="B478" s="17">
        <f>IF($A478="","",PROPER(_xll.BDP($A478&amp;" Corp","NAME")))</f>
        <v/>
      </c>
      <c r="C478" s="17">
        <f>IF($A478="","",IFERROR(INDEX(Company_desc!$B$2:$B$1144,MATCH($A478,Company_desc!$A$2:$A$1144,0)),IFERROR(INDEX(SYZ_static!$Q$2:$Q$806,MATCH($A478,SYZ_static!$A$2:$A$806,0)),"")))</f>
        <v/>
      </c>
      <c r="D478" s="17">
        <f>IF($A478="","",IFERROR(INDEX(SYZ_static!$B$2:$B$806,MATCH($A478,SYZ_static!$A$2:$A$806,0)),""))</f>
        <v/>
      </c>
      <c r="E478" s="17">
        <f>IF($A478="","",_xll.BDP($A478&amp;" Corp","INDUSTRY_SECTOR"))</f>
        <v/>
      </c>
      <c r="F478" s="17">
        <f>IF($A478="","",PROPER(_xll.BDP($A478&amp;" Corp","COUNTRY_FULL_NAME")))</f>
        <v/>
      </c>
      <c r="G478" s="17">
        <f>IF($A478="","",_xll.BDP($A478&amp;" Corp","CRNCY"))</f>
        <v/>
      </c>
      <c r="H478" s="17">
        <f>IF($A478="","",IFERROR(INDEX(SYZ_static!$T$2:$T$806,MATCH($A478,SYZ_static!$A$2:$A$806,0)),_xll.BDP($A478&amp;" Corp","RTG_SP")))</f>
        <v/>
      </c>
      <c r="I478" s="17">
        <f>IF($A478="","",IFERROR(INDEX(SYZ_static!$S$2:$S$806,MATCH($A478,SYZ_static!$A$2:$A$806,0)),""))</f>
        <v/>
      </c>
      <c r="J478" s="17">
        <f>IF($A478="","",_xll.BDP($A478&amp;" Corp","PAYMENT_RANK"))</f>
        <v/>
      </c>
      <c r="K478" s="18">
        <f>IF($A478="","",_xll.BDP($A478&amp;" Corp","CPN"))</f>
        <v/>
      </c>
      <c r="L478" s="19">
        <f>IF($A478="","",_xll.BDP($A478&amp;" Corp","MATURITY"))</f>
        <v/>
      </c>
      <c r="M478" s="20">
        <f>IF($A478="","",IFERROR(_xll.BDP($A478&amp;" Corp","MIN_PIECE")/1000,""))</f>
        <v/>
      </c>
      <c r="N478" s="21">
        <f>IF($A478="","",_xll.BDP($A478&amp;" Corp","PX_LAST"))</f>
        <v/>
      </c>
      <c r="O478" s="21">
        <f>IF($A478="","",_xll.BDP($A478&amp;" Corp","YAS_BOND_YLD","YAS_YLD_FLAG=15"))</f>
        <v/>
      </c>
      <c r="P478" s="21">
        <f>IF($A478="","",_xll.BDP($A478&amp;" Corp","YAS_MOD_DUR"))</f>
        <v/>
      </c>
      <c r="Q478" s="22">
        <f>IF($A478="","",_xll.BDP($A478&amp;" Corp","YAS_OAS_SPRD"))</f>
        <v/>
      </c>
      <c r="R478" s="22">
        <f>IF($A478="","",_xll.BDP($A478&amp;" Corp","YAS_OAS_SPRD","SETTLE_DT",$B$2))</f>
        <v/>
      </c>
      <c r="S478" s="23">
        <f>IF($A478="","",IF(OR(NOT(ISNUMBER($Q478)),NOT(ISNUMBER($R478))),"",$Q478-$R478))</f>
        <v/>
      </c>
      <c r="T478" s="21">
        <f>IF($A478="","",_xll.BDP($A478&amp;" Corp","YAS_BOND_YLD","YAS_YLD_FLAG=15","SETTLE_DT",$B$2))</f>
        <v/>
      </c>
      <c r="U478" s="24">
        <f>IF($A478="","",IF(OR(NOT(ISNUMBER($O478)),NOT(ISNUMBER($T478))),"",$O478-$T478))</f>
        <v/>
      </c>
      <c r="V478" s="22">
        <f>IF(NOT(ISNUMBER($S478)),"",COUNTIFS($G$7:$G$850,$G478,$S$7:$S$850,"&gt;"&amp;$S478)+COUNTIFS($G$7:$G478,$G478,$S$7:$S478,$S478))</f>
        <v/>
      </c>
      <c r="W478" s="22">
        <f>IF(NOT(ISNUMBER($S478)),"",COUNTIFS($G$7:$G$850,$G478,$S$7:$S$850,"&lt;"&amp;$S478)+COUNTIFS($G$7:$G478,$G478,$S$7:$S478,$S478))</f>
        <v/>
      </c>
      <c r="X478" s="17">
        <f>IF($V478="","",$G478&amp;"|"&amp;$V478)</f>
        <v/>
      </c>
      <c r="Y478" s="17">
        <f>IF($W478="","",$G478&amp;"|"&amp;$W478)</f>
        <v/>
      </c>
    </row>
    <row r="479">
      <c r="A479" s="7" t="inlineStr">
        <is>
          <t>XS2353182293</t>
        </is>
      </c>
      <c r="B479" s="8">
        <f>IF($A479="","",PROPER(_xll.BDP($A479&amp;" Corp","NAME")))</f>
        <v/>
      </c>
      <c r="C479" s="8">
        <f>IF($A479="","",IFERROR(INDEX(Company_desc!$B$2:$B$1144,MATCH($A479,Company_desc!$A$2:$A$1144,0)),IFERROR(INDEX(SYZ_static!$Q$2:$Q$806,MATCH($A479,SYZ_static!$A$2:$A$806,0)),"")))</f>
        <v/>
      </c>
      <c r="D479" s="8">
        <f>IF($A479="","",IFERROR(INDEX(SYZ_static!$B$2:$B$806,MATCH($A479,SYZ_static!$A$2:$A$806,0)),""))</f>
        <v/>
      </c>
      <c r="E479" s="8">
        <f>IF($A479="","",_xll.BDP($A479&amp;" Corp","INDUSTRY_SECTOR"))</f>
        <v/>
      </c>
      <c r="F479" s="8">
        <f>IF($A479="","",PROPER(_xll.BDP($A479&amp;" Corp","COUNTRY_FULL_NAME")))</f>
        <v/>
      </c>
      <c r="G479" s="8">
        <f>IF($A479="","",_xll.BDP($A479&amp;" Corp","CRNCY"))</f>
        <v/>
      </c>
      <c r="H479" s="8">
        <f>IF($A479="","",IFERROR(INDEX(SYZ_static!$T$2:$T$806,MATCH($A479,SYZ_static!$A$2:$A$806,0)),_xll.BDP($A479&amp;" Corp","RTG_SP")))</f>
        <v/>
      </c>
      <c r="I479" s="8">
        <f>IF($A479="","",IFERROR(INDEX(SYZ_static!$S$2:$S$806,MATCH($A479,SYZ_static!$A$2:$A$806,0)),""))</f>
        <v/>
      </c>
      <c r="J479" s="8">
        <f>IF($A479="","",_xll.BDP($A479&amp;" Corp","PAYMENT_RANK"))</f>
        <v/>
      </c>
      <c r="K479" s="9">
        <f>IF($A479="","",_xll.BDP($A479&amp;" Corp","CPN"))</f>
        <v/>
      </c>
      <c r="L479" s="10">
        <f>IF($A479="","",_xll.BDP($A479&amp;" Corp","MATURITY"))</f>
        <v/>
      </c>
      <c r="M479" s="11">
        <f>IF($A479="","",IFERROR(_xll.BDP($A479&amp;" Corp","MIN_PIECE")/1000,""))</f>
        <v/>
      </c>
      <c r="N479" s="12">
        <f>IF($A479="","",_xll.BDP($A479&amp;" Corp","PX_LAST"))</f>
        <v/>
      </c>
      <c r="O479" s="12">
        <f>IF($A479="","",_xll.BDP($A479&amp;" Corp","YAS_BOND_YLD","YAS_YLD_FLAG=15"))</f>
        <v/>
      </c>
      <c r="P479" s="12">
        <f>IF($A479="","",_xll.BDP($A479&amp;" Corp","YAS_MOD_DUR"))</f>
        <v/>
      </c>
      <c r="Q479" s="13">
        <f>IF($A479="","",_xll.BDP($A479&amp;" Corp","YAS_OAS_SPRD"))</f>
        <v/>
      </c>
      <c r="R479" s="13">
        <f>IF($A479="","",_xll.BDP($A479&amp;" Corp","YAS_OAS_SPRD","SETTLE_DT",$B$2))</f>
        <v/>
      </c>
      <c r="S479" s="14">
        <f>IF($A479="","",IF(OR(NOT(ISNUMBER($Q479)),NOT(ISNUMBER($R479))),"",$Q479-$R479))</f>
        <v/>
      </c>
      <c r="T479" s="12">
        <f>IF($A479="","",_xll.BDP($A479&amp;" Corp","YAS_BOND_YLD","YAS_YLD_FLAG=15","SETTLE_DT",$B$2))</f>
        <v/>
      </c>
      <c r="U479" s="15">
        <f>IF($A479="","",IF(OR(NOT(ISNUMBER($O479)),NOT(ISNUMBER($T479))),"",$O479-$T479))</f>
        <v/>
      </c>
      <c r="V479" s="13">
        <f>IF(NOT(ISNUMBER($S479)),"",COUNTIFS($G$7:$G$850,$G479,$S$7:$S$850,"&gt;"&amp;$S479)+COUNTIFS($G$7:$G479,$G479,$S$7:$S479,$S479))</f>
        <v/>
      </c>
      <c r="W479" s="13">
        <f>IF(NOT(ISNUMBER($S479)),"",COUNTIFS($G$7:$G$850,$G479,$S$7:$S$850,"&lt;"&amp;$S479)+COUNTIFS($G$7:$G479,$G479,$S$7:$S479,$S479))</f>
        <v/>
      </c>
      <c r="X479" s="8">
        <f>IF($V479="","",$G479&amp;"|"&amp;$V479)</f>
        <v/>
      </c>
      <c r="Y479" s="8">
        <f>IF($W479="","",$G479&amp;"|"&amp;$W479)</f>
        <v/>
      </c>
    </row>
    <row r="480">
      <c r="A480" s="16" t="inlineStr">
        <is>
          <t>XS2997425637</t>
        </is>
      </c>
      <c r="B480" s="17">
        <f>IF($A480="","",PROPER(_xll.BDP($A480&amp;" Corp","NAME")))</f>
        <v/>
      </c>
      <c r="C480" s="17">
        <f>IF($A480="","",IFERROR(INDEX(Company_desc!$B$2:$B$1144,MATCH($A480,Company_desc!$A$2:$A$1144,0)),IFERROR(INDEX(SYZ_static!$Q$2:$Q$806,MATCH($A480,SYZ_static!$A$2:$A$806,0)),"")))</f>
        <v/>
      </c>
      <c r="D480" s="17">
        <f>IF($A480="","",IFERROR(INDEX(SYZ_static!$B$2:$B$806,MATCH($A480,SYZ_static!$A$2:$A$806,0)),""))</f>
        <v/>
      </c>
      <c r="E480" s="17">
        <f>IF($A480="","",_xll.BDP($A480&amp;" Corp","INDUSTRY_SECTOR"))</f>
        <v/>
      </c>
      <c r="F480" s="17">
        <f>IF($A480="","",PROPER(_xll.BDP($A480&amp;" Corp","COUNTRY_FULL_NAME")))</f>
        <v/>
      </c>
      <c r="G480" s="17">
        <f>IF($A480="","",_xll.BDP($A480&amp;" Corp","CRNCY"))</f>
        <v/>
      </c>
      <c r="H480" s="17">
        <f>IF($A480="","",IFERROR(INDEX(SYZ_static!$T$2:$T$806,MATCH($A480,SYZ_static!$A$2:$A$806,0)),_xll.BDP($A480&amp;" Corp","RTG_SP")))</f>
        <v/>
      </c>
      <c r="I480" s="17">
        <f>IF($A480="","",IFERROR(INDEX(SYZ_static!$S$2:$S$806,MATCH($A480,SYZ_static!$A$2:$A$806,0)),""))</f>
        <v/>
      </c>
      <c r="J480" s="17">
        <f>IF($A480="","",_xll.BDP($A480&amp;" Corp","PAYMENT_RANK"))</f>
        <v/>
      </c>
      <c r="K480" s="18">
        <f>IF($A480="","",_xll.BDP($A480&amp;" Corp","CPN"))</f>
        <v/>
      </c>
      <c r="L480" s="19">
        <f>IF($A480="","",_xll.BDP($A480&amp;" Corp","MATURITY"))</f>
        <v/>
      </c>
      <c r="M480" s="20">
        <f>IF($A480="","",IFERROR(_xll.BDP($A480&amp;" Corp","MIN_PIECE")/1000,""))</f>
        <v/>
      </c>
      <c r="N480" s="21">
        <f>IF($A480="","",_xll.BDP($A480&amp;" Corp","PX_LAST"))</f>
        <v/>
      </c>
      <c r="O480" s="21">
        <f>IF($A480="","",_xll.BDP($A480&amp;" Corp","YAS_BOND_YLD","YAS_YLD_FLAG=15"))</f>
        <v/>
      </c>
      <c r="P480" s="21">
        <f>IF($A480="","",_xll.BDP($A480&amp;" Corp","YAS_MOD_DUR"))</f>
        <v/>
      </c>
      <c r="Q480" s="22">
        <f>IF($A480="","",_xll.BDP($A480&amp;" Corp","YAS_OAS_SPRD"))</f>
        <v/>
      </c>
      <c r="R480" s="22">
        <f>IF($A480="","",_xll.BDP($A480&amp;" Corp","YAS_OAS_SPRD","SETTLE_DT",$B$2))</f>
        <v/>
      </c>
      <c r="S480" s="23">
        <f>IF($A480="","",IF(OR(NOT(ISNUMBER($Q480)),NOT(ISNUMBER($R480))),"",$Q480-$R480))</f>
        <v/>
      </c>
      <c r="T480" s="21">
        <f>IF($A480="","",_xll.BDP($A480&amp;" Corp","YAS_BOND_YLD","YAS_YLD_FLAG=15","SETTLE_DT",$B$2))</f>
        <v/>
      </c>
      <c r="U480" s="24">
        <f>IF($A480="","",IF(OR(NOT(ISNUMBER($O480)),NOT(ISNUMBER($T480))),"",$O480-$T480))</f>
        <v/>
      </c>
      <c r="V480" s="22">
        <f>IF(NOT(ISNUMBER($S480)),"",COUNTIFS($G$7:$G$850,$G480,$S$7:$S$850,"&gt;"&amp;$S480)+COUNTIFS($G$7:$G480,$G480,$S$7:$S480,$S480))</f>
        <v/>
      </c>
      <c r="W480" s="22">
        <f>IF(NOT(ISNUMBER($S480)),"",COUNTIFS($G$7:$G$850,$G480,$S$7:$S$850,"&lt;"&amp;$S480)+COUNTIFS($G$7:$G480,$G480,$S$7:$S480,$S480))</f>
        <v/>
      </c>
      <c r="X480" s="17">
        <f>IF($V480="","",$G480&amp;"|"&amp;$V480)</f>
        <v/>
      </c>
      <c r="Y480" s="17">
        <f>IF($W480="","",$G480&amp;"|"&amp;$W480)</f>
        <v/>
      </c>
    </row>
    <row r="481">
      <c r="A481" s="7" t="inlineStr">
        <is>
          <t>US571903BR30</t>
        </is>
      </c>
      <c r="B481" s="8">
        <f>IF($A481="","",PROPER(_xll.BDP($A481&amp;" Corp","NAME")))</f>
        <v/>
      </c>
      <c r="C481" s="8">
        <f>IF($A481="","",IFERROR(INDEX(Company_desc!$B$2:$B$1144,MATCH($A481,Company_desc!$A$2:$A$1144,0)),IFERROR(INDEX(SYZ_static!$Q$2:$Q$806,MATCH($A481,SYZ_static!$A$2:$A$806,0)),"")))</f>
        <v/>
      </c>
      <c r="D481" s="8">
        <f>IF($A481="","",IFERROR(INDEX(SYZ_static!$B$2:$B$806,MATCH($A481,SYZ_static!$A$2:$A$806,0)),""))</f>
        <v/>
      </c>
      <c r="E481" s="8">
        <f>IF($A481="","",_xll.BDP($A481&amp;" Corp","INDUSTRY_SECTOR"))</f>
        <v/>
      </c>
      <c r="F481" s="8">
        <f>IF($A481="","",PROPER(_xll.BDP($A481&amp;" Corp","COUNTRY_FULL_NAME")))</f>
        <v/>
      </c>
      <c r="G481" s="8">
        <f>IF($A481="","",_xll.BDP($A481&amp;" Corp","CRNCY"))</f>
        <v/>
      </c>
      <c r="H481" s="8">
        <f>IF($A481="","",IFERROR(INDEX(SYZ_static!$T$2:$T$806,MATCH($A481,SYZ_static!$A$2:$A$806,0)),_xll.BDP($A481&amp;" Corp","RTG_SP")))</f>
        <v/>
      </c>
      <c r="I481" s="8">
        <f>IF($A481="","",IFERROR(INDEX(SYZ_static!$S$2:$S$806,MATCH($A481,SYZ_static!$A$2:$A$806,0)),""))</f>
        <v/>
      </c>
      <c r="J481" s="8">
        <f>IF($A481="","",_xll.BDP($A481&amp;" Corp","PAYMENT_RANK"))</f>
        <v/>
      </c>
      <c r="K481" s="9">
        <f>IF($A481="","",_xll.BDP($A481&amp;" Corp","CPN"))</f>
        <v/>
      </c>
      <c r="L481" s="10">
        <f>IF($A481="","",_xll.BDP($A481&amp;" Corp","MATURITY"))</f>
        <v/>
      </c>
      <c r="M481" s="11">
        <f>IF($A481="","",IFERROR(_xll.BDP($A481&amp;" Corp","MIN_PIECE")/1000,""))</f>
        <v/>
      </c>
      <c r="N481" s="12">
        <f>IF($A481="","",_xll.BDP($A481&amp;" Corp","PX_LAST"))</f>
        <v/>
      </c>
      <c r="O481" s="12">
        <f>IF($A481="","",_xll.BDP($A481&amp;" Corp","YAS_BOND_YLD","YAS_YLD_FLAG=15"))</f>
        <v/>
      </c>
      <c r="P481" s="12">
        <f>IF($A481="","",_xll.BDP($A481&amp;" Corp","YAS_MOD_DUR"))</f>
        <v/>
      </c>
      <c r="Q481" s="13">
        <f>IF($A481="","",_xll.BDP($A481&amp;" Corp","YAS_OAS_SPRD"))</f>
        <v/>
      </c>
      <c r="R481" s="13">
        <f>IF($A481="","",_xll.BDP($A481&amp;" Corp","YAS_OAS_SPRD","SETTLE_DT",$B$2))</f>
        <v/>
      </c>
      <c r="S481" s="14">
        <f>IF($A481="","",IF(OR(NOT(ISNUMBER($Q481)),NOT(ISNUMBER($R481))),"",$Q481-$R481))</f>
        <v/>
      </c>
      <c r="T481" s="12">
        <f>IF($A481="","",_xll.BDP($A481&amp;" Corp","YAS_BOND_YLD","YAS_YLD_FLAG=15","SETTLE_DT",$B$2))</f>
        <v/>
      </c>
      <c r="U481" s="15">
        <f>IF($A481="","",IF(OR(NOT(ISNUMBER($O481)),NOT(ISNUMBER($T481))),"",$O481-$T481))</f>
        <v/>
      </c>
      <c r="V481" s="13">
        <f>IF(NOT(ISNUMBER($S481)),"",COUNTIFS($G$7:$G$850,$G481,$S$7:$S$850,"&gt;"&amp;$S481)+COUNTIFS($G$7:$G481,$G481,$S$7:$S481,$S481))</f>
        <v/>
      </c>
      <c r="W481" s="13">
        <f>IF(NOT(ISNUMBER($S481)),"",COUNTIFS($G$7:$G$850,$G481,$S$7:$S$850,"&lt;"&amp;$S481)+COUNTIFS($G$7:$G481,$G481,$S$7:$S481,$S481))</f>
        <v/>
      </c>
      <c r="X481" s="8">
        <f>IF($V481="","",$G481&amp;"|"&amp;$V481)</f>
        <v/>
      </c>
      <c r="Y481" s="8">
        <f>IF($W481="","",$G481&amp;"|"&amp;$W481)</f>
        <v/>
      </c>
    </row>
    <row r="482">
      <c r="A482" s="16" t="inlineStr">
        <is>
          <t>US713448FT00</t>
        </is>
      </c>
      <c r="B482" s="17">
        <f>IF($A482="","",PROPER(_xll.BDP($A482&amp;" Corp","NAME")))</f>
        <v/>
      </c>
      <c r="C482" s="17">
        <f>IF($A482="","",IFERROR(INDEX(Company_desc!$B$2:$B$1144,MATCH($A482,Company_desc!$A$2:$A$1144,0)),IFERROR(INDEX(SYZ_static!$Q$2:$Q$806,MATCH($A482,SYZ_static!$A$2:$A$806,0)),"")))</f>
        <v/>
      </c>
      <c r="D482" s="17">
        <f>IF($A482="","",IFERROR(INDEX(SYZ_static!$B$2:$B$806,MATCH($A482,SYZ_static!$A$2:$A$806,0)),""))</f>
        <v/>
      </c>
      <c r="E482" s="17">
        <f>IF($A482="","",_xll.BDP($A482&amp;" Corp","INDUSTRY_SECTOR"))</f>
        <v/>
      </c>
      <c r="F482" s="17">
        <f>IF($A482="","",PROPER(_xll.BDP($A482&amp;" Corp","COUNTRY_FULL_NAME")))</f>
        <v/>
      </c>
      <c r="G482" s="17">
        <f>IF($A482="","",_xll.BDP($A482&amp;" Corp","CRNCY"))</f>
        <v/>
      </c>
      <c r="H482" s="17">
        <f>IF($A482="","",IFERROR(INDEX(SYZ_static!$T$2:$T$806,MATCH($A482,SYZ_static!$A$2:$A$806,0)),_xll.BDP($A482&amp;" Corp","RTG_SP")))</f>
        <v/>
      </c>
      <c r="I482" s="17">
        <f>IF($A482="","",IFERROR(INDEX(SYZ_static!$S$2:$S$806,MATCH($A482,SYZ_static!$A$2:$A$806,0)),""))</f>
        <v/>
      </c>
      <c r="J482" s="17">
        <f>IF($A482="","",_xll.BDP($A482&amp;" Corp","PAYMENT_RANK"))</f>
        <v/>
      </c>
      <c r="K482" s="18">
        <f>IF($A482="","",_xll.BDP($A482&amp;" Corp","CPN"))</f>
        <v/>
      </c>
      <c r="L482" s="19">
        <f>IF($A482="","",_xll.BDP($A482&amp;" Corp","MATURITY"))</f>
        <v/>
      </c>
      <c r="M482" s="20">
        <f>IF($A482="","",IFERROR(_xll.BDP($A482&amp;" Corp","MIN_PIECE")/1000,""))</f>
        <v/>
      </c>
      <c r="N482" s="21">
        <f>IF($A482="","",_xll.BDP($A482&amp;" Corp","PX_LAST"))</f>
        <v/>
      </c>
      <c r="O482" s="21">
        <f>IF($A482="","",_xll.BDP($A482&amp;" Corp","YAS_BOND_YLD","YAS_YLD_FLAG=15"))</f>
        <v/>
      </c>
      <c r="P482" s="21">
        <f>IF($A482="","",_xll.BDP($A482&amp;" Corp","YAS_MOD_DUR"))</f>
        <v/>
      </c>
      <c r="Q482" s="22">
        <f>IF($A482="","",_xll.BDP($A482&amp;" Corp","YAS_OAS_SPRD"))</f>
        <v/>
      </c>
      <c r="R482" s="22">
        <f>IF($A482="","",_xll.BDP($A482&amp;" Corp","YAS_OAS_SPRD","SETTLE_DT",$B$2))</f>
        <v/>
      </c>
      <c r="S482" s="23">
        <f>IF($A482="","",IF(OR(NOT(ISNUMBER($Q482)),NOT(ISNUMBER($R482))),"",$Q482-$R482))</f>
        <v/>
      </c>
      <c r="T482" s="21">
        <f>IF($A482="","",_xll.BDP($A482&amp;" Corp","YAS_BOND_YLD","YAS_YLD_FLAG=15","SETTLE_DT",$B$2))</f>
        <v/>
      </c>
      <c r="U482" s="24">
        <f>IF($A482="","",IF(OR(NOT(ISNUMBER($O482)),NOT(ISNUMBER($T482))),"",$O482-$T482))</f>
        <v/>
      </c>
      <c r="V482" s="22">
        <f>IF(NOT(ISNUMBER($S482)),"",COUNTIFS($G$7:$G$850,$G482,$S$7:$S$850,"&gt;"&amp;$S482)+COUNTIFS($G$7:$G482,$G482,$S$7:$S482,$S482))</f>
        <v/>
      </c>
      <c r="W482" s="22">
        <f>IF(NOT(ISNUMBER($S482)),"",COUNTIFS($G$7:$G$850,$G482,$S$7:$S$850,"&lt;"&amp;$S482)+COUNTIFS($G$7:$G482,$G482,$S$7:$S482,$S482))</f>
        <v/>
      </c>
      <c r="X482" s="17">
        <f>IF($V482="","",$G482&amp;"|"&amp;$V482)</f>
        <v/>
      </c>
      <c r="Y482" s="17">
        <f>IF($W482="","",$G482&amp;"|"&amp;$W482)</f>
        <v/>
      </c>
    </row>
    <row r="483">
      <c r="A483" s="7" t="inlineStr">
        <is>
          <t>XS2594990892</t>
        </is>
      </c>
      <c r="B483" s="8">
        <f>IF($A483="","",PROPER(_xll.BDP($A483&amp;" Corp","NAME")))</f>
        <v/>
      </c>
      <c r="C483" s="8">
        <f>IF($A483="","",IFERROR(INDEX(Company_desc!$B$2:$B$1144,MATCH($A483,Company_desc!$A$2:$A$1144,0)),IFERROR(INDEX(SYZ_static!$Q$2:$Q$806,MATCH($A483,SYZ_static!$A$2:$A$806,0)),"")))</f>
        <v/>
      </c>
      <c r="D483" s="8">
        <f>IF($A483="","",IFERROR(INDEX(SYZ_static!$B$2:$B$806,MATCH($A483,SYZ_static!$A$2:$A$806,0)),""))</f>
        <v/>
      </c>
      <c r="E483" s="8">
        <f>IF($A483="","",_xll.BDP($A483&amp;" Corp","INDUSTRY_SECTOR"))</f>
        <v/>
      </c>
      <c r="F483" s="8">
        <f>IF($A483="","",PROPER(_xll.BDP($A483&amp;" Corp","COUNTRY_FULL_NAME")))</f>
        <v/>
      </c>
      <c r="G483" s="8">
        <f>IF($A483="","",_xll.BDP($A483&amp;" Corp","CRNCY"))</f>
        <v/>
      </c>
      <c r="H483" s="8">
        <f>IF($A483="","",IFERROR(INDEX(SYZ_static!$T$2:$T$806,MATCH($A483,SYZ_static!$A$2:$A$806,0)),_xll.BDP($A483&amp;" Corp","RTG_SP")))</f>
        <v/>
      </c>
      <c r="I483" s="8">
        <f>IF($A483="","",IFERROR(INDEX(SYZ_static!$S$2:$S$806,MATCH($A483,SYZ_static!$A$2:$A$806,0)),""))</f>
        <v/>
      </c>
      <c r="J483" s="8">
        <f>IF($A483="","",_xll.BDP($A483&amp;" Corp","PAYMENT_RANK"))</f>
        <v/>
      </c>
      <c r="K483" s="9">
        <f>IF($A483="","",_xll.BDP($A483&amp;" Corp","CPN"))</f>
        <v/>
      </c>
      <c r="L483" s="10">
        <f>IF($A483="","",_xll.BDP($A483&amp;" Corp","MATURITY"))</f>
        <v/>
      </c>
      <c r="M483" s="11">
        <f>IF($A483="","",IFERROR(_xll.BDP($A483&amp;" Corp","MIN_PIECE")/1000,""))</f>
        <v/>
      </c>
      <c r="N483" s="12">
        <f>IF($A483="","",_xll.BDP($A483&amp;" Corp","PX_LAST"))</f>
        <v/>
      </c>
      <c r="O483" s="12">
        <f>IF($A483="","",_xll.BDP($A483&amp;" Corp","YAS_BOND_YLD","YAS_YLD_FLAG=15"))</f>
        <v/>
      </c>
      <c r="P483" s="12">
        <f>IF($A483="","",_xll.BDP($A483&amp;" Corp","YAS_MOD_DUR"))</f>
        <v/>
      </c>
      <c r="Q483" s="13">
        <f>IF($A483="","",_xll.BDP($A483&amp;" Corp","YAS_OAS_SPRD"))</f>
        <v/>
      </c>
      <c r="R483" s="13">
        <f>IF($A483="","",_xll.BDP($A483&amp;" Corp","YAS_OAS_SPRD","SETTLE_DT",$B$2))</f>
        <v/>
      </c>
      <c r="S483" s="14">
        <f>IF($A483="","",IF(OR(NOT(ISNUMBER($Q483)),NOT(ISNUMBER($R483))),"",$Q483-$R483))</f>
        <v/>
      </c>
      <c r="T483" s="12">
        <f>IF($A483="","",_xll.BDP($A483&amp;" Corp","YAS_BOND_YLD","YAS_YLD_FLAG=15","SETTLE_DT",$B$2))</f>
        <v/>
      </c>
      <c r="U483" s="15">
        <f>IF($A483="","",IF(OR(NOT(ISNUMBER($O483)),NOT(ISNUMBER($T483))),"",$O483-$T483))</f>
        <v/>
      </c>
      <c r="V483" s="13">
        <f>IF(NOT(ISNUMBER($S483)),"",COUNTIFS($G$7:$G$850,$G483,$S$7:$S$850,"&gt;"&amp;$S483)+COUNTIFS($G$7:$G483,$G483,$S$7:$S483,$S483))</f>
        <v/>
      </c>
      <c r="W483" s="13">
        <f>IF(NOT(ISNUMBER($S483)),"",COUNTIFS($G$7:$G$850,$G483,$S$7:$S$850,"&lt;"&amp;$S483)+COUNTIFS($G$7:$G483,$G483,$S$7:$S483,$S483))</f>
        <v/>
      </c>
      <c r="X483" s="8">
        <f>IF($V483="","",$G483&amp;"|"&amp;$V483)</f>
        <v/>
      </c>
      <c r="Y483" s="8">
        <f>IF($W483="","",$G483&amp;"|"&amp;$W483)</f>
        <v/>
      </c>
    </row>
    <row r="484">
      <c r="A484" s="16" t="inlineStr">
        <is>
          <t>XS2826616596</t>
        </is>
      </c>
      <c r="B484" s="17">
        <f>IF($A484="","",PROPER(_xll.BDP($A484&amp;" Corp","NAME")))</f>
        <v/>
      </c>
      <c r="C484" s="17">
        <f>IF($A484="","",IFERROR(INDEX(Company_desc!$B$2:$B$1144,MATCH($A484,Company_desc!$A$2:$A$1144,0)),IFERROR(INDEX(SYZ_static!$Q$2:$Q$806,MATCH($A484,SYZ_static!$A$2:$A$806,0)),"")))</f>
        <v/>
      </c>
      <c r="D484" s="17">
        <f>IF($A484="","",IFERROR(INDEX(SYZ_static!$B$2:$B$806,MATCH($A484,SYZ_static!$A$2:$A$806,0)),""))</f>
        <v/>
      </c>
      <c r="E484" s="17">
        <f>IF($A484="","",_xll.BDP($A484&amp;" Corp","INDUSTRY_SECTOR"))</f>
        <v/>
      </c>
      <c r="F484" s="17">
        <f>IF($A484="","",PROPER(_xll.BDP($A484&amp;" Corp","COUNTRY_FULL_NAME")))</f>
        <v/>
      </c>
      <c r="G484" s="17">
        <f>IF($A484="","",_xll.BDP($A484&amp;" Corp","CRNCY"))</f>
        <v/>
      </c>
      <c r="H484" s="17">
        <f>IF($A484="","",IFERROR(INDEX(SYZ_static!$T$2:$T$806,MATCH($A484,SYZ_static!$A$2:$A$806,0)),_xll.BDP($A484&amp;" Corp","RTG_SP")))</f>
        <v/>
      </c>
      <c r="I484" s="17">
        <f>IF($A484="","",IFERROR(INDEX(SYZ_static!$S$2:$S$806,MATCH($A484,SYZ_static!$A$2:$A$806,0)),""))</f>
        <v/>
      </c>
      <c r="J484" s="17">
        <f>IF($A484="","",_xll.BDP($A484&amp;" Corp","PAYMENT_RANK"))</f>
        <v/>
      </c>
      <c r="K484" s="18">
        <f>IF($A484="","",_xll.BDP($A484&amp;" Corp","CPN"))</f>
        <v/>
      </c>
      <c r="L484" s="19">
        <f>IF($A484="","",_xll.BDP($A484&amp;" Corp","MATURITY"))</f>
        <v/>
      </c>
      <c r="M484" s="20">
        <f>IF($A484="","",IFERROR(_xll.BDP($A484&amp;" Corp","MIN_PIECE")/1000,""))</f>
        <v/>
      </c>
      <c r="N484" s="21">
        <f>IF($A484="","",_xll.BDP($A484&amp;" Corp","PX_LAST"))</f>
        <v/>
      </c>
      <c r="O484" s="21">
        <f>IF($A484="","",_xll.BDP($A484&amp;" Corp","YAS_BOND_YLD","YAS_YLD_FLAG=15"))</f>
        <v/>
      </c>
      <c r="P484" s="21">
        <f>IF($A484="","",_xll.BDP($A484&amp;" Corp","YAS_MOD_DUR"))</f>
        <v/>
      </c>
      <c r="Q484" s="22">
        <f>IF($A484="","",_xll.BDP($A484&amp;" Corp","YAS_OAS_SPRD"))</f>
        <v/>
      </c>
      <c r="R484" s="22">
        <f>IF($A484="","",_xll.BDP($A484&amp;" Corp","YAS_OAS_SPRD","SETTLE_DT",$B$2))</f>
        <v/>
      </c>
      <c r="S484" s="23">
        <f>IF($A484="","",IF(OR(NOT(ISNUMBER($Q484)),NOT(ISNUMBER($R484))),"",$Q484-$R484))</f>
        <v/>
      </c>
      <c r="T484" s="21">
        <f>IF($A484="","",_xll.BDP($A484&amp;" Corp","YAS_BOND_YLD","YAS_YLD_FLAG=15","SETTLE_DT",$B$2))</f>
        <v/>
      </c>
      <c r="U484" s="24">
        <f>IF($A484="","",IF(OR(NOT(ISNUMBER($O484)),NOT(ISNUMBER($T484))),"",$O484-$T484))</f>
        <v/>
      </c>
      <c r="V484" s="22">
        <f>IF(NOT(ISNUMBER($S484)),"",COUNTIFS($G$7:$G$850,$G484,$S$7:$S$850,"&gt;"&amp;$S484)+COUNTIFS($G$7:$G484,$G484,$S$7:$S484,$S484))</f>
        <v/>
      </c>
      <c r="W484" s="22">
        <f>IF(NOT(ISNUMBER($S484)),"",COUNTIFS($G$7:$G$850,$G484,$S$7:$S$850,"&lt;"&amp;$S484)+COUNTIFS($G$7:$G484,$G484,$S$7:$S484,$S484))</f>
        <v/>
      </c>
      <c r="X484" s="17">
        <f>IF($V484="","",$G484&amp;"|"&amp;$V484)</f>
        <v/>
      </c>
      <c r="Y484" s="17">
        <f>IF($W484="","",$G484&amp;"|"&amp;$W484)</f>
        <v/>
      </c>
    </row>
    <row r="485">
      <c r="A485" s="7" t="inlineStr">
        <is>
          <t>XS2592301365</t>
        </is>
      </c>
      <c r="B485" s="8">
        <f>IF($A485="","",PROPER(_xll.BDP($A485&amp;" Corp","NAME")))</f>
        <v/>
      </c>
      <c r="C485" s="8">
        <f>IF($A485="","",IFERROR(INDEX(Company_desc!$B$2:$B$1144,MATCH($A485,Company_desc!$A$2:$A$1144,0)),IFERROR(INDEX(SYZ_static!$Q$2:$Q$806,MATCH($A485,SYZ_static!$A$2:$A$806,0)),"")))</f>
        <v/>
      </c>
      <c r="D485" s="8">
        <f>IF($A485="","",IFERROR(INDEX(SYZ_static!$B$2:$B$806,MATCH($A485,SYZ_static!$A$2:$A$806,0)),""))</f>
        <v/>
      </c>
      <c r="E485" s="8">
        <f>IF($A485="","",_xll.BDP($A485&amp;" Corp","INDUSTRY_SECTOR"))</f>
        <v/>
      </c>
      <c r="F485" s="8">
        <f>IF($A485="","",PROPER(_xll.BDP($A485&amp;" Corp","COUNTRY_FULL_NAME")))</f>
        <v/>
      </c>
      <c r="G485" s="8">
        <f>IF($A485="","",_xll.BDP($A485&amp;" Corp","CRNCY"))</f>
        <v/>
      </c>
      <c r="H485" s="8">
        <f>IF($A485="","",IFERROR(INDEX(SYZ_static!$T$2:$T$806,MATCH($A485,SYZ_static!$A$2:$A$806,0)),_xll.BDP($A485&amp;" Corp","RTG_SP")))</f>
        <v/>
      </c>
      <c r="I485" s="8">
        <f>IF($A485="","",IFERROR(INDEX(SYZ_static!$S$2:$S$806,MATCH($A485,SYZ_static!$A$2:$A$806,0)),""))</f>
        <v/>
      </c>
      <c r="J485" s="8">
        <f>IF($A485="","",_xll.BDP($A485&amp;" Corp","PAYMENT_RANK"))</f>
        <v/>
      </c>
      <c r="K485" s="9">
        <f>IF($A485="","",_xll.BDP($A485&amp;" Corp","CPN"))</f>
        <v/>
      </c>
      <c r="L485" s="10">
        <f>IF($A485="","",_xll.BDP($A485&amp;" Corp","MATURITY"))</f>
        <v/>
      </c>
      <c r="M485" s="11">
        <f>IF($A485="","",IFERROR(_xll.BDP($A485&amp;" Corp","MIN_PIECE")/1000,""))</f>
        <v/>
      </c>
      <c r="N485" s="12">
        <f>IF($A485="","",_xll.BDP($A485&amp;" Corp","PX_LAST"))</f>
        <v/>
      </c>
      <c r="O485" s="12">
        <f>IF($A485="","",_xll.BDP($A485&amp;" Corp","YAS_BOND_YLD","YAS_YLD_FLAG=15"))</f>
        <v/>
      </c>
      <c r="P485" s="12">
        <f>IF($A485="","",_xll.BDP($A485&amp;" Corp","YAS_MOD_DUR"))</f>
        <v/>
      </c>
      <c r="Q485" s="13">
        <f>IF($A485="","",_xll.BDP($A485&amp;" Corp","YAS_OAS_SPRD"))</f>
        <v/>
      </c>
      <c r="R485" s="13">
        <f>IF($A485="","",_xll.BDP($A485&amp;" Corp","YAS_OAS_SPRD","SETTLE_DT",$B$2))</f>
        <v/>
      </c>
      <c r="S485" s="14">
        <f>IF($A485="","",IF(OR(NOT(ISNUMBER($Q485)),NOT(ISNUMBER($R485))),"",$Q485-$R485))</f>
        <v/>
      </c>
      <c r="T485" s="12">
        <f>IF($A485="","",_xll.BDP($A485&amp;" Corp","YAS_BOND_YLD","YAS_YLD_FLAG=15","SETTLE_DT",$B$2))</f>
        <v/>
      </c>
      <c r="U485" s="15">
        <f>IF($A485="","",IF(OR(NOT(ISNUMBER($O485)),NOT(ISNUMBER($T485))),"",$O485-$T485))</f>
        <v/>
      </c>
      <c r="V485" s="13">
        <f>IF(NOT(ISNUMBER($S485)),"",COUNTIFS($G$7:$G$850,$G485,$S$7:$S$850,"&gt;"&amp;$S485)+COUNTIFS($G$7:$G485,$G485,$S$7:$S485,$S485))</f>
        <v/>
      </c>
      <c r="W485" s="13">
        <f>IF(NOT(ISNUMBER($S485)),"",COUNTIFS($G$7:$G$850,$G485,$S$7:$S$850,"&lt;"&amp;$S485)+COUNTIFS($G$7:$G485,$G485,$S$7:$S485,$S485))</f>
        <v/>
      </c>
      <c r="X485" s="8">
        <f>IF($V485="","",$G485&amp;"|"&amp;$V485)</f>
        <v/>
      </c>
      <c r="Y485" s="8">
        <f>IF($W485="","",$G485&amp;"|"&amp;$W485)</f>
        <v/>
      </c>
    </row>
    <row r="486">
      <c r="A486" s="16" t="inlineStr">
        <is>
          <t>CH1236363425</t>
        </is>
      </c>
      <c r="B486" s="17">
        <f>IF($A486="","",PROPER(_xll.BDP($A486&amp;" Corp","NAME")))</f>
        <v/>
      </c>
      <c r="C486" s="17">
        <f>IF($A486="","",IFERROR(INDEX(Company_desc!$B$2:$B$1144,MATCH($A486,Company_desc!$A$2:$A$1144,0)),IFERROR(INDEX(SYZ_static!$Q$2:$Q$806,MATCH($A486,SYZ_static!$A$2:$A$806,0)),"")))</f>
        <v/>
      </c>
      <c r="D486" s="17">
        <f>IF($A486="","",IFERROR(INDEX(SYZ_static!$B$2:$B$806,MATCH($A486,SYZ_static!$A$2:$A$806,0)),""))</f>
        <v/>
      </c>
      <c r="E486" s="17">
        <f>IF($A486="","",_xll.BDP($A486&amp;" Corp","INDUSTRY_SECTOR"))</f>
        <v/>
      </c>
      <c r="F486" s="17">
        <f>IF($A486="","",PROPER(_xll.BDP($A486&amp;" Corp","COUNTRY_FULL_NAME")))</f>
        <v/>
      </c>
      <c r="G486" s="17">
        <f>IF($A486="","",_xll.BDP($A486&amp;" Corp","CRNCY"))</f>
        <v/>
      </c>
      <c r="H486" s="17">
        <f>IF($A486="","",IFERROR(INDEX(SYZ_static!$T$2:$T$806,MATCH($A486,SYZ_static!$A$2:$A$806,0)),_xll.BDP($A486&amp;" Corp","RTG_SP")))</f>
        <v/>
      </c>
      <c r="I486" s="17">
        <f>IF($A486="","",IFERROR(INDEX(SYZ_static!$S$2:$S$806,MATCH($A486,SYZ_static!$A$2:$A$806,0)),""))</f>
        <v/>
      </c>
      <c r="J486" s="17">
        <f>IF($A486="","",_xll.BDP($A486&amp;" Corp","PAYMENT_RANK"))</f>
        <v/>
      </c>
      <c r="K486" s="18">
        <f>IF($A486="","",_xll.BDP($A486&amp;" Corp","CPN"))</f>
        <v/>
      </c>
      <c r="L486" s="19">
        <f>IF($A486="","",_xll.BDP($A486&amp;" Corp","MATURITY"))</f>
        <v/>
      </c>
      <c r="M486" s="20">
        <f>IF($A486="","",IFERROR(_xll.BDP($A486&amp;" Corp","MIN_PIECE")/1000,""))</f>
        <v/>
      </c>
      <c r="N486" s="21">
        <f>IF($A486="","",_xll.BDP($A486&amp;" Corp","PX_LAST"))</f>
        <v/>
      </c>
      <c r="O486" s="21">
        <f>IF($A486="","",_xll.BDP($A486&amp;" Corp","YAS_BOND_YLD","YAS_YLD_FLAG=15"))</f>
        <v/>
      </c>
      <c r="P486" s="21">
        <f>IF($A486="","",_xll.BDP($A486&amp;" Corp","YAS_MOD_DUR"))</f>
        <v/>
      </c>
      <c r="Q486" s="22">
        <f>IF($A486="","",_xll.BDP($A486&amp;" Corp","YAS_OAS_SPRD"))</f>
        <v/>
      </c>
      <c r="R486" s="22">
        <f>IF($A486="","",_xll.BDP($A486&amp;" Corp","YAS_OAS_SPRD","SETTLE_DT",$B$2))</f>
        <v/>
      </c>
      <c r="S486" s="23">
        <f>IF($A486="","",IF(OR(NOT(ISNUMBER($Q486)),NOT(ISNUMBER($R486))),"",$Q486-$R486))</f>
        <v/>
      </c>
      <c r="T486" s="21">
        <f>IF($A486="","",_xll.BDP($A486&amp;" Corp","YAS_BOND_YLD","YAS_YLD_FLAG=15","SETTLE_DT",$B$2))</f>
        <v/>
      </c>
      <c r="U486" s="24">
        <f>IF($A486="","",IF(OR(NOT(ISNUMBER($O486)),NOT(ISNUMBER($T486))),"",$O486-$T486))</f>
        <v/>
      </c>
      <c r="V486" s="22">
        <f>IF(NOT(ISNUMBER($S486)),"",COUNTIFS($G$7:$G$850,$G486,$S$7:$S$850,"&gt;"&amp;$S486)+COUNTIFS($G$7:$G486,$G486,$S$7:$S486,$S486))</f>
        <v/>
      </c>
      <c r="W486" s="22">
        <f>IF(NOT(ISNUMBER($S486)),"",COUNTIFS($G$7:$G$850,$G486,$S$7:$S$850,"&lt;"&amp;$S486)+COUNTIFS($G$7:$G486,$G486,$S$7:$S486,$S486))</f>
        <v/>
      </c>
      <c r="X486" s="17">
        <f>IF($V486="","",$G486&amp;"|"&amp;$V486)</f>
        <v/>
      </c>
      <c r="Y486" s="17">
        <f>IF($W486="","",$G486&amp;"|"&amp;$W486)</f>
        <v/>
      </c>
    </row>
    <row r="487">
      <c r="A487" s="7" t="inlineStr">
        <is>
          <t>XS2600248335</t>
        </is>
      </c>
      <c r="B487" s="8">
        <f>IF($A487="","",PROPER(_xll.BDP($A487&amp;" Corp","NAME")))</f>
        <v/>
      </c>
      <c r="C487" s="8">
        <f>IF($A487="","",IFERROR(INDEX(Company_desc!$B$2:$B$1144,MATCH($A487,Company_desc!$A$2:$A$1144,0)),IFERROR(INDEX(SYZ_static!$Q$2:$Q$806,MATCH($A487,SYZ_static!$A$2:$A$806,0)),"")))</f>
        <v/>
      </c>
      <c r="D487" s="8">
        <f>IF($A487="","",IFERROR(INDEX(SYZ_static!$B$2:$B$806,MATCH($A487,SYZ_static!$A$2:$A$806,0)),""))</f>
        <v/>
      </c>
      <c r="E487" s="8">
        <f>IF($A487="","",_xll.BDP($A487&amp;" Corp","INDUSTRY_SECTOR"))</f>
        <v/>
      </c>
      <c r="F487" s="8">
        <f>IF($A487="","",PROPER(_xll.BDP($A487&amp;" Corp","COUNTRY_FULL_NAME")))</f>
        <v/>
      </c>
      <c r="G487" s="8">
        <f>IF($A487="","",_xll.BDP($A487&amp;" Corp","CRNCY"))</f>
        <v/>
      </c>
      <c r="H487" s="8">
        <f>IF($A487="","",IFERROR(INDEX(SYZ_static!$T$2:$T$806,MATCH($A487,SYZ_static!$A$2:$A$806,0)),_xll.BDP($A487&amp;" Corp","RTG_SP")))</f>
        <v/>
      </c>
      <c r="I487" s="8">
        <f>IF($A487="","",IFERROR(INDEX(SYZ_static!$S$2:$S$806,MATCH($A487,SYZ_static!$A$2:$A$806,0)),""))</f>
        <v/>
      </c>
      <c r="J487" s="8">
        <f>IF($A487="","",_xll.BDP($A487&amp;" Corp","PAYMENT_RANK"))</f>
        <v/>
      </c>
      <c r="K487" s="9">
        <f>IF($A487="","",_xll.BDP($A487&amp;" Corp","CPN"))</f>
        <v/>
      </c>
      <c r="L487" s="10">
        <f>IF($A487="","",_xll.BDP($A487&amp;" Corp","MATURITY"))</f>
        <v/>
      </c>
      <c r="M487" s="11">
        <f>IF($A487="","",IFERROR(_xll.BDP($A487&amp;" Corp","MIN_PIECE")/1000,""))</f>
        <v/>
      </c>
      <c r="N487" s="12">
        <f>IF($A487="","",_xll.BDP($A487&amp;" Corp","PX_LAST"))</f>
        <v/>
      </c>
      <c r="O487" s="12">
        <f>IF($A487="","",_xll.BDP($A487&amp;" Corp","YAS_BOND_YLD","YAS_YLD_FLAG=15"))</f>
        <v/>
      </c>
      <c r="P487" s="12">
        <f>IF($A487="","",_xll.BDP($A487&amp;" Corp","YAS_MOD_DUR"))</f>
        <v/>
      </c>
      <c r="Q487" s="13">
        <f>IF($A487="","",_xll.BDP($A487&amp;" Corp","YAS_OAS_SPRD"))</f>
        <v/>
      </c>
      <c r="R487" s="13">
        <f>IF($A487="","",_xll.BDP($A487&amp;" Corp","YAS_OAS_SPRD","SETTLE_DT",$B$2))</f>
        <v/>
      </c>
      <c r="S487" s="14">
        <f>IF($A487="","",IF(OR(NOT(ISNUMBER($Q487)),NOT(ISNUMBER($R487))),"",$Q487-$R487))</f>
        <v/>
      </c>
      <c r="T487" s="12">
        <f>IF($A487="","",_xll.BDP($A487&amp;" Corp","YAS_BOND_YLD","YAS_YLD_FLAG=15","SETTLE_DT",$B$2))</f>
        <v/>
      </c>
      <c r="U487" s="15">
        <f>IF($A487="","",IF(OR(NOT(ISNUMBER($O487)),NOT(ISNUMBER($T487))),"",$O487-$T487))</f>
        <v/>
      </c>
      <c r="V487" s="13">
        <f>IF(NOT(ISNUMBER($S487)),"",COUNTIFS($G$7:$G$850,$G487,$S$7:$S$850,"&gt;"&amp;$S487)+COUNTIFS($G$7:$G487,$G487,$S$7:$S487,$S487))</f>
        <v/>
      </c>
      <c r="W487" s="13">
        <f>IF(NOT(ISNUMBER($S487)),"",COUNTIFS($G$7:$G$850,$G487,$S$7:$S$850,"&lt;"&amp;$S487)+COUNTIFS($G$7:$G487,$G487,$S$7:$S487,$S487))</f>
        <v/>
      </c>
      <c r="X487" s="8">
        <f>IF($V487="","",$G487&amp;"|"&amp;$V487)</f>
        <v/>
      </c>
      <c r="Y487" s="8">
        <f>IF($W487="","",$G487&amp;"|"&amp;$W487)</f>
        <v/>
      </c>
    </row>
    <row r="488">
      <c r="A488" s="16" t="inlineStr">
        <is>
          <t>XS1992985694</t>
        </is>
      </c>
      <c r="B488" s="17">
        <f>IF($A488="","",PROPER(_xll.BDP($A488&amp;" Corp","NAME")))</f>
        <v/>
      </c>
      <c r="C488" s="17">
        <f>IF($A488="","",IFERROR(INDEX(Company_desc!$B$2:$B$1144,MATCH($A488,Company_desc!$A$2:$A$1144,0)),IFERROR(INDEX(SYZ_static!$Q$2:$Q$806,MATCH($A488,SYZ_static!$A$2:$A$806,0)),"")))</f>
        <v/>
      </c>
      <c r="D488" s="17">
        <f>IF($A488="","",IFERROR(INDEX(SYZ_static!$B$2:$B$806,MATCH($A488,SYZ_static!$A$2:$A$806,0)),""))</f>
        <v/>
      </c>
      <c r="E488" s="17">
        <f>IF($A488="","",_xll.BDP($A488&amp;" Corp","INDUSTRY_SECTOR"))</f>
        <v/>
      </c>
      <c r="F488" s="17">
        <f>IF($A488="","",PROPER(_xll.BDP($A488&amp;" Corp","COUNTRY_FULL_NAME")))</f>
        <v/>
      </c>
      <c r="G488" s="17">
        <f>IF($A488="","",_xll.BDP($A488&amp;" Corp","CRNCY"))</f>
        <v/>
      </c>
      <c r="H488" s="17">
        <f>IF($A488="","",IFERROR(INDEX(SYZ_static!$T$2:$T$806,MATCH($A488,SYZ_static!$A$2:$A$806,0)),_xll.BDP($A488&amp;" Corp","RTG_SP")))</f>
        <v/>
      </c>
      <c r="I488" s="17">
        <f>IF($A488="","",IFERROR(INDEX(SYZ_static!$S$2:$S$806,MATCH($A488,SYZ_static!$A$2:$A$806,0)),""))</f>
        <v/>
      </c>
      <c r="J488" s="17">
        <f>IF($A488="","",_xll.BDP($A488&amp;" Corp","PAYMENT_RANK"))</f>
        <v/>
      </c>
      <c r="K488" s="18">
        <f>IF($A488="","",_xll.BDP($A488&amp;" Corp","CPN"))</f>
        <v/>
      </c>
      <c r="L488" s="19">
        <f>IF($A488="","",_xll.BDP($A488&amp;" Corp","MATURITY"))</f>
        <v/>
      </c>
      <c r="M488" s="20">
        <f>IF($A488="","",IFERROR(_xll.BDP($A488&amp;" Corp","MIN_PIECE")/1000,""))</f>
        <v/>
      </c>
      <c r="N488" s="21">
        <f>IF($A488="","",_xll.BDP($A488&amp;" Corp","PX_LAST"))</f>
        <v/>
      </c>
      <c r="O488" s="21">
        <f>IF($A488="","",_xll.BDP($A488&amp;" Corp","YAS_BOND_YLD","YAS_YLD_FLAG=15"))</f>
        <v/>
      </c>
      <c r="P488" s="21">
        <f>IF($A488="","",_xll.BDP($A488&amp;" Corp","YAS_MOD_DUR"))</f>
        <v/>
      </c>
      <c r="Q488" s="22">
        <f>IF($A488="","",_xll.BDP($A488&amp;" Corp","YAS_OAS_SPRD"))</f>
        <v/>
      </c>
      <c r="R488" s="22">
        <f>IF($A488="","",_xll.BDP($A488&amp;" Corp","YAS_OAS_SPRD","SETTLE_DT",$B$2))</f>
        <v/>
      </c>
      <c r="S488" s="23">
        <f>IF($A488="","",IF(OR(NOT(ISNUMBER($Q488)),NOT(ISNUMBER($R488))),"",$Q488-$R488))</f>
        <v/>
      </c>
      <c r="T488" s="21">
        <f>IF($A488="","",_xll.BDP($A488&amp;" Corp","YAS_BOND_YLD","YAS_YLD_FLAG=15","SETTLE_DT",$B$2))</f>
        <v/>
      </c>
      <c r="U488" s="24">
        <f>IF($A488="","",IF(OR(NOT(ISNUMBER($O488)),NOT(ISNUMBER($T488))),"",$O488-$T488))</f>
        <v/>
      </c>
      <c r="V488" s="22">
        <f>IF(NOT(ISNUMBER($S488)),"",COUNTIFS($G$7:$G$850,$G488,$S$7:$S$850,"&gt;"&amp;$S488)+COUNTIFS($G$7:$G488,$G488,$S$7:$S488,$S488))</f>
        <v/>
      </c>
      <c r="W488" s="22">
        <f>IF(NOT(ISNUMBER($S488)),"",COUNTIFS($G$7:$G$850,$G488,$S$7:$S$850,"&lt;"&amp;$S488)+COUNTIFS($G$7:$G488,$G488,$S$7:$S488,$S488))</f>
        <v/>
      </c>
      <c r="X488" s="17">
        <f>IF($V488="","",$G488&amp;"|"&amp;$V488)</f>
        <v/>
      </c>
      <c r="Y488" s="17">
        <f>IF($W488="","",$G488&amp;"|"&amp;$W488)</f>
        <v/>
      </c>
    </row>
    <row r="489">
      <c r="A489" s="7" t="inlineStr">
        <is>
          <t>XS2972971803</t>
        </is>
      </c>
      <c r="B489" s="8">
        <f>IF($A489="","",PROPER(_xll.BDP($A489&amp;" Corp","NAME")))</f>
        <v/>
      </c>
      <c r="C489" s="8">
        <f>IF($A489="","",IFERROR(INDEX(Company_desc!$B$2:$B$1144,MATCH($A489,Company_desc!$A$2:$A$1144,0)),IFERROR(INDEX(SYZ_static!$Q$2:$Q$806,MATCH($A489,SYZ_static!$A$2:$A$806,0)),"")))</f>
        <v/>
      </c>
      <c r="D489" s="8">
        <f>IF($A489="","",IFERROR(INDEX(SYZ_static!$B$2:$B$806,MATCH($A489,SYZ_static!$A$2:$A$806,0)),""))</f>
        <v/>
      </c>
      <c r="E489" s="8">
        <f>IF($A489="","",_xll.BDP($A489&amp;" Corp","INDUSTRY_SECTOR"))</f>
        <v/>
      </c>
      <c r="F489" s="8">
        <f>IF($A489="","",PROPER(_xll.BDP($A489&amp;" Corp","COUNTRY_FULL_NAME")))</f>
        <v/>
      </c>
      <c r="G489" s="8">
        <f>IF($A489="","",_xll.BDP($A489&amp;" Corp","CRNCY"))</f>
        <v/>
      </c>
      <c r="H489" s="8">
        <f>IF($A489="","",IFERROR(INDEX(SYZ_static!$T$2:$T$806,MATCH($A489,SYZ_static!$A$2:$A$806,0)),_xll.BDP($A489&amp;" Corp","RTG_SP")))</f>
        <v/>
      </c>
      <c r="I489" s="8">
        <f>IF($A489="","",IFERROR(INDEX(SYZ_static!$S$2:$S$806,MATCH($A489,SYZ_static!$A$2:$A$806,0)),""))</f>
        <v/>
      </c>
      <c r="J489" s="8">
        <f>IF($A489="","",_xll.BDP($A489&amp;" Corp","PAYMENT_RANK"))</f>
        <v/>
      </c>
      <c r="K489" s="9">
        <f>IF($A489="","",_xll.BDP($A489&amp;" Corp","CPN"))</f>
        <v/>
      </c>
      <c r="L489" s="10">
        <f>IF($A489="","",_xll.BDP($A489&amp;" Corp","MATURITY"))</f>
        <v/>
      </c>
      <c r="M489" s="11">
        <f>IF($A489="","",IFERROR(_xll.BDP($A489&amp;" Corp","MIN_PIECE")/1000,""))</f>
        <v/>
      </c>
      <c r="N489" s="12">
        <f>IF($A489="","",_xll.BDP($A489&amp;" Corp","PX_LAST"))</f>
        <v/>
      </c>
      <c r="O489" s="12">
        <f>IF($A489="","",_xll.BDP($A489&amp;" Corp","YAS_BOND_YLD","YAS_YLD_FLAG=15"))</f>
        <v/>
      </c>
      <c r="P489" s="12">
        <f>IF($A489="","",_xll.BDP($A489&amp;" Corp","YAS_MOD_DUR"))</f>
        <v/>
      </c>
      <c r="Q489" s="13">
        <f>IF($A489="","",_xll.BDP($A489&amp;" Corp","YAS_OAS_SPRD"))</f>
        <v/>
      </c>
      <c r="R489" s="13">
        <f>IF($A489="","",_xll.BDP($A489&amp;" Corp","YAS_OAS_SPRD","SETTLE_DT",$B$2))</f>
        <v/>
      </c>
      <c r="S489" s="14">
        <f>IF($A489="","",IF(OR(NOT(ISNUMBER($Q489)),NOT(ISNUMBER($R489))),"",$Q489-$R489))</f>
        <v/>
      </c>
      <c r="T489" s="12">
        <f>IF($A489="","",_xll.BDP($A489&amp;" Corp","YAS_BOND_YLD","YAS_YLD_FLAG=15","SETTLE_DT",$B$2))</f>
        <v/>
      </c>
      <c r="U489" s="15">
        <f>IF($A489="","",IF(OR(NOT(ISNUMBER($O489)),NOT(ISNUMBER($T489))),"",$O489-$T489))</f>
        <v/>
      </c>
      <c r="V489" s="13">
        <f>IF(NOT(ISNUMBER($S489)),"",COUNTIFS($G$7:$G$850,$G489,$S$7:$S$850,"&gt;"&amp;$S489)+COUNTIFS($G$7:$G489,$G489,$S$7:$S489,$S489))</f>
        <v/>
      </c>
      <c r="W489" s="13">
        <f>IF(NOT(ISNUMBER($S489)),"",COUNTIFS($G$7:$G$850,$G489,$S$7:$S$850,"&lt;"&amp;$S489)+COUNTIFS($G$7:$G489,$G489,$S$7:$S489,$S489))</f>
        <v/>
      </c>
      <c r="X489" s="8">
        <f>IF($V489="","",$G489&amp;"|"&amp;$V489)</f>
        <v/>
      </c>
      <c r="Y489" s="8">
        <f>IF($W489="","",$G489&amp;"|"&amp;$W489)</f>
        <v/>
      </c>
    </row>
    <row r="490">
      <c r="A490" s="16" t="inlineStr">
        <is>
          <t>US76720AAN63</t>
        </is>
      </c>
      <c r="B490" s="17">
        <f>IF($A490="","",PROPER(_xll.BDP($A490&amp;" Corp","NAME")))</f>
        <v/>
      </c>
      <c r="C490" s="17">
        <f>IF($A490="","",IFERROR(INDEX(Company_desc!$B$2:$B$1144,MATCH($A490,Company_desc!$A$2:$A$1144,0)),IFERROR(INDEX(SYZ_static!$Q$2:$Q$806,MATCH($A490,SYZ_static!$A$2:$A$806,0)),"")))</f>
        <v/>
      </c>
      <c r="D490" s="17">
        <f>IF($A490="","",IFERROR(INDEX(SYZ_static!$B$2:$B$806,MATCH($A490,SYZ_static!$A$2:$A$806,0)),""))</f>
        <v/>
      </c>
      <c r="E490" s="17">
        <f>IF($A490="","",_xll.BDP($A490&amp;" Corp","INDUSTRY_SECTOR"))</f>
        <v/>
      </c>
      <c r="F490" s="17">
        <f>IF($A490="","",PROPER(_xll.BDP($A490&amp;" Corp","COUNTRY_FULL_NAME")))</f>
        <v/>
      </c>
      <c r="G490" s="17">
        <f>IF($A490="","",_xll.BDP($A490&amp;" Corp","CRNCY"))</f>
        <v/>
      </c>
      <c r="H490" s="17">
        <f>IF($A490="","",IFERROR(INDEX(SYZ_static!$T$2:$T$806,MATCH($A490,SYZ_static!$A$2:$A$806,0)),_xll.BDP($A490&amp;" Corp","RTG_SP")))</f>
        <v/>
      </c>
      <c r="I490" s="17">
        <f>IF($A490="","",IFERROR(INDEX(SYZ_static!$S$2:$S$806,MATCH($A490,SYZ_static!$A$2:$A$806,0)),""))</f>
        <v/>
      </c>
      <c r="J490" s="17">
        <f>IF($A490="","",_xll.BDP($A490&amp;" Corp","PAYMENT_RANK"))</f>
        <v/>
      </c>
      <c r="K490" s="18">
        <f>IF($A490="","",_xll.BDP($A490&amp;" Corp","CPN"))</f>
        <v/>
      </c>
      <c r="L490" s="19">
        <f>IF($A490="","",_xll.BDP($A490&amp;" Corp","MATURITY"))</f>
        <v/>
      </c>
      <c r="M490" s="20">
        <f>IF($A490="","",IFERROR(_xll.BDP($A490&amp;" Corp","MIN_PIECE")/1000,""))</f>
        <v/>
      </c>
      <c r="N490" s="21">
        <f>IF($A490="","",_xll.BDP($A490&amp;" Corp","PX_LAST"))</f>
        <v/>
      </c>
      <c r="O490" s="21">
        <f>IF($A490="","",_xll.BDP($A490&amp;" Corp","YAS_BOND_YLD","YAS_YLD_FLAG=15"))</f>
        <v/>
      </c>
      <c r="P490" s="21">
        <f>IF($A490="","",_xll.BDP($A490&amp;" Corp","YAS_MOD_DUR"))</f>
        <v/>
      </c>
      <c r="Q490" s="22">
        <f>IF($A490="","",_xll.BDP($A490&amp;" Corp","YAS_OAS_SPRD"))</f>
        <v/>
      </c>
      <c r="R490" s="22">
        <f>IF($A490="","",_xll.BDP($A490&amp;" Corp","YAS_OAS_SPRD","SETTLE_DT",$B$2))</f>
        <v/>
      </c>
      <c r="S490" s="23">
        <f>IF($A490="","",IF(OR(NOT(ISNUMBER($Q490)),NOT(ISNUMBER($R490))),"",$Q490-$R490))</f>
        <v/>
      </c>
      <c r="T490" s="21">
        <f>IF($A490="","",_xll.BDP($A490&amp;" Corp","YAS_BOND_YLD","YAS_YLD_FLAG=15","SETTLE_DT",$B$2))</f>
        <v/>
      </c>
      <c r="U490" s="24">
        <f>IF($A490="","",IF(OR(NOT(ISNUMBER($O490)),NOT(ISNUMBER($T490))),"",$O490-$T490))</f>
        <v/>
      </c>
      <c r="V490" s="22">
        <f>IF(NOT(ISNUMBER($S490)),"",COUNTIFS($G$7:$G$850,$G490,$S$7:$S$850,"&gt;"&amp;$S490)+COUNTIFS($G$7:$G490,$G490,$S$7:$S490,$S490))</f>
        <v/>
      </c>
      <c r="W490" s="22">
        <f>IF(NOT(ISNUMBER($S490)),"",COUNTIFS($G$7:$G$850,$G490,$S$7:$S$850,"&lt;"&amp;$S490)+COUNTIFS($G$7:$G490,$G490,$S$7:$S490,$S490))</f>
        <v/>
      </c>
      <c r="X490" s="17">
        <f>IF($V490="","",$G490&amp;"|"&amp;$V490)</f>
        <v/>
      </c>
      <c r="Y490" s="17">
        <f>IF($W490="","",$G490&amp;"|"&amp;$W490)</f>
        <v/>
      </c>
    </row>
    <row r="491">
      <c r="A491" s="7" t="inlineStr">
        <is>
          <t>US58733RAE27</t>
        </is>
      </c>
      <c r="B491" s="8">
        <f>IF($A491="","",PROPER(_xll.BDP($A491&amp;" Corp","NAME")))</f>
        <v/>
      </c>
      <c r="C491" s="8">
        <f>IF($A491="","",IFERROR(INDEX(Company_desc!$B$2:$B$1144,MATCH($A491,Company_desc!$A$2:$A$1144,0)),IFERROR(INDEX(SYZ_static!$Q$2:$Q$806,MATCH($A491,SYZ_static!$A$2:$A$806,0)),"")))</f>
        <v/>
      </c>
      <c r="D491" s="8">
        <f>IF($A491="","",IFERROR(INDEX(SYZ_static!$B$2:$B$806,MATCH($A491,SYZ_static!$A$2:$A$806,0)),""))</f>
        <v/>
      </c>
      <c r="E491" s="8">
        <f>IF($A491="","",_xll.BDP($A491&amp;" Corp","INDUSTRY_SECTOR"))</f>
        <v/>
      </c>
      <c r="F491" s="8">
        <f>IF($A491="","",PROPER(_xll.BDP($A491&amp;" Corp","COUNTRY_FULL_NAME")))</f>
        <v/>
      </c>
      <c r="G491" s="8">
        <f>IF($A491="","",_xll.BDP($A491&amp;" Corp","CRNCY"))</f>
        <v/>
      </c>
      <c r="H491" s="8">
        <f>IF($A491="","",IFERROR(INDEX(SYZ_static!$T$2:$T$806,MATCH($A491,SYZ_static!$A$2:$A$806,0)),_xll.BDP($A491&amp;" Corp","RTG_SP")))</f>
        <v/>
      </c>
      <c r="I491" s="8">
        <f>IF($A491="","",IFERROR(INDEX(SYZ_static!$S$2:$S$806,MATCH($A491,SYZ_static!$A$2:$A$806,0)),""))</f>
        <v/>
      </c>
      <c r="J491" s="8">
        <f>IF($A491="","",_xll.BDP($A491&amp;" Corp","PAYMENT_RANK"))</f>
        <v/>
      </c>
      <c r="K491" s="9">
        <f>IF($A491="","",_xll.BDP($A491&amp;" Corp","CPN"))</f>
        <v/>
      </c>
      <c r="L491" s="10">
        <f>IF($A491="","",_xll.BDP($A491&amp;" Corp","MATURITY"))</f>
        <v/>
      </c>
      <c r="M491" s="11">
        <f>IF($A491="","",IFERROR(_xll.BDP($A491&amp;" Corp","MIN_PIECE")/1000,""))</f>
        <v/>
      </c>
      <c r="N491" s="12">
        <f>IF($A491="","",_xll.BDP($A491&amp;" Corp","PX_LAST"))</f>
        <v/>
      </c>
      <c r="O491" s="12">
        <f>IF($A491="","",_xll.BDP($A491&amp;" Corp","YAS_BOND_YLD","YAS_YLD_FLAG=15"))</f>
        <v/>
      </c>
      <c r="P491" s="12">
        <f>IF($A491="","",_xll.BDP($A491&amp;" Corp","YAS_MOD_DUR"))</f>
        <v/>
      </c>
      <c r="Q491" s="13">
        <f>IF($A491="","",_xll.BDP($A491&amp;" Corp","YAS_OAS_SPRD"))</f>
        <v/>
      </c>
      <c r="R491" s="13">
        <f>IF($A491="","",_xll.BDP($A491&amp;" Corp","YAS_OAS_SPRD","SETTLE_DT",$B$2))</f>
        <v/>
      </c>
      <c r="S491" s="14">
        <f>IF($A491="","",IF(OR(NOT(ISNUMBER($Q491)),NOT(ISNUMBER($R491))),"",$Q491-$R491))</f>
        <v/>
      </c>
      <c r="T491" s="12">
        <f>IF($A491="","",_xll.BDP($A491&amp;" Corp","YAS_BOND_YLD","YAS_YLD_FLAG=15","SETTLE_DT",$B$2))</f>
        <v/>
      </c>
      <c r="U491" s="15">
        <f>IF($A491="","",IF(OR(NOT(ISNUMBER($O491)),NOT(ISNUMBER($T491))),"",$O491-$T491))</f>
        <v/>
      </c>
      <c r="V491" s="13">
        <f>IF(NOT(ISNUMBER($S491)),"",COUNTIFS($G$7:$G$850,$G491,$S$7:$S$850,"&gt;"&amp;$S491)+COUNTIFS($G$7:$G491,$G491,$S$7:$S491,$S491))</f>
        <v/>
      </c>
      <c r="W491" s="13">
        <f>IF(NOT(ISNUMBER($S491)),"",COUNTIFS($G$7:$G$850,$G491,$S$7:$S$850,"&lt;"&amp;$S491)+COUNTIFS($G$7:$G491,$G491,$S$7:$S491,$S491))</f>
        <v/>
      </c>
      <c r="X491" s="8">
        <f>IF($V491="","",$G491&amp;"|"&amp;$V491)</f>
        <v/>
      </c>
      <c r="Y491" s="8">
        <f>IF($W491="","",$G491&amp;"|"&amp;$W491)</f>
        <v/>
      </c>
    </row>
    <row r="492">
      <c r="A492" s="16" t="inlineStr">
        <is>
          <t>XS2592650373</t>
        </is>
      </c>
      <c r="B492" s="17">
        <f>IF($A492="","",PROPER(_xll.BDP($A492&amp;" Corp","NAME")))</f>
        <v/>
      </c>
      <c r="C492" s="17">
        <f>IF($A492="","",IFERROR(INDEX(Company_desc!$B$2:$B$1144,MATCH($A492,Company_desc!$A$2:$A$1144,0)),IFERROR(INDEX(SYZ_static!$Q$2:$Q$806,MATCH($A492,SYZ_static!$A$2:$A$806,0)),"")))</f>
        <v/>
      </c>
      <c r="D492" s="17">
        <f>IF($A492="","",IFERROR(INDEX(SYZ_static!$B$2:$B$806,MATCH($A492,SYZ_static!$A$2:$A$806,0)),""))</f>
        <v/>
      </c>
      <c r="E492" s="17">
        <f>IF($A492="","",_xll.BDP($A492&amp;" Corp","INDUSTRY_SECTOR"))</f>
        <v/>
      </c>
      <c r="F492" s="17">
        <f>IF($A492="","",PROPER(_xll.BDP($A492&amp;" Corp","COUNTRY_FULL_NAME")))</f>
        <v/>
      </c>
      <c r="G492" s="17">
        <f>IF($A492="","",_xll.BDP($A492&amp;" Corp","CRNCY"))</f>
        <v/>
      </c>
      <c r="H492" s="17">
        <f>IF($A492="","",IFERROR(INDEX(SYZ_static!$T$2:$T$806,MATCH($A492,SYZ_static!$A$2:$A$806,0)),_xll.BDP($A492&amp;" Corp","RTG_SP")))</f>
        <v/>
      </c>
      <c r="I492" s="17">
        <f>IF($A492="","",IFERROR(INDEX(SYZ_static!$S$2:$S$806,MATCH($A492,SYZ_static!$A$2:$A$806,0)),""))</f>
        <v/>
      </c>
      <c r="J492" s="17">
        <f>IF($A492="","",_xll.BDP($A492&amp;" Corp","PAYMENT_RANK"))</f>
        <v/>
      </c>
      <c r="K492" s="18">
        <f>IF($A492="","",_xll.BDP($A492&amp;" Corp","CPN"))</f>
        <v/>
      </c>
      <c r="L492" s="19">
        <f>IF($A492="","",_xll.BDP($A492&amp;" Corp","MATURITY"))</f>
        <v/>
      </c>
      <c r="M492" s="20">
        <f>IF($A492="","",IFERROR(_xll.BDP($A492&amp;" Corp","MIN_PIECE")/1000,""))</f>
        <v/>
      </c>
      <c r="N492" s="21">
        <f>IF($A492="","",_xll.BDP($A492&amp;" Corp","PX_LAST"))</f>
        <v/>
      </c>
      <c r="O492" s="21">
        <f>IF($A492="","",_xll.BDP($A492&amp;" Corp","YAS_BOND_YLD","YAS_YLD_FLAG=15"))</f>
        <v/>
      </c>
      <c r="P492" s="21">
        <f>IF($A492="","",_xll.BDP($A492&amp;" Corp","YAS_MOD_DUR"))</f>
        <v/>
      </c>
      <c r="Q492" s="22">
        <f>IF($A492="","",_xll.BDP($A492&amp;" Corp","YAS_OAS_SPRD"))</f>
        <v/>
      </c>
      <c r="R492" s="22">
        <f>IF($A492="","",_xll.BDP($A492&amp;" Corp","YAS_OAS_SPRD","SETTLE_DT",$B$2))</f>
        <v/>
      </c>
      <c r="S492" s="23">
        <f>IF($A492="","",IF(OR(NOT(ISNUMBER($Q492)),NOT(ISNUMBER($R492))),"",$Q492-$R492))</f>
        <v/>
      </c>
      <c r="T492" s="21">
        <f>IF($A492="","",_xll.BDP($A492&amp;" Corp","YAS_BOND_YLD","YAS_YLD_FLAG=15","SETTLE_DT",$B$2))</f>
        <v/>
      </c>
      <c r="U492" s="24">
        <f>IF($A492="","",IF(OR(NOT(ISNUMBER($O492)),NOT(ISNUMBER($T492))),"",$O492-$T492))</f>
        <v/>
      </c>
      <c r="V492" s="22">
        <f>IF(NOT(ISNUMBER($S492)),"",COUNTIFS($G$7:$G$850,$G492,$S$7:$S$850,"&gt;"&amp;$S492)+COUNTIFS($G$7:$G492,$G492,$S$7:$S492,$S492))</f>
        <v/>
      </c>
      <c r="W492" s="22">
        <f>IF(NOT(ISNUMBER($S492)),"",COUNTIFS($G$7:$G$850,$G492,$S$7:$S$850,"&lt;"&amp;$S492)+COUNTIFS($G$7:$G492,$G492,$S$7:$S492,$S492))</f>
        <v/>
      </c>
      <c r="X492" s="17">
        <f>IF($V492="","",$G492&amp;"|"&amp;$V492)</f>
        <v/>
      </c>
      <c r="Y492" s="17">
        <f>IF($W492="","",$G492&amp;"|"&amp;$W492)</f>
        <v/>
      </c>
    </row>
    <row r="493">
      <c r="A493" s="7" t="inlineStr">
        <is>
          <t>XS2534976886</t>
        </is>
      </c>
      <c r="B493" s="8">
        <f>IF($A493="","",PROPER(_xll.BDP($A493&amp;" Corp","NAME")))</f>
        <v/>
      </c>
      <c r="C493" s="8">
        <f>IF($A493="","",IFERROR(INDEX(Company_desc!$B$2:$B$1144,MATCH($A493,Company_desc!$A$2:$A$1144,0)),IFERROR(INDEX(SYZ_static!$Q$2:$Q$806,MATCH($A493,SYZ_static!$A$2:$A$806,0)),"")))</f>
        <v/>
      </c>
      <c r="D493" s="8">
        <f>IF($A493="","",IFERROR(INDEX(SYZ_static!$B$2:$B$806,MATCH($A493,SYZ_static!$A$2:$A$806,0)),""))</f>
        <v/>
      </c>
      <c r="E493" s="8">
        <f>IF($A493="","",_xll.BDP($A493&amp;" Corp","INDUSTRY_SECTOR"))</f>
        <v/>
      </c>
      <c r="F493" s="8">
        <f>IF($A493="","",PROPER(_xll.BDP($A493&amp;" Corp","COUNTRY_FULL_NAME")))</f>
        <v/>
      </c>
      <c r="G493" s="8">
        <f>IF($A493="","",_xll.BDP($A493&amp;" Corp","CRNCY"))</f>
        <v/>
      </c>
      <c r="H493" s="8">
        <f>IF($A493="","",IFERROR(INDEX(SYZ_static!$T$2:$T$806,MATCH($A493,SYZ_static!$A$2:$A$806,0)),_xll.BDP($A493&amp;" Corp","RTG_SP")))</f>
        <v/>
      </c>
      <c r="I493" s="8">
        <f>IF($A493="","",IFERROR(INDEX(SYZ_static!$S$2:$S$806,MATCH($A493,SYZ_static!$A$2:$A$806,0)),""))</f>
        <v/>
      </c>
      <c r="J493" s="8">
        <f>IF($A493="","",_xll.BDP($A493&amp;" Corp","PAYMENT_RANK"))</f>
        <v/>
      </c>
      <c r="K493" s="9">
        <f>IF($A493="","",_xll.BDP($A493&amp;" Corp","CPN"))</f>
        <v/>
      </c>
      <c r="L493" s="10">
        <f>IF($A493="","",_xll.BDP($A493&amp;" Corp","MATURITY"))</f>
        <v/>
      </c>
      <c r="M493" s="11">
        <f>IF($A493="","",IFERROR(_xll.BDP($A493&amp;" Corp","MIN_PIECE")/1000,""))</f>
        <v/>
      </c>
      <c r="N493" s="12">
        <f>IF($A493="","",_xll.BDP($A493&amp;" Corp","PX_LAST"))</f>
        <v/>
      </c>
      <c r="O493" s="12">
        <f>IF($A493="","",_xll.BDP($A493&amp;" Corp","YAS_BOND_YLD","YAS_YLD_FLAG=15"))</f>
        <v/>
      </c>
      <c r="P493" s="12">
        <f>IF($A493="","",_xll.BDP($A493&amp;" Corp","YAS_MOD_DUR"))</f>
        <v/>
      </c>
      <c r="Q493" s="13">
        <f>IF($A493="","",_xll.BDP($A493&amp;" Corp","YAS_OAS_SPRD"))</f>
        <v/>
      </c>
      <c r="R493" s="13">
        <f>IF($A493="","",_xll.BDP($A493&amp;" Corp","YAS_OAS_SPRD","SETTLE_DT",$B$2))</f>
        <v/>
      </c>
      <c r="S493" s="14">
        <f>IF($A493="","",IF(OR(NOT(ISNUMBER($Q493)),NOT(ISNUMBER($R493))),"",$Q493-$R493))</f>
        <v/>
      </c>
      <c r="T493" s="12">
        <f>IF($A493="","",_xll.BDP($A493&amp;" Corp","YAS_BOND_YLD","YAS_YLD_FLAG=15","SETTLE_DT",$B$2))</f>
        <v/>
      </c>
      <c r="U493" s="15">
        <f>IF($A493="","",IF(OR(NOT(ISNUMBER($O493)),NOT(ISNUMBER($T493))),"",$O493-$T493))</f>
        <v/>
      </c>
      <c r="V493" s="13">
        <f>IF(NOT(ISNUMBER($S493)),"",COUNTIFS($G$7:$G$850,$G493,$S$7:$S$850,"&gt;"&amp;$S493)+COUNTIFS($G$7:$G493,$G493,$S$7:$S493,$S493))</f>
        <v/>
      </c>
      <c r="W493" s="13">
        <f>IF(NOT(ISNUMBER($S493)),"",COUNTIFS($G$7:$G$850,$G493,$S$7:$S$850,"&lt;"&amp;$S493)+COUNTIFS($G$7:$G493,$G493,$S$7:$S493,$S493))</f>
        <v/>
      </c>
      <c r="X493" s="8">
        <f>IF($V493="","",$G493&amp;"|"&amp;$V493)</f>
        <v/>
      </c>
      <c r="Y493" s="8">
        <f>IF($W493="","",$G493&amp;"|"&amp;$W493)</f>
        <v/>
      </c>
    </row>
    <row r="494">
      <c r="A494" s="16" t="inlineStr">
        <is>
          <t>FR001400F075</t>
        </is>
      </c>
      <c r="B494" s="17">
        <f>IF($A494="","",PROPER(_xll.BDP($A494&amp;" Corp","NAME")))</f>
        <v/>
      </c>
      <c r="C494" s="17">
        <f>IF($A494="","",IFERROR(INDEX(Company_desc!$B$2:$B$1144,MATCH($A494,Company_desc!$A$2:$A$1144,0)),IFERROR(INDEX(SYZ_static!$Q$2:$Q$806,MATCH($A494,SYZ_static!$A$2:$A$806,0)),"")))</f>
        <v/>
      </c>
      <c r="D494" s="17">
        <f>IF($A494="","",IFERROR(INDEX(SYZ_static!$B$2:$B$806,MATCH($A494,SYZ_static!$A$2:$A$806,0)),""))</f>
        <v/>
      </c>
      <c r="E494" s="17">
        <f>IF($A494="","",_xll.BDP($A494&amp;" Corp","INDUSTRY_SECTOR"))</f>
        <v/>
      </c>
      <c r="F494" s="17">
        <f>IF($A494="","",PROPER(_xll.BDP($A494&amp;" Corp","COUNTRY_FULL_NAME")))</f>
        <v/>
      </c>
      <c r="G494" s="17">
        <f>IF($A494="","",_xll.BDP($A494&amp;" Corp","CRNCY"))</f>
        <v/>
      </c>
      <c r="H494" s="17">
        <f>IF($A494="","",IFERROR(INDEX(SYZ_static!$T$2:$T$806,MATCH($A494,SYZ_static!$A$2:$A$806,0)),_xll.BDP($A494&amp;" Corp","RTG_SP")))</f>
        <v/>
      </c>
      <c r="I494" s="17">
        <f>IF($A494="","",IFERROR(INDEX(SYZ_static!$S$2:$S$806,MATCH($A494,SYZ_static!$A$2:$A$806,0)),""))</f>
        <v/>
      </c>
      <c r="J494" s="17">
        <f>IF($A494="","",_xll.BDP($A494&amp;" Corp","PAYMENT_RANK"))</f>
        <v/>
      </c>
      <c r="K494" s="18">
        <f>IF($A494="","",_xll.BDP($A494&amp;" Corp","CPN"))</f>
        <v/>
      </c>
      <c r="L494" s="19">
        <f>IF($A494="","",_xll.BDP($A494&amp;" Corp","MATURITY"))</f>
        <v/>
      </c>
      <c r="M494" s="20">
        <f>IF($A494="","",IFERROR(_xll.BDP($A494&amp;" Corp","MIN_PIECE")/1000,""))</f>
        <v/>
      </c>
      <c r="N494" s="21">
        <f>IF($A494="","",_xll.BDP($A494&amp;" Corp","PX_LAST"))</f>
        <v/>
      </c>
      <c r="O494" s="21">
        <f>IF($A494="","",_xll.BDP($A494&amp;" Corp","YAS_BOND_YLD","YAS_YLD_FLAG=15"))</f>
        <v/>
      </c>
      <c r="P494" s="21">
        <f>IF($A494="","",_xll.BDP($A494&amp;" Corp","YAS_MOD_DUR"))</f>
        <v/>
      </c>
      <c r="Q494" s="22">
        <f>IF($A494="","",_xll.BDP($A494&amp;" Corp","YAS_OAS_SPRD"))</f>
        <v/>
      </c>
      <c r="R494" s="22">
        <f>IF($A494="","",_xll.BDP($A494&amp;" Corp","YAS_OAS_SPRD","SETTLE_DT",$B$2))</f>
        <v/>
      </c>
      <c r="S494" s="23">
        <f>IF($A494="","",IF(OR(NOT(ISNUMBER($Q494)),NOT(ISNUMBER($R494))),"",$Q494-$R494))</f>
        <v/>
      </c>
      <c r="T494" s="21">
        <f>IF($A494="","",_xll.BDP($A494&amp;" Corp","YAS_BOND_YLD","YAS_YLD_FLAG=15","SETTLE_DT",$B$2))</f>
        <v/>
      </c>
      <c r="U494" s="24">
        <f>IF($A494="","",IF(OR(NOT(ISNUMBER($O494)),NOT(ISNUMBER($T494))),"",$O494-$T494))</f>
        <v/>
      </c>
      <c r="V494" s="22">
        <f>IF(NOT(ISNUMBER($S494)),"",COUNTIFS($G$7:$G$850,$G494,$S$7:$S$850,"&gt;"&amp;$S494)+COUNTIFS($G$7:$G494,$G494,$S$7:$S494,$S494))</f>
        <v/>
      </c>
      <c r="W494" s="22">
        <f>IF(NOT(ISNUMBER($S494)),"",COUNTIFS($G$7:$G$850,$G494,$S$7:$S$850,"&lt;"&amp;$S494)+COUNTIFS($G$7:$G494,$G494,$S$7:$S494,$S494))</f>
        <v/>
      </c>
      <c r="X494" s="17">
        <f>IF($V494="","",$G494&amp;"|"&amp;$V494)</f>
        <v/>
      </c>
      <c r="Y494" s="17">
        <f>IF($W494="","",$G494&amp;"|"&amp;$W494)</f>
        <v/>
      </c>
    </row>
    <row r="495">
      <c r="A495" s="7" t="inlineStr">
        <is>
          <t>USU51407AE17</t>
        </is>
      </c>
      <c r="B495" s="8">
        <f>IF($A495="","",PROPER(_xll.BDP($A495&amp;" Corp","NAME")))</f>
        <v/>
      </c>
      <c r="C495" s="8">
        <f>IF($A495="","",IFERROR(INDEX(Company_desc!$B$2:$B$1144,MATCH($A495,Company_desc!$A$2:$A$1144,0)),IFERROR(INDEX(SYZ_static!$Q$2:$Q$806,MATCH($A495,SYZ_static!$A$2:$A$806,0)),"")))</f>
        <v/>
      </c>
      <c r="D495" s="8">
        <f>IF($A495="","",IFERROR(INDEX(SYZ_static!$B$2:$B$806,MATCH($A495,SYZ_static!$A$2:$A$806,0)),""))</f>
        <v/>
      </c>
      <c r="E495" s="8">
        <f>IF($A495="","",_xll.BDP($A495&amp;" Corp","INDUSTRY_SECTOR"))</f>
        <v/>
      </c>
      <c r="F495" s="8">
        <f>IF($A495="","",PROPER(_xll.BDP($A495&amp;" Corp","COUNTRY_FULL_NAME")))</f>
        <v/>
      </c>
      <c r="G495" s="8">
        <f>IF($A495="","",_xll.BDP($A495&amp;" Corp","CRNCY"))</f>
        <v/>
      </c>
      <c r="H495" s="8">
        <f>IF($A495="","",IFERROR(INDEX(SYZ_static!$T$2:$T$806,MATCH($A495,SYZ_static!$A$2:$A$806,0)),_xll.BDP($A495&amp;" Corp","RTG_SP")))</f>
        <v/>
      </c>
      <c r="I495" s="8">
        <f>IF($A495="","",IFERROR(INDEX(SYZ_static!$S$2:$S$806,MATCH($A495,SYZ_static!$A$2:$A$806,0)),""))</f>
        <v/>
      </c>
      <c r="J495" s="8">
        <f>IF($A495="","",_xll.BDP($A495&amp;" Corp","PAYMENT_RANK"))</f>
        <v/>
      </c>
      <c r="K495" s="9">
        <f>IF($A495="","",_xll.BDP($A495&amp;" Corp","CPN"))</f>
        <v/>
      </c>
      <c r="L495" s="10">
        <f>IF($A495="","",_xll.BDP($A495&amp;" Corp","MATURITY"))</f>
        <v/>
      </c>
      <c r="M495" s="11">
        <f>IF($A495="","",IFERROR(_xll.BDP($A495&amp;" Corp","MIN_PIECE")/1000,""))</f>
        <v/>
      </c>
      <c r="N495" s="12">
        <f>IF($A495="","",_xll.BDP($A495&amp;" Corp","PX_LAST"))</f>
        <v/>
      </c>
      <c r="O495" s="12">
        <f>IF($A495="","",_xll.BDP($A495&amp;" Corp","YAS_BOND_YLD","YAS_YLD_FLAG=15"))</f>
        <v/>
      </c>
      <c r="P495" s="12">
        <f>IF($A495="","",_xll.BDP($A495&amp;" Corp","YAS_MOD_DUR"))</f>
        <v/>
      </c>
      <c r="Q495" s="13">
        <f>IF($A495="","",_xll.BDP($A495&amp;" Corp","YAS_OAS_SPRD"))</f>
        <v/>
      </c>
      <c r="R495" s="13">
        <f>IF($A495="","",_xll.BDP($A495&amp;" Corp","YAS_OAS_SPRD","SETTLE_DT",$B$2))</f>
        <v/>
      </c>
      <c r="S495" s="14">
        <f>IF($A495="","",IF(OR(NOT(ISNUMBER($Q495)),NOT(ISNUMBER($R495))),"",$Q495-$R495))</f>
        <v/>
      </c>
      <c r="T495" s="12">
        <f>IF($A495="","",_xll.BDP($A495&amp;" Corp","YAS_BOND_YLD","YAS_YLD_FLAG=15","SETTLE_DT",$B$2))</f>
        <v/>
      </c>
      <c r="U495" s="15">
        <f>IF($A495="","",IF(OR(NOT(ISNUMBER($O495)),NOT(ISNUMBER($T495))),"",$O495-$T495))</f>
        <v/>
      </c>
      <c r="V495" s="13">
        <f>IF(NOT(ISNUMBER($S495)),"",COUNTIFS($G$7:$G$850,$G495,$S$7:$S$850,"&gt;"&amp;$S495)+COUNTIFS($G$7:$G495,$G495,$S$7:$S495,$S495))</f>
        <v/>
      </c>
      <c r="W495" s="13">
        <f>IF(NOT(ISNUMBER($S495)),"",COUNTIFS($G$7:$G$850,$G495,$S$7:$S$850,"&lt;"&amp;$S495)+COUNTIFS($G$7:$G495,$G495,$S$7:$S495,$S495))</f>
        <v/>
      </c>
      <c r="X495" s="8">
        <f>IF($V495="","",$G495&amp;"|"&amp;$V495)</f>
        <v/>
      </c>
      <c r="Y495" s="8">
        <f>IF($W495="","",$G495&amp;"|"&amp;$W495)</f>
        <v/>
      </c>
    </row>
    <row r="496">
      <c r="A496" s="16" t="inlineStr">
        <is>
          <t>XS2429208056</t>
        </is>
      </c>
      <c r="B496" s="17">
        <f>IF($A496="","",PROPER(_xll.BDP($A496&amp;" Corp","NAME")))</f>
        <v/>
      </c>
      <c r="C496" s="17">
        <f>IF($A496="","",IFERROR(INDEX(Company_desc!$B$2:$B$1144,MATCH($A496,Company_desc!$A$2:$A$1144,0)),IFERROR(INDEX(SYZ_static!$Q$2:$Q$806,MATCH($A496,SYZ_static!$A$2:$A$806,0)),"")))</f>
        <v/>
      </c>
      <c r="D496" s="17">
        <f>IF($A496="","",IFERROR(INDEX(SYZ_static!$B$2:$B$806,MATCH($A496,SYZ_static!$A$2:$A$806,0)),""))</f>
        <v/>
      </c>
      <c r="E496" s="17">
        <f>IF($A496="","",_xll.BDP($A496&amp;" Corp","INDUSTRY_SECTOR"))</f>
        <v/>
      </c>
      <c r="F496" s="17">
        <f>IF($A496="","",PROPER(_xll.BDP($A496&amp;" Corp","COUNTRY_FULL_NAME")))</f>
        <v/>
      </c>
      <c r="G496" s="17">
        <f>IF($A496="","",_xll.BDP($A496&amp;" Corp","CRNCY"))</f>
        <v/>
      </c>
      <c r="H496" s="17">
        <f>IF($A496="","",IFERROR(INDEX(SYZ_static!$T$2:$T$806,MATCH($A496,SYZ_static!$A$2:$A$806,0)),_xll.BDP($A496&amp;" Corp","RTG_SP")))</f>
        <v/>
      </c>
      <c r="I496" s="17">
        <f>IF($A496="","",IFERROR(INDEX(SYZ_static!$S$2:$S$806,MATCH($A496,SYZ_static!$A$2:$A$806,0)),""))</f>
        <v/>
      </c>
      <c r="J496" s="17">
        <f>IF($A496="","",_xll.BDP($A496&amp;" Corp","PAYMENT_RANK"))</f>
        <v/>
      </c>
      <c r="K496" s="18">
        <f>IF($A496="","",_xll.BDP($A496&amp;" Corp","CPN"))</f>
        <v/>
      </c>
      <c r="L496" s="19">
        <f>IF($A496="","",_xll.BDP($A496&amp;" Corp","MATURITY"))</f>
        <v/>
      </c>
      <c r="M496" s="20">
        <f>IF($A496="","",IFERROR(_xll.BDP($A496&amp;" Corp","MIN_PIECE")/1000,""))</f>
        <v/>
      </c>
      <c r="N496" s="21">
        <f>IF($A496="","",_xll.BDP($A496&amp;" Corp","PX_LAST"))</f>
        <v/>
      </c>
      <c r="O496" s="21">
        <f>IF($A496="","",_xll.BDP($A496&amp;" Corp","YAS_BOND_YLD","YAS_YLD_FLAG=15"))</f>
        <v/>
      </c>
      <c r="P496" s="21">
        <f>IF($A496="","",_xll.BDP($A496&amp;" Corp","YAS_MOD_DUR"))</f>
        <v/>
      </c>
      <c r="Q496" s="22">
        <f>IF($A496="","",_xll.BDP($A496&amp;" Corp","YAS_OAS_SPRD"))</f>
        <v/>
      </c>
      <c r="R496" s="22">
        <f>IF($A496="","",_xll.BDP($A496&amp;" Corp","YAS_OAS_SPRD","SETTLE_DT",$B$2))</f>
        <v/>
      </c>
      <c r="S496" s="23">
        <f>IF($A496="","",IF(OR(NOT(ISNUMBER($Q496)),NOT(ISNUMBER($R496))),"",$Q496-$R496))</f>
        <v/>
      </c>
      <c r="T496" s="21">
        <f>IF($A496="","",_xll.BDP($A496&amp;" Corp","YAS_BOND_YLD","YAS_YLD_FLAG=15","SETTLE_DT",$B$2))</f>
        <v/>
      </c>
      <c r="U496" s="24">
        <f>IF($A496="","",IF(OR(NOT(ISNUMBER($O496)),NOT(ISNUMBER($T496))),"",$O496-$T496))</f>
        <v/>
      </c>
      <c r="V496" s="22">
        <f>IF(NOT(ISNUMBER($S496)),"",COUNTIFS($G$7:$G$850,$G496,$S$7:$S$850,"&gt;"&amp;$S496)+COUNTIFS($G$7:$G496,$G496,$S$7:$S496,$S496))</f>
        <v/>
      </c>
      <c r="W496" s="22">
        <f>IF(NOT(ISNUMBER($S496)),"",COUNTIFS($G$7:$G$850,$G496,$S$7:$S$850,"&lt;"&amp;$S496)+COUNTIFS($G$7:$G496,$G496,$S$7:$S496,$S496))</f>
        <v/>
      </c>
      <c r="X496" s="17">
        <f>IF($V496="","",$G496&amp;"|"&amp;$V496)</f>
        <v/>
      </c>
      <c r="Y496" s="17">
        <f>IF($W496="","",$G496&amp;"|"&amp;$W496)</f>
        <v/>
      </c>
    </row>
    <row r="497">
      <c r="A497" s="7" t="inlineStr">
        <is>
          <t>XS2815984732</t>
        </is>
      </c>
      <c r="B497" s="8">
        <f>IF($A497="","",PROPER(_xll.BDP($A497&amp;" Corp","NAME")))</f>
        <v/>
      </c>
      <c r="C497" s="8">
        <f>IF($A497="","",IFERROR(INDEX(Company_desc!$B$2:$B$1144,MATCH($A497,Company_desc!$A$2:$A$1144,0)),IFERROR(INDEX(SYZ_static!$Q$2:$Q$806,MATCH($A497,SYZ_static!$A$2:$A$806,0)),"")))</f>
        <v/>
      </c>
      <c r="D497" s="8">
        <f>IF($A497="","",IFERROR(INDEX(SYZ_static!$B$2:$B$806,MATCH($A497,SYZ_static!$A$2:$A$806,0)),""))</f>
        <v/>
      </c>
      <c r="E497" s="8">
        <f>IF($A497="","",_xll.BDP($A497&amp;" Corp","INDUSTRY_SECTOR"))</f>
        <v/>
      </c>
      <c r="F497" s="8">
        <f>IF($A497="","",PROPER(_xll.BDP($A497&amp;" Corp","COUNTRY_FULL_NAME")))</f>
        <v/>
      </c>
      <c r="G497" s="8">
        <f>IF($A497="","",_xll.BDP($A497&amp;" Corp","CRNCY"))</f>
        <v/>
      </c>
      <c r="H497" s="8">
        <f>IF($A497="","",IFERROR(INDEX(SYZ_static!$T$2:$T$806,MATCH($A497,SYZ_static!$A$2:$A$806,0)),_xll.BDP($A497&amp;" Corp","RTG_SP")))</f>
        <v/>
      </c>
      <c r="I497" s="8">
        <f>IF($A497="","",IFERROR(INDEX(SYZ_static!$S$2:$S$806,MATCH($A497,SYZ_static!$A$2:$A$806,0)),""))</f>
        <v/>
      </c>
      <c r="J497" s="8">
        <f>IF($A497="","",_xll.BDP($A497&amp;" Corp","PAYMENT_RANK"))</f>
        <v/>
      </c>
      <c r="K497" s="9">
        <f>IF($A497="","",_xll.BDP($A497&amp;" Corp","CPN"))</f>
        <v/>
      </c>
      <c r="L497" s="10">
        <f>IF($A497="","",_xll.BDP($A497&amp;" Corp","MATURITY"))</f>
        <v/>
      </c>
      <c r="M497" s="11">
        <f>IF($A497="","",IFERROR(_xll.BDP($A497&amp;" Corp","MIN_PIECE")/1000,""))</f>
        <v/>
      </c>
      <c r="N497" s="12">
        <f>IF($A497="","",_xll.BDP($A497&amp;" Corp","PX_LAST"))</f>
        <v/>
      </c>
      <c r="O497" s="12">
        <f>IF($A497="","",_xll.BDP($A497&amp;" Corp","YAS_BOND_YLD","YAS_YLD_FLAG=15"))</f>
        <v/>
      </c>
      <c r="P497" s="12">
        <f>IF($A497="","",_xll.BDP($A497&amp;" Corp","YAS_MOD_DUR"))</f>
        <v/>
      </c>
      <c r="Q497" s="13">
        <f>IF($A497="","",_xll.BDP($A497&amp;" Corp","YAS_OAS_SPRD"))</f>
        <v/>
      </c>
      <c r="R497" s="13">
        <f>IF($A497="","",_xll.BDP($A497&amp;" Corp","YAS_OAS_SPRD","SETTLE_DT",$B$2))</f>
        <v/>
      </c>
      <c r="S497" s="14">
        <f>IF($A497="","",IF(OR(NOT(ISNUMBER($Q497)),NOT(ISNUMBER($R497))),"",$Q497-$R497))</f>
        <v/>
      </c>
      <c r="T497" s="12">
        <f>IF($A497="","",_xll.BDP($A497&amp;" Corp","YAS_BOND_YLD","YAS_YLD_FLAG=15","SETTLE_DT",$B$2))</f>
        <v/>
      </c>
      <c r="U497" s="15">
        <f>IF($A497="","",IF(OR(NOT(ISNUMBER($O497)),NOT(ISNUMBER($T497))),"",$O497-$T497))</f>
        <v/>
      </c>
      <c r="V497" s="13">
        <f>IF(NOT(ISNUMBER($S497)),"",COUNTIFS($G$7:$G$850,$G497,$S$7:$S$850,"&gt;"&amp;$S497)+COUNTIFS($G$7:$G497,$G497,$S$7:$S497,$S497))</f>
        <v/>
      </c>
      <c r="W497" s="13">
        <f>IF(NOT(ISNUMBER($S497)),"",COUNTIFS($G$7:$G$850,$G497,$S$7:$S$850,"&lt;"&amp;$S497)+COUNTIFS($G$7:$G497,$G497,$S$7:$S497,$S497))</f>
        <v/>
      </c>
      <c r="X497" s="8">
        <f>IF($V497="","",$G497&amp;"|"&amp;$V497)</f>
        <v/>
      </c>
      <c r="Y497" s="8">
        <f>IF($W497="","",$G497&amp;"|"&amp;$W497)</f>
        <v/>
      </c>
    </row>
    <row r="498">
      <c r="A498" s="16" t="inlineStr">
        <is>
          <t>XS2804485915</t>
        </is>
      </c>
      <c r="B498" s="17">
        <f>IF($A498="","",PROPER(_xll.BDP($A498&amp;" Corp","NAME")))</f>
        <v/>
      </c>
      <c r="C498" s="17">
        <f>IF($A498="","",IFERROR(INDEX(Company_desc!$B$2:$B$1144,MATCH($A498,Company_desc!$A$2:$A$1144,0)),IFERROR(INDEX(SYZ_static!$Q$2:$Q$806,MATCH($A498,SYZ_static!$A$2:$A$806,0)),"")))</f>
        <v/>
      </c>
      <c r="D498" s="17">
        <f>IF($A498="","",IFERROR(INDEX(SYZ_static!$B$2:$B$806,MATCH($A498,SYZ_static!$A$2:$A$806,0)),""))</f>
        <v/>
      </c>
      <c r="E498" s="17">
        <f>IF($A498="","",_xll.BDP($A498&amp;" Corp","INDUSTRY_SECTOR"))</f>
        <v/>
      </c>
      <c r="F498" s="17">
        <f>IF($A498="","",PROPER(_xll.BDP($A498&amp;" Corp","COUNTRY_FULL_NAME")))</f>
        <v/>
      </c>
      <c r="G498" s="17">
        <f>IF($A498="","",_xll.BDP($A498&amp;" Corp","CRNCY"))</f>
        <v/>
      </c>
      <c r="H498" s="17">
        <f>IF($A498="","",IFERROR(INDEX(SYZ_static!$T$2:$T$806,MATCH($A498,SYZ_static!$A$2:$A$806,0)),_xll.BDP($A498&amp;" Corp","RTG_SP")))</f>
        <v/>
      </c>
      <c r="I498" s="17">
        <f>IF($A498="","",IFERROR(INDEX(SYZ_static!$S$2:$S$806,MATCH($A498,SYZ_static!$A$2:$A$806,0)),""))</f>
        <v/>
      </c>
      <c r="J498" s="17">
        <f>IF($A498="","",_xll.BDP($A498&amp;" Corp","PAYMENT_RANK"))</f>
        <v/>
      </c>
      <c r="K498" s="18">
        <f>IF($A498="","",_xll.BDP($A498&amp;" Corp","CPN"))</f>
        <v/>
      </c>
      <c r="L498" s="19">
        <f>IF($A498="","",_xll.BDP($A498&amp;" Corp","MATURITY"))</f>
        <v/>
      </c>
      <c r="M498" s="20">
        <f>IF($A498="","",IFERROR(_xll.BDP($A498&amp;" Corp","MIN_PIECE")/1000,""))</f>
        <v/>
      </c>
      <c r="N498" s="21">
        <f>IF($A498="","",_xll.BDP($A498&amp;" Corp","PX_LAST"))</f>
        <v/>
      </c>
      <c r="O498" s="21">
        <f>IF($A498="","",_xll.BDP($A498&amp;" Corp","YAS_BOND_YLD","YAS_YLD_FLAG=15"))</f>
        <v/>
      </c>
      <c r="P498" s="21">
        <f>IF($A498="","",_xll.BDP($A498&amp;" Corp","YAS_MOD_DUR"))</f>
        <v/>
      </c>
      <c r="Q498" s="22">
        <f>IF($A498="","",_xll.BDP($A498&amp;" Corp","YAS_OAS_SPRD"))</f>
        <v/>
      </c>
      <c r="R498" s="22">
        <f>IF($A498="","",_xll.BDP($A498&amp;" Corp","YAS_OAS_SPRD","SETTLE_DT",$B$2))</f>
        <v/>
      </c>
      <c r="S498" s="23">
        <f>IF($A498="","",IF(OR(NOT(ISNUMBER($Q498)),NOT(ISNUMBER($R498))),"",$Q498-$R498))</f>
        <v/>
      </c>
      <c r="T498" s="21">
        <f>IF($A498="","",_xll.BDP($A498&amp;" Corp","YAS_BOND_YLD","YAS_YLD_FLAG=15","SETTLE_DT",$B$2))</f>
        <v/>
      </c>
      <c r="U498" s="24">
        <f>IF($A498="","",IF(OR(NOT(ISNUMBER($O498)),NOT(ISNUMBER($T498))),"",$O498-$T498))</f>
        <v/>
      </c>
      <c r="V498" s="22">
        <f>IF(NOT(ISNUMBER($S498)),"",COUNTIFS($G$7:$G$850,$G498,$S$7:$S$850,"&gt;"&amp;$S498)+COUNTIFS($G$7:$G498,$G498,$S$7:$S498,$S498))</f>
        <v/>
      </c>
      <c r="W498" s="22">
        <f>IF(NOT(ISNUMBER($S498)),"",COUNTIFS($G$7:$G$850,$G498,$S$7:$S$850,"&lt;"&amp;$S498)+COUNTIFS($G$7:$G498,$G498,$S$7:$S498,$S498))</f>
        <v/>
      </c>
      <c r="X498" s="17">
        <f>IF($V498="","",$G498&amp;"|"&amp;$V498)</f>
        <v/>
      </c>
      <c r="Y498" s="17">
        <f>IF($W498="","",$G498&amp;"|"&amp;$W498)</f>
        <v/>
      </c>
    </row>
    <row r="499">
      <c r="A499" s="7" t="inlineStr">
        <is>
          <t>XS2914524009</t>
        </is>
      </c>
      <c r="B499" s="8">
        <f>IF($A499="","",PROPER(_xll.BDP($A499&amp;" Corp","NAME")))</f>
        <v/>
      </c>
      <c r="C499" s="8">
        <f>IF($A499="","",IFERROR(INDEX(Company_desc!$B$2:$B$1144,MATCH($A499,Company_desc!$A$2:$A$1144,0)),IFERROR(INDEX(SYZ_static!$Q$2:$Q$806,MATCH($A499,SYZ_static!$A$2:$A$806,0)),"")))</f>
        <v/>
      </c>
      <c r="D499" s="8">
        <f>IF($A499="","",IFERROR(INDEX(SYZ_static!$B$2:$B$806,MATCH($A499,SYZ_static!$A$2:$A$806,0)),""))</f>
        <v/>
      </c>
      <c r="E499" s="8">
        <f>IF($A499="","",_xll.BDP($A499&amp;" Corp","INDUSTRY_SECTOR"))</f>
        <v/>
      </c>
      <c r="F499" s="8">
        <f>IF($A499="","",PROPER(_xll.BDP($A499&amp;" Corp","COUNTRY_FULL_NAME")))</f>
        <v/>
      </c>
      <c r="G499" s="8">
        <f>IF($A499="","",_xll.BDP($A499&amp;" Corp","CRNCY"))</f>
        <v/>
      </c>
      <c r="H499" s="8">
        <f>IF($A499="","",IFERROR(INDEX(SYZ_static!$T$2:$T$806,MATCH($A499,SYZ_static!$A$2:$A$806,0)),_xll.BDP($A499&amp;" Corp","RTG_SP")))</f>
        <v/>
      </c>
      <c r="I499" s="8">
        <f>IF($A499="","",IFERROR(INDEX(SYZ_static!$S$2:$S$806,MATCH($A499,SYZ_static!$A$2:$A$806,0)),""))</f>
        <v/>
      </c>
      <c r="J499" s="8">
        <f>IF($A499="","",_xll.BDP($A499&amp;" Corp","PAYMENT_RANK"))</f>
        <v/>
      </c>
      <c r="K499" s="9">
        <f>IF($A499="","",_xll.BDP($A499&amp;" Corp","CPN"))</f>
        <v/>
      </c>
      <c r="L499" s="10">
        <f>IF($A499="","",_xll.BDP($A499&amp;" Corp","MATURITY"))</f>
        <v/>
      </c>
      <c r="M499" s="11">
        <f>IF($A499="","",IFERROR(_xll.BDP($A499&amp;" Corp","MIN_PIECE")/1000,""))</f>
        <v/>
      </c>
      <c r="N499" s="12">
        <f>IF($A499="","",_xll.BDP($A499&amp;" Corp","PX_LAST"))</f>
        <v/>
      </c>
      <c r="O499" s="12">
        <f>IF($A499="","",_xll.BDP($A499&amp;" Corp","YAS_BOND_YLD","YAS_YLD_FLAG=15"))</f>
        <v/>
      </c>
      <c r="P499" s="12">
        <f>IF($A499="","",_xll.BDP($A499&amp;" Corp","YAS_MOD_DUR"))</f>
        <v/>
      </c>
      <c r="Q499" s="13">
        <f>IF($A499="","",_xll.BDP($A499&amp;" Corp","YAS_OAS_SPRD"))</f>
        <v/>
      </c>
      <c r="R499" s="13">
        <f>IF($A499="","",_xll.BDP($A499&amp;" Corp","YAS_OAS_SPRD","SETTLE_DT",$B$2))</f>
        <v/>
      </c>
      <c r="S499" s="14">
        <f>IF($A499="","",IF(OR(NOT(ISNUMBER($Q499)),NOT(ISNUMBER($R499))),"",$Q499-$R499))</f>
        <v/>
      </c>
      <c r="T499" s="12">
        <f>IF($A499="","",_xll.BDP($A499&amp;" Corp","YAS_BOND_YLD","YAS_YLD_FLAG=15","SETTLE_DT",$B$2))</f>
        <v/>
      </c>
      <c r="U499" s="15">
        <f>IF($A499="","",IF(OR(NOT(ISNUMBER($O499)),NOT(ISNUMBER($T499))),"",$O499-$T499))</f>
        <v/>
      </c>
      <c r="V499" s="13">
        <f>IF(NOT(ISNUMBER($S499)),"",COUNTIFS($G$7:$G$850,$G499,$S$7:$S$850,"&gt;"&amp;$S499)+COUNTIFS($G$7:$G499,$G499,$S$7:$S499,$S499))</f>
        <v/>
      </c>
      <c r="W499" s="13">
        <f>IF(NOT(ISNUMBER($S499)),"",COUNTIFS($G$7:$G$850,$G499,$S$7:$S$850,"&lt;"&amp;$S499)+COUNTIFS($G$7:$G499,$G499,$S$7:$S499,$S499))</f>
        <v/>
      </c>
      <c r="X499" s="8">
        <f>IF($V499="","",$G499&amp;"|"&amp;$V499)</f>
        <v/>
      </c>
      <c r="Y499" s="8">
        <f>IF($W499="","",$G499&amp;"|"&amp;$W499)</f>
        <v/>
      </c>
    </row>
    <row r="500">
      <c r="A500" s="16" t="inlineStr">
        <is>
          <t>US404119CP27</t>
        </is>
      </c>
      <c r="B500" s="17">
        <f>IF($A500="","",PROPER(_xll.BDP($A500&amp;" Corp","NAME")))</f>
        <v/>
      </c>
      <c r="C500" s="17">
        <f>IF($A500="","",IFERROR(INDEX(Company_desc!$B$2:$B$1144,MATCH($A500,Company_desc!$A$2:$A$1144,0)),IFERROR(INDEX(SYZ_static!$Q$2:$Q$806,MATCH($A500,SYZ_static!$A$2:$A$806,0)),"")))</f>
        <v/>
      </c>
      <c r="D500" s="17">
        <f>IF($A500="","",IFERROR(INDEX(SYZ_static!$B$2:$B$806,MATCH($A500,SYZ_static!$A$2:$A$806,0)),""))</f>
        <v/>
      </c>
      <c r="E500" s="17">
        <f>IF($A500="","",_xll.BDP($A500&amp;" Corp","INDUSTRY_SECTOR"))</f>
        <v/>
      </c>
      <c r="F500" s="17">
        <f>IF($A500="","",PROPER(_xll.BDP($A500&amp;" Corp","COUNTRY_FULL_NAME")))</f>
        <v/>
      </c>
      <c r="G500" s="17">
        <f>IF($A500="","",_xll.BDP($A500&amp;" Corp","CRNCY"))</f>
        <v/>
      </c>
      <c r="H500" s="17">
        <f>IF($A500="","",IFERROR(INDEX(SYZ_static!$T$2:$T$806,MATCH($A500,SYZ_static!$A$2:$A$806,0)),_xll.BDP($A500&amp;" Corp","RTG_SP")))</f>
        <v/>
      </c>
      <c r="I500" s="17">
        <f>IF($A500="","",IFERROR(INDEX(SYZ_static!$S$2:$S$806,MATCH($A500,SYZ_static!$A$2:$A$806,0)),""))</f>
        <v/>
      </c>
      <c r="J500" s="17">
        <f>IF($A500="","",_xll.BDP($A500&amp;" Corp","PAYMENT_RANK"))</f>
        <v/>
      </c>
      <c r="K500" s="18">
        <f>IF($A500="","",_xll.BDP($A500&amp;" Corp","CPN"))</f>
        <v/>
      </c>
      <c r="L500" s="19">
        <f>IF($A500="","",_xll.BDP($A500&amp;" Corp","MATURITY"))</f>
        <v/>
      </c>
      <c r="M500" s="20">
        <f>IF($A500="","",IFERROR(_xll.BDP($A500&amp;" Corp","MIN_PIECE")/1000,""))</f>
        <v/>
      </c>
      <c r="N500" s="21">
        <f>IF($A500="","",_xll.BDP($A500&amp;" Corp","PX_LAST"))</f>
        <v/>
      </c>
      <c r="O500" s="21">
        <f>IF($A500="","",_xll.BDP($A500&amp;" Corp","YAS_BOND_YLD","YAS_YLD_FLAG=15"))</f>
        <v/>
      </c>
      <c r="P500" s="21">
        <f>IF($A500="","",_xll.BDP($A500&amp;" Corp","YAS_MOD_DUR"))</f>
        <v/>
      </c>
      <c r="Q500" s="22">
        <f>IF($A500="","",_xll.BDP($A500&amp;" Corp","YAS_OAS_SPRD"))</f>
        <v/>
      </c>
      <c r="R500" s="22">
        <f>IF($A500="","",_xll.BDP($A500&amp;" Corp","YAS_OAS_SPRD","SETTLE_DT",$B$2))</f>
        <v/>
      </c>
      <c r="S500" s="23">
        <f>IF($A500="","",IF(OR(NOT(ISNUMBER($Q500)),NOT(ISNUMBER($R500))),"",$Q500-$R500))</f>
        <v/>
      </c>
      <c r="T500" s="21">
        <f>IF($A500="","",_xll.BDP($A500&amp;" Corp","YAS_BOND_YLD","YAS_YLD_FLAG=15","SETTLE_DT",$B$2))</f>
        <v/>
      </c>
      <c r="U500" s="24">
        <f>IF($A500="","",IF(OR(NOT(ISNUMBER($O500)),NOT(ISNUMBER($T500))),"",$O500-$T500))</f>
        <v/>
      </c>
      <c r="V500" s="22">
        <f>IF(NOT(ISNUMBER($S500)),"",COUNTIFS($G$7:$G$850,$G500,$S$7:$S$850,"&gt;"&amp;$S500)+COUNTIFS($G$7:$G500,$G500,$S$7:$S500,$S500))</f>
        <v/>
      </c>
      <c r="W500" s="22">
        <f>IF(NOT(ISNUMBER($S500)),"",COUNTIFS($G$7:$G$850,$G500,$S$7:$S$850,"&lt;"&amp;$S500)+COUNTIFS($G$7:$G500,$G500,$S$7:$S500,$S500))</f>
        <v/>
      </c>
      <c r="X500" s="17">
        <f>IF($V500="","",$G500&amp;"|"&amp;$V500)</f>
        <v/>
      </c>
      <c r="Y500" s="17">
        <f>IF($W500="","",$G500&amp;"|"&amp;$W500)</f>
        <v/>
      </c>
    </row>
    <row r="501">
      <c r="A501" s="7" t="inlineStr">
        <is>
          <t>XS2579483319</t>
        </is>
      </c>
      <c r="B501" s="8">
        <f>IF($A501="","",PROPER(_xll.BDP($A501&amp;" Corp","NAME")))</f>
        <v/>
      </c>
      <c r="C501" s="8">
        <f>IF($A501="","",IFERROR(INDEX(Company_desc!$B$2:$B$1144,MATCH($A501,Company_desc!$A$2:$A$1144,0)),IFERROR(INDEX(SYZ_static!$Q$2:$Q$806,MATCH($A501,SYZ_static!$A$2:$A$806,0)),"")))</f>
        <v/>
      </c>
      <c r="D501" s="8">
        <f>IF($A501="","",IFERROR(INDEX(SYZ_static!$B$2:$B$806,MATCH($A501,SYZ_static!$A$2:$A$806,0)),""))</f>
        <v/>
      </c>
      <c r="E501" s="8">
        <f>IF($A501="","",_xll.BDP($A501&amp;" Corp","INDUSTRY_SECTOR"))</f>
        <v/>
      </c>
      <c r="F501" s="8">
        <f>IF($A501="","",PROPER(_xll.BDP($A501&amp;" Corp","COUNTRY_FULL_NAME")))</f>
        <v/>
      </c>
      <c r="G501" s="8">
        <f>IF($A501="","",_xll.BDP($A501&amp;" Corp","CRNCY"))</f>
        <v/>
      </c>
      <c r="H501" s="8">
        <f>IF($A501="","",IFERROR(INDEX(SYZ_static!$T$2:$T$806,MATCH($A501,SYZ_static!$A$2:$A$806,0)),_xll.BDP($A501&amp;" Corp","RTG_SP")))</f>
        <v/>
      </c>
      <c r="I501" s="8">
        <f>IF($A501="","",IFERROR(INDEX(SYZ_static!$S$2:$S$806,MATCH($A501,SYZ_static!$A$2:$A$806,0)),""))</f>
        <v/>
      </c>
      <c r="J501" s="8">
        <f>IF($A501="","",_xll.BDP($A501&amp;" Corp","PAYMENT_RANK"))</f>
        <v/>
      </c>
      <c r="K501" s="9">
        <f>IF($A501="","",_xll.BDP($A501&amp;" Corp","CPN"))</f>
        <v/>
      </c>
      <c r="L501" s="10">
        <f>IF($A501="","",_xll.BDP($A501&amp;" Corp","MATURITY"))</f>
        <v/>
      </c>
      <c r="M501" s="11">
        <f>IF($A501="","",IFERROR(_xll.BDP($A501&amp;" Corp","MIN_PIECE")/1000,""))</f>
        <v/>
      </c>
      <c r="N501" s="12">
        <f>IF($A501="","",_xll.BDP($A501&amp;" Corp","PX_LAST"))</f>
        <v/>
      </c>
      <c r="O501" s="12">
        <f>IF($A501="","",_xll.BDP($A501&amp;" Corp","YAS_BOND_YLD","YAS_YLD_FLAG=15"))</f>
        <v/>
      </c>
      <c r="P501" s="12">
        <f>IF($A501="","",_xll.BDP($A501&amp;" Corp","YAS_MOD_DUR"))</f>
        <v/>
      </c>
      <c r="Q501" s="13">
        <f>IF($A501="","",_xll.BDP($A501&amp;" Corp","YAS_OAS_SPRD"))</f>
        <v/>
      </c>
      <c r="R501" s="13">
        <f>IF($A501="","",_xll.BDP($A501&amp;" Corp","YAS_OAS_SPRD","SETTLE_DT",$B$2))</f>
        <v/>
      </c>
      <c r="S501" s="14">
        <f>IF($A501="","",IF(OR(NOT(ISNUMBER($Q501)),NOT(ISNUMBER($R501))),"",$Q501-$R501))</f>
        <v/>
      </c>
      <c r="T501" s="12">
        <f>IF($A501="","",_xll.BDP($A501&amp;" Corp","YAS_BOND_YLD","YAS_YLD_FLAG=15","SETTLE_DT",$B$2))</f>
        <v/>
      </c>
      <c r="U501" s="15">
        <f>IF($A501="","",IF(OR(NOT(ISNUMBER($O501)),NOT(ISNUMBER($T501))),"",$O501-$T501))</f>
        <v/>
      </c>
      <c r="V501" s="13">
        <f>IF(NOT(ISNUMBER($S501)),"",COUNTIFS($G$7:$G$850,$G501,$S$7:$S$850,"&gt;"&amp;$S501)+COUNTIFS($G$7:$G501,$G501,$S$7:$S501,$S501))</f>
        <v/>
      </c>
      <c r="W501" s="13">
        <f>IF(NOT(ISNUMBER($S501)),"",COUNTIFS($G$7:$G$850,$G501,$S$7:$S$850,"&lt;"&amp;$S501)+COUNTIFS($G$7:$G501,$G501,$S$7:$S501,$S501))</f>
        <v/>
      </c>
      <c r="X501" s="8">
        <f>IF($V501="","",$G501&amp;"|"&amp;$V501)</f>
        <v/>
      </c>
      <c r="Y501" s="8">
        <f>IF($W501="","",$G501&amp;"|"&amp;$W501)</f>
        <v/>
      </c>
    </row>
    <row r="502">
      <c r="A502" s="16" t="inlineStr">
        <is>
          <t>XS1586555945</t>
        </is>
      </c>
      <c r="B502" s="17">
        <f>IF($A502="","",PROPER(_xll.BDP($A502&amp;" Corp","NAME")))</f>
        <v/>
      </c>
      <c r="C502" s="17">
        <f>IF($A502="","",IFERROR(INDEX(Company_desc!$B$2:$B$1144,MATCH($A502,Company_desc!$A$2:$A$1144,0)),IFERROR(INDEX(SYZ_static!$Q$2:$Q$806,MATCH($A502,SYZ_static!$A$2:$A$806,0)),"")))</f>
        <v/>
      </c>
      <c r="D502" s="17">
        <f>IF($A502="","",IFERROR(INDEX(SYZ_static!$B$2:$B$806,MATCH($A502,SYZ_static!$A$2:$A$806,0)),""))</f>
        <v/>
      </c>
      <c r="E502" s="17">
        <f>IF($A502="","",_xll.BDP($A502&amp;" Corp","INDUSTRY_SECTOR"))</f>
        <v/>
      </c>
      <c r="F502" s="17">
        <f>IF($A502="","",PROPER(_xll.BDP($A502&amp;" Corp","COUNTRY_FULL_NAME")))</f>
        <v/>
      </c>
      <c r="G502" s="17">
        <f>IF($A502="","",_xll.BDP($A502&amp;" Corp","CRNCY"))</f>
        <v/>
      </c>
      <c r="H502" s="17">
        <f>IF($A502="","",IFERROR(INDEX(SYZ_static!$T$2:$T$806,MATCH($A502,SYZ_static!$A$2:$A$806,0)),_xll.BDP($A502&amp;" Corp","RTG_SP")))</f>
        <v/>
      </c>
      <c r="I502" s="17">
        <f>IF($A502="","",IFERROR(INDEX(SYZ_static!$S$2:$S$806,MATCH($A502,SYZ_static!$A$2:$A$806,0)),""))</f>
        <v/>
      </c>
      <c r="J502" s="17">
        <f>IF($A502="","",_xll.BDP($A502&amp;" Corp","PAYMENT_RANK"))</f>
        <v/>
      </c>
      <c r="K502" s="18">
        <f>IF($A502="","",_xll.BDP($A502&amp;" Corp","CPN"))</f>
        <v/>
      </c>
      <c r="L502" s="19">
        <f>IF($A502="","",_xll.BDP($A502&amp;" Corp","MATURITY"))</f>
        <v/>
      </c>
      <c r="M502" s="20">
        <f>IF($A502="","",IFERROR(_xll.BDP($A502&amp;" Corp","MIN_PIECE")/1000,""))</f>
        <v/>
      </c>
      <c r="N502" s="21">
        <f>IF($A502="","",_xll.BDP($A502&amp;" Corp","PX_LAST"))</f>
        <v/>
      </c>
      <c r="O502" s="21">
        <f>IF($A502="","",_xll.BDP($A502&amp;" Corp","YAS_BOND_YLD","YAS_YLD_FLAG=15"))</f>
        <v/>
      </c>
      <c r="P502" s="21">
        <f>IF($A502="","",_xll.BDP($A502&amp;" Corp","YAS_MOD_DUR"))</f>
        <v/>
      </c>
      <c r="Q502" s="22">
        <f>IF($A502="","",_xll.BDP($A502&amp;" Corp","YAS_OAS_SPRD"))</f>
        <v/>
      </c>
      <c r="R502" s="22">
        <f>IF($A502="","",_xll.BDP($A502&amp;" Corp","YAS_OAS_SPRD","SETTLE_DT",$B$2))</f>
        <v/>
      </c>
      <c r="S502" s="23">
        <f>IF($A502="","",IF(OR(NOT(ISNUMBER($Q502)),NOT(ISNUMBER($R502))),"",$Q502-$R502))</f>
        <v/>
      </c>
      <c r="T502" s="21">
        <f>IF($A502="","",_xll.BDP($A502&amp;" Corp","YAS_BOND_YLD","YAS_YLD_FLAG=15","SETTLE_DT",$B$2))</f>
        <v/>
      </c>
      <c r="U502" s="24">
        <f>IF($A502="","",IF(OR(NOT(ISNUMBER($O502)),NOT(ISNUMBER($T502))),"",$O502-$T502))</f>
        <v/>
      </c>
      <c r="V502" s="22">
        <f>IF(NOT(ISNUMBER($S502)),"",COUNTIFS($G$7:$G$850,$G502,$S$7:$S$850,"&gt;"&amp;$S502)+COUNTIFS($G$7:$G502,$G502,$S$7:$S502,$S502))</f>
        <v/>
      </c>
      <c r="W502" s="22">
        <f>IF(NOT(ISNUMBER($S502)),"",COUNTIFS($G$7:$G$850,$G502,$S$7:$S$850,"&lt;"&amp;$S502)+COUNTIFS($G$7:$G502,$G502,$S$7:$S502,$S502))</f>
        <v/>
      </c>
      <c r="X502" s="17">
        <f>IF($V502="","",$G502&amp;"|"&amp;$V502)</f>
        <v/>
      </c>
      <c r="Y502" s="17">
        <f>IF($W502="","",$G502&amp;"|"&amp;$W502)</f>
        <v/>
      </c>
    </row>
    <row r="503">
      <c r="A503" s="7" t="inlineStr">
        <is>
          <t>XS0162990229</t>
        </is>
      </c>
      <c r="B503" s="8">
        <f>IF($A503="","",PROPER(_xll.BDP($A503&amp;" Corp","NAME")))</f>
        <v/>
      </c>
      <c r="C503" s="8">
        <f>IF($A503="","",IFERROR(INDEX(Company_desc!$B$2:$B$1144,MATCH($A503,Company_desc!$A$2:$A$1144,0)),IFERROR(INDEX(SYZ_static!$Q$2:$Q$806,MATCH($A503,SYZ_static!$A$2:$A$806,0)),"")))</f>
        <v/>
      </c>
      <c r="D503" s="8">
        <f>IF($A503="","",IFERROR(INDEX(SYZ_static!$B$2:$B$806,MATCH($A503,SYZ_static!$A$2:$A$806,0)),""))</f>
        <v/>
      </c>
      <c r="E503" s="8">
        <f>IF($A503="","",_xll.BDP($A503&amp;" Corp","INDUSTRY_SECTOR"))</f>
        <v/>
      </c>
      <c r="F503" s="8">
        <f>IF($A503="","",PROPER(_xll.BDP($A503&amp;" Corp","COUNTRY_FULL_NAME")))</f>
        <v/>
      </c>
      <c r="G503" s="8">
        <f>IF($A503="","",_xll.BDP($A503&amp;" Corp","CRNCY"))</f>
        <v/>
      </c>
      <c r="H503" s="8">
        <f>IF($A503="","",IFERROR(INDEX(SYZ_static!$T$2:$T$806,MATCH($A503,SYZ_static!$A$2:$A$806,0)),_xll.BDP($A503&amp;" Corp","RTG_SP")))</f>
        <v/>
      </c>
      <c r="I503" s="8">
        <f>IF($A503="","",IFERROR(INDEX(SYZ_static!$S$2:$S$806,MATCH($A503,SYZ_static!$A$2:$A$806,0)),""))</f>
        <v/>
      </c>
      <c r="J503" s="8">
        <f>IF($A503="","",_xll.BDP($A503&amp;" Corp","PAYMENT_RANK"))</f>
        <v/>
      </c>
      <c r="K503" s="9">
        <f>IF($A503="","",_xll.BDP($A503&amp;" Corp","CPN"))</f>
        <v/>
      </c>
      <c r="L503" s="10">
        <f>IF($A503="","",_xll.BDP($A503&amp;" Corp","MATURITY"))</f>
        <v/>
      </c>
      <c r="M503" s="11">
        <f>IF($A503="","",IFERROR(_xll.BDP($A503&amp;" Corp","MIN_PIECE")/1000,""))</f>
        <v/>
      </c>
      <c r="N503" s="12">
        <f>IF($A503="","",_xll.BDP($A503&amp;" Corp","PX_LAST"))</f>
        <v/>
      </c>
      <c r="O503" s="12">
        <f>IF($A503="","",_xll.BDP($A503&amp;" Corp","YAS_BOND_YLD","YAS_YLD_FLAG=15"))</f>
        <v/>
      </c>
      <c r="P503" s="12">
        <f>IF($A503="","",_xll.BDP($A503&amp;" Corp","YAS_MOD_DUR"))</f>
        <v/>
      </c>
      <c r="Q503" s="13">
        <f>IF($A503="","",_xll.BDP($A503&amp;" Corp","YAS_OAS_SPRD"))</f>
        <v/>
      </c>
      <c r="R503" s="13">
        <f>IF($A503="","",_xll.BDP($A503&amp;" Corp","YAS_OAS_SPRD","SETTLE_DT",$B$2))</f>
        <v/>
      </c>
      <c r="S503" s="14">
        <f>IF($A503="","",IF(OR(NOT(ISNUMBER($Q503)),NOT(ISNUMBER($R503))),"",$Q503-$R503))</f>
        <v/>
      </c>
      <c r="T503" s="12">
        <f>IF($A503="","",_xll.BDP($A503&amp;" Corp","YAS_BOND_YLD","YAS_YLD_FLAG=15","SETTLE_DT",$B$2))</f>
        <v/>
      </c>
      <c r="U503" s="15">
        <f>IF($A503="","",IF(OR(NOT(ISNUMBER($O503)),NOT(ISNUMBER($T503))),"",$O503-$T503))</f>
        <v/>
      </c>
      <c r="V503" s="13">
        <f>IF(NOT(ISNUMBER($S503)),"",COUNTIFS($G$7:$G$850,$G503,$S$7:$S$850,"&gt;"&amp;$S503)+COUNTIFS($G$7:$G503,$G503,$S$7:$S503,$S503))</f>
        <v/>
      </c>
      <c r="W503" s="13">
        <f>IF(NOT(ISNUMBER($S503)),"",COUNTIFS($G$7:$G$850,$G503,$S$7:$S$850,"&lt;"&amp;$S503)+COUNTIFS($G$7:$G503,$G503,$S$7:$S503,$S503))</f>
        <v/>
      </c>
      <c r="X503" s="8">
        <f>IF($V503="","",$G503&amp;"|"&amp;$V503)</f>
        <v/>
      </c>
      <c r="Y503" s="8">
        <f>IF($W503="","",$G503&amp;"|"&amp;$W503)</f>
        <v/>
      </c>
    </row>
    <row r="504">
      <c r="A504" s="16" t="inlineStr">
        <is>
          <t>US716973AE24</t>
        </is>
      </c>
      <c r="B504" s="17">
        <f>IF($A504="","",PROPER(_xll.BDP($A504&amp;" Corp","NAME")))</f>
        <v/>
      </c>
      <c r="C504" s="17">
        <f>IF($A504="","",IFERROR(INDEX(Company_desc!$B$2:$B$1144,MATCH($A504,Company_desc!$A$2:$A$1144,0)),IFERROR(INDEX(SYZ_static!$Q$2:$Q$806,MATCH($A504,SYZ_static!$A$2:$A$806,0)),"")))</f>
        <v/>
      </c>
      <c r="D504" s="17">
        <f>IF($A504="","",IFERROR(INDEX(SYZ_static!$B$2:$B$806,MATCH($A504,SYZ_static!$A$2:$A$806,0)),""))</f>
        <v/>
      </c>
      <c r="E504" s="17">
        <f>IF($A504="","",_xll.BDP($A504&amp;" Corp","INDUSTRY_SECTOR"))</f>
        <v/>
      </c>
      <c r="F504" s="17">
        <f>IF($A504="","",PROPER(_xll.BDP($A504&amp;" Corp","COUNTRY_FULL_NAME")))</f>
        <v/>
      </c>
      <c r="G504" s="17">
        <f>IF($A504="","",_xll.BDP($A504&amp;" Corp","CRNCY"))</f>
        <v/>
      </c>
      <c r="H504" s="17">
        <f>IF($A504="","",IFERROR(INDEX(SYZ_static!$T$2:$T$806,MATCH($A504,SYZ_static!$A$2:$A$806,0)),_xll.BDP($A504&amp;" Corp","RTG_SP")))</f>
        <v/>
      </c>
      <c r="I504" s="17">
        <f>IF($A504="","",IFERROR(INDEX(SYZ_static!$S$2:$S$806,MATCH($A504,SYZ_static!$A$2:$A$806,0)),""))</f>
        <v/>
      </c>
      <c r="J504" s="17">
        <f>IF($A504="","",_xll.BDP($A504&amp;" Corp","PAYMENT_RANK"))</f>
        <v/>
      </c>
      <c r="K504" s="18">
        <f>IF($A504="","",_xll.BDP($A504&amp;" Corp","CPN"))</f>
        <v/>
      </c>
      <c r="L504" s="19">
        <f>IF($A504="","",_xll.BDP($A504&amp;" Corp","MATURITY"))</f>
        <v/>
      </c>
      <c r="M504" s="20">
        <f>IF($A504="","",IFERROR(_xll.BDP($A504&amp;" Corp","MIN_PIECE")/1000,""))</f>
        <v/>
      </c>
      <c r="N504" s="21">
        <f>IF($A504="","",_xll.BDP($A504&amp;" Corp","PX_LAST"))</f>
        <v/>
      </c>
      <c r="O504" s="21">
        <f>IF($A504="","",_xll.BDP($A504&amp;" Corp","YAS_BOND_YLD","YAS_YLD_FLAG=15"))</f>
        <v/>
      </c>
      <c r="P504" s="21">
        <f>IF($A504="","",_xll.BDP($A504&amp;" Corp","YAS_MOD_DUR"))</f>
        <v/>
      </c>
      <c r="Q504" s="22">
        <f>IF($A504="","",_xll.BDP($A504&amp;" Corp","YAS_OAS_SPRD"))</f>
        <v/>
      </c>
      <c r="R504" s="22">
        <f>IF($A504="","",_xll.BDP($A504&amp;" Corp","YAS_OAS_SPRD","SETTLE_DT",$B$2))</f>
        <v/>
      </c>
      <c r="S504" s="23">
        <f>IF($A504="","",IF(OR(NOT(ISNUMBER($Q504)),NOT(ISNUMBER($R504))),"",$Q504-$R504))</f>
        <v/>
      </c>
      <c r="T504" s="21">
        <f>IF($A504="","",_xll.BDP($A504&amp;" Corp","YAS_BOND_YLD","YAS_YLD_FLAG=15","SETTLE_DT",$B$2))</f>
        <v/>
      </c>
      <c r="U504" s="24">
        <f>IF($A504="","",IF(OR(NOT(ISNUMBER($O504)),NOT(ISNUMBER($T504))),"",$O504-$T504))</f>
        <v/>
      </c>
      <c r="V504" s="22">
        <f>IF(NOT(ISNUMBER($S504)),"",COUNTIFS($G$7:$G$850,$G504,$S$7:$S$850,"&gt;"&amp;$S504)+COUNTIFS($G$7:$G504,$G504,$S$7:$S504,$S504))</f>
        <v/>
      </c>
      <c r="W504" s="22">
        <f>IF(NOT(ISNUMBER($S504)),"",COUNTIFS($G$7:$G$850,$G504,$S$7:$S$850,"&lt;"&amp;$S504)+COUNTIFS($G$7:$G504,$G504,$S$7:$S504,$S504))</f>
        <v/>
      </c>
      <c r="X504" s="17">
        <f>IF($V504="","",$G504&amp;"|"&amp;$V504)</f>
        <v/>
      </c>
      <c r="Y504" s="17">
        <f>IF($W504="","",$G504&amp;"|"&amp;$W504)</f>
        <v/>
      </c>
    </row>
    <row r="505">
      <c r="A505" s="7" t="inlineStr">
        <is>
          <t>US455780DR40</t>
        </is>
      </c>
      <c r="B505" s="8">
        <f>IF($A505="","",PROPER(_xll.BDP($A505&amp;" Corp","NAME")))</f>
        <v/>
      </c>
      <c r="C505" s="8">
        <f>IF($A505="","",IFERROR(INDEX(Company_desc!$B$2:$B$1144,MATCH($A505,Company_desc!$A$2:$A$1144,0)),IFERROR(INDEX(SYZ_static!$Q$2:$Q$806,MATCH($A505,SYZ_static!$A$2:$A$806,0)),"")))</f>
        <v/>
      </c>
      <c r="D505" s="8">
        <f>IF($A505="","",IFERROR(INDEX(SYZ_static!$B$2:$B$806,MATCH($A505,SYZ_static!$A$2:$A$806,0)),""))</f>
        <v/>
      </c>
      <c r="E505" s="8">
        <f>IF($A505="","",_xll.BDP($A505&amp;" Corp","INDUSTRY_SECTOR"))</f>
        <v/>
      </c>
      <c r="F505" s="8">
        <f>IF($A505="","",PROPER(_xll.BDP($A505&amp;" Corp","COUNTRY_FULL_NAME")))</f>
        <v/>
      </c>
      <c r="G505" s="8">
        <f>IF($A505="","",_xll.BDP($A505&amp;" Corp","CRNCY"))</f>
        <v/>
      </c>
      <c r="H505" s="8">
        <f>IF($A505="","",IFERROR(INDEX(SYZ_static!$T$2:$T$806,MATCH($A505,SYZ_static!$A$2:$A$806,0)),_xll.BDP($A505&amp;" Corp","RTG_SP")))</f>
        <v/>
      </c>
      <c r="I505" s="8">
        <f>IF($A505="","",IFERROR(INDEX(SYZ_static!$S$2:$S$806,MATCH($A505,SYZ_static!$A$2:$A$806,0)),""))</f>
        <v/>
      </c>
      <c r="J505" s="8">
        <f>IF($A505="","",_xll.BDP($A505&amp;" Corp","PAYMENT_RANK"))</f>
        <v/>
      </c>
      <c r="K505" s="9">
        <f>IF($A505="","",_xll.BDP($A505&amp;" Corp","CPN"))</f>
        <v/>
      </c>
      <c r="L505" s="10">
        <f>IF($A505="","",_xll.BDP($A505&amp;" Corp","MATURITY"))</f>
        <v/>
      </c>
      <c r="M505" s="11">
        <f>IF($A505="","",IFERROR(_xll.BDP($A505&amp;" Corp","MIN_PIECE")/1000,""))</f>
        <v/>
      </c>
      <c r="N505" s="12">
        <f>IF($A505="","",_xll.BDP($A505&amp;" Corp","PX_LAST"))</f>
        <v/>
      </c>
      <c r="O505" s="12">
        <f>IF($A505="","",_xll.BDP($A505&amp;" Corp","YAS_BOND_YLD","YAS_YLD_FLAG=15"))</f>
        <v/>
      </c>
      <c r="P505" s="12">
        <f>IF($A505="","",_xll.BDP($A505&amp;" Corp","YAS_MOD_DUR"))</f>
        <v/>
      </c>
      <c r="Q505" s="13">
        <f>IF($A505="","",_xll.BDP($A505&amp;" Corp","YAS_OAS_SPRD"))</f>
        <v/>
      </c>
      <c r="R505" s="13">
        <f>IF($A505="","",_xll.BDP($A505&amp;" Corp","YAS_OAS_SPRD","SETTLE_DT",$B$2))</f>
        <v/>
      </c>
      <c r="S505" s="14">
        <f>IF($A505="","",IF(OR(NOT(ISNUMBER($Q505)),NOT(ISNUMBER($R505))),"",$Q505-$R505))</f>
        <v/>
      </c>
      <c r="T505" s="12">
        <f>IF($A505="","",_xll.BDP($A505&amp;" Corp","YAS_BOND_YLD","YAS_YLD_FLAG=15","SETTLE_DT",$B$2))</f>
        <v/>
      </c>
      <c r="U505" s="15">
        <f>IF($A505="","",IF(OR(NOT(ISNUMBER($O505)),NOT(ISNUMBER($T505))),"",$O505-$T505))</f>
        <v/>
      </c>
      <c r="V505" s="13">
        <f>IF(NOT(ISNUMBER($S505)),"",COUNTIFS($G$7:$G$850,$G505,$S$7:$S$850,"&gt;"&amp;$S505)+COUNTIFS($G$7:$G505,$G505,$S$7:$S505,$S505))</f>
        <v/>
      </c>
      <c r="W505" s="13">
        <f>IF(NOT(ISNUMBER($S505)),"",COUNTIFS($G$7:$G$850,$G505,$S$7:$S$850,"&lt;"&amp;$S505)+COUNTIFS($G$7:$G505,$G505,$S$7:$S505,$S505))</f>
        <v/>
      </c>
      <c r="X505" s="8">
        <f>IF($V505="","",$G505&amp;"|"&amp;$V505)</f>
        <v/>
      </c>
      <c r="Y505" s="8">
        <f>IF($W505="","",$G505&amp;"|"&amp;$W505)</f>
        <v/>
      </c>
    </row>
    <row r="506">
      <c r="A506" s="16" t="inlineStr">
        <is>
          <t>US78016FZX58</t>
        </is>
      </c>
      <c r="B506" s="17">
        <f>IF($A506="","",PROPER(_xll.BDP($A506&amp;" Corp","NAME")))</f>
        <v/>
      </c>
      <c r="C506" s="17">
        <f>IF($A506="","",IFERROR(INDEX(Company_desc!$B$2:$B$1144,MATCH($A506,Company_desc!$A$2:$A$1144,0)),IFERROR(INDEX(SYZ_static!$Q$2:$Q$806,MATCH($A506,SYZ_static!$A$2:$A$806,0)),"")))</f>
        <v/>
      </c>
      <c r="D506" s="17">
        <f>IF($A506="","",IFERROR(INDEX(SYZ_static!$B$2:$B$806,MATCH($A506,SYZ_static!$A$2:$A$806,0)),""))</f>
        <v/>
      </c>
      <c r="E506" s="17">
        <f>IF($A506="","",_xll.BDP($A506&amp;" Corp","INDUSTRY_SECTOR"))</f>
        <v/>
      </c>
      <c r="F506" s="17">
        <f>IF($A506="","",PROPER(_xll.BDP($A506&amp;" Corp","COUNTRY_FULL_NAME")))</f>
        <v/>
      </c>
      <c r="G506" s="17">
        <f>IF($A506="","",_xll.BDP($A506&amp;" Corp","CRNCY"))</f>
        <v/>
      </c>
      <c r="H506" s="17">
        <f>IF($A506="","",IFERROR(INDEX(SYZ_static!$T$2:$T$806,MATCH($A506,SYZ_static!$A$2:$A$806,0)),_xll.BDP($A506&amp;" Corp","RTG_SP")))</f>
        <v/>
      </c>
      <c r="I506" s="17">
        <f>IF($A506="","",IFERROR(INDEX(SYZ_static!$S$2:$S$806,MATCH($A506,SYZ_static!$A$2:$A$806,0)),""))</f>
        <v/>
      </c>
      <c r="J506" s="17">
        <f>IF($A506="","",_xll.BDP($A506&amp;" Corp","PAYMENT_RANK"))</f>
        <v/>
      </c>
      <c r="K506" s="18">
        <f>IF($A506="","",_xll.BDP($A506&amp;" Corp","CPN"))</f>
        <v/>
      </c>
      <c r="L506" s="19">
        <f>IF($A506="","",_xll.BDP($A506&amp;" Corp","MATURITY"))</f>
        <v/>
      </c>
      <c r="M506" s="20">
        <f>IF($A506="","",IFERROR(_xll.BDP($A506&amp;" Corp","MIN_PIECE")/1000,""))</f>
        <v/>
      </c>
      <c r="N506" s="21">
        <f>IF($A506="","",_xll.BDP($A506&amp;" Corp","PX_LAST"))</f>
        <v/>
      </c>
      <c r="O506" s="21">
        <f>IF($A506="","",_xll.BDP($A506&amp;" Corp","YAS_BOND_YLD","YAS_YLD_FLAG=15"))</f>
        <v/>
      </c>
      <c r="P506" s="21">
        <f>IF($A506="","",_xll.BDP($A506&amp;" Corp","YAS_MOD_DUR"))</f>
        <v/>
      </c>
      <c r="Q506" s="22">
        <f>IF($A506="","",_xll.BDP($A506&amp;" Corp","YAS_OAS_SPRD"))</f>
        <v/>
      </c>
      <c r="R506" s="22">
        <f>IF($A506="","",_xll.BDP($A506&amp;" Corp","YAS_OAS_SPRD","SETTLE_DT",$B$2))</f>
        <v/>
      </c>
      <c r="S506" s="23">
        <f>IF($A506="","",IF(OR(NOT(ISNUMBER($Q506)),NOT(ISNUMBER($R506))),"",$Q506-$R506))</f>
        <v/>
      </c>
      <c r="T506" s="21">
        <f>IF($A506="","",_xll.BDP($A506&amp;" Corp","YAS_BOND_YLD","YAS_YLD_FLAG=15","SETTLE_DT",$B$2))</f>
        <v/>
      </c>
      <c r="U506" s="24">
        <f>IF($A506="","",IF(OR(NOT(ISNUMBER($O506)),NOT(ISNUMBER($T506))),"",$O506-$T506))</f>
        <v/>
      </c>
      <c r="V506" s="22">
        <f>IF(NOT(ISNUMBER($S506)),"",COUNTIFS($G$7:$G$850,$G506,$S$7:$S$850,"&gt;"&amp;$S506)+COUNTIFS($G$7:$G506,$G506,$S$7:$S506,$S506))</f>
        <v/>
      </c>
      <c r="W506" s="22">
        <f>IF(NOT(ISNUMBER($S506)),"",COUNTIFS($G$7:$G$850,$G506,$S$7:$S$850,"&lt;"&amp;$S506)+COUNTIFS($G$7:$G506,$G506,$S$7:$S506,$S506))</f>
        <v/>
      </c>
      <c r="X506" s="17">
        <f>IF($V506="","",$G506&amp;"|"&amp;$V506)</f>
        <v/>
      </c>
      <c r="Y506" s="17">
        <f>IF($W506="","",$G506&amp;"|"&amp;$W506)</f>
        <v/>
      </c>
    </row>
    <row r="507">
      <c r="A507" s="7" t="inlineStr">
        <is>
          <t>XS2390400716</t>
        </is>
      </c>
      <c r="B507" s="8">
        <f>IF($A507="","",PROPER(_xll.BDP($A507&amp;" Corp","NAME")))</f>
        <v/>
      </c>
      <c r="C507" s="8">
        <f>IF($A507="","",IFERROR(INDEX(Company_desc!$B$2:$B$1144,MATCH($A507,Company_desc!$A$2:$A$1144,0)),IFERROR(INDEX(SYZ_static!$Q$2:$Q$806,MATCH($A507,SYZ_static!$A$2:$A$806,0)),"")))</f>
        <v/>
      </c>
      <c r="D507" s="8">
        <f>IF($A507="","",IFERROR(INDEX(SYZ_static!$B$2:$B$806,MATCH($A507,SYZ_static!$A$2:$A$806,0)),""))</f>
        <v/>
      </c>
      <c r="E507" s="8">
        <f>IF($A507="","",_xll.BDP($A507&amp;" Corp","INDUSTRY_SECTOR"))</f>
        <v/>
      </c>
      <c r="F507" s="8">
        <f>IF($A507="","",PROPER(_xll.BDP($A507&amp;" Corp","COUNTRY_FULL_NAME")))</f>
        <v/>
      </c>
      <c r="G507" s="8">
        <f>IF($A507="","",_xll.BDP($A507&amp;" Corp","CRNCY"))</f>
        <v/>
      </c>
      <c r="H507" s="8">
        <f>IF($A507="","",IFERROR(INDEX(SYZ_static!$T$2:$T$806,MATCH($A507,SYZ_static!$A$2:$A$806,0)),_xll.BDP($A507&amp;" Corp","RTG_SP")))</f>
        <v/>
      </c>
      <c r="I507" s="8">
        <f>IF($A507="","",IFERROR(INDEX(SYZ_static!$S$2:$S$806,MATCH($A507,SYZ_static!$A$2:$A$806,0)),""))</f>
        <v/>
      </c>
      <c r="J507" s="8">
        <f>IF($A507="","",_xll.BDP($A507&amp;" Corp","PAYMENT_RANK"))</f>
        <v/>
      </c>
      <c r="K507" s="9">
        <f>IF($A507="","",_xll.BDP($A507&amp;" Corp","CPN"))</f>
        <v/>
      </c>
      <c r="L507" s="10">
        <f>IF($A507="","",_xll.BDP($A507&amp;" Corp","MATURITY"))</f>
        <v/>
      </c>
      <c r="M507" s="11">
        <f>IF($A507="","",IFERROR(_xll.BDP($A507&amp;" Corp","MIN_PIECE")/1000,""))</f>
        <v/>
      </c>
      <c r="N507" s="12">
        <f>IF($A507="","",_xll.BDP($A507&amp;" Corp","PX_LAST"))</f>
        <v/>
      </c>
      <c r="O507" s="12">
        <f>IF($A507="","",_xll.BDP($A507&amp;" Corp","YAS_BOND_YLD","YAS_YLD_FLAG=15"))</f>
        <v/>
      </c>
      <c r="P507" s="12">
        <f>IF($A507="","",_xll.BDP($A507&amp;" Corp","YAS_MOD_DUR"))</f>
        <v/>
      </c>
      <c r="Q507" s="13">
        <f>IF($A507="","",_xll.BDP($A507&amp;" Corp","YAS_OAS_SPRD"))</f>
        <v/>
      </c>
      <c r="R507" s="13">
        <f>IF($A507="","",_xll.BDP($A507&amp;" Corp","YAS_OAS_SPRD","SETTLE_DT",$B$2))</f>
        <v/>
      </c>
      <c r="S507" s="14">
        <f>IF($A507="","",IF(OR(NOT(ISNUMBER($Q507)),NOT(ISNUMBER($R507))),"",$Q507-$R507))</f>
        <v/>
      </c>
      <c r="T507" s="12">
        <f>IF($A507="","",_xll.BDP($A507&amp;" Corp","YAS_BOND_YLD","YAS_YLD_FLAG=15","SETTLE_DT",$B$2))</f>
        <v/>
      </c>
      <c r="U507" s="15">
        <f>IF($A507="","",IF(OR(NOT(ISNUMBER($O507)),NOT(ISNUMBER($T507))),"",$O507-$T507))</f>
        <v/>
      </c>
      <c r="V507" s="13">
        <f>IF(NOT(ISNUMBER($S507)),"",COUNTIFS($G$7:$G$850,$G507,$S$7:$S$850,"&gt;"&amp;$S507)+COUNTIFS($G$7:$G507,$G507,$S$7:$S507,$S507))</f>
        <v/>
      </c>
      <c r="W507" s="13">
        <f>IF(NOT(ISNUMBER($S507)),"",COUNTIFS($G$7:$G$850,$G507,$S$7:$S$850,"&lt;"&amp;$S507)+COUNTIFS($G$7:$G507,$G507,$S$7:$S507,$S507))</f>
        <v/>
      </c>
      <c r="X507" s="8">
        <f>IF($V507="","",$G507&amp;"|"&amp;$V507)</f>
        <v/>
      </c>
      <c r="Y507" s="8">
        <f>IF($W507="","",$G507&amp;"|"&amp;$W507)</f>
        <v/>
      </c>
    </row>
    <row r="508">
      <c r="A508" s="16" t="inlineStr">
        <is>
          <t>XS2574873183</t>
        </is>
      </c>
      <c r="B508" s="17">
        <f>IF($A508="","",PROPER(_xll.BDP($A508&amp;" Corp","NAME")))</f>
        <v/>
      </c>
      <c r="C508" s="17">
        <f>IF($A508="","",IFERROR(INDEX(Company_desc!$B$2:$B$1144,MATCH($A508,Company_desc!$A$2:$A$1144,0)),IFERROR(INDEX(SYZ_static!$Q$2:$Q$806,MATCH($A508,SYZ_static!$A$2:$A$806,0)),"")))</f>
        <v/>
      </c>
      <c r="D508" s="17">
        <f>IF($A508="","",IFERROR(INDEX(SYZ_static!$B$2:$B$806,MATCH($A508,SYZ_static!$A$2:$A$806,0)),""))</f>
        <v/>
      </c>
      <c r="E508" s="17">
        <f>IF($A508="","",_xll.BDP($A508&amp;" Corp","INDUSTRY_SECTOR"))</f>
        <v/>
      </c>
      <c r="F508" s="17">
        <f>IF($A508="","",PROPER(_xll.BDP($A508&amp;" Corp","COUNTRY_FULL_NAME")))</f>
        <v/>
      </c>
      <c r="G508" s="17">
        <f>IF($A508="","",_xll.BDP($A508&amp;" Corp","CRNCY"))</f>
        <v/>
      </c>
      <c r="H508" s="17">
        <f>IF($A508="","",IFERROR(INDEX(SYZ_static!$T$2:$T$806,MATCH($A508,SYZ_static!$A$2:$A$806,0)),_xll.BDP($A508&amp;" Corp","RTG_SP")))</f>
        <v/>
      </c>
      <c r="I508" s="17">
        <f>IF($A508="","",IFERROR(INDEX(SYZ_static!$S$2:$S$806,MATCH($A508,SYZ_static!$A$2:$A$806,0)),""))</f>
        <v/>
      </c>
      <c r="J508" s="17">
        <f>IF($A508="","",_xll.BDP($A508&amp;" Corp","PAYMENT_RANK"))</f>
        <v/>
      </c>
      <c r="K508" s="18">
        <f>IF($A508="","",_xll.BDP($A508&amp;" Corp","CPN"))</f>
        <v/>
      </c>
      <c r="L508" s="19">
        <f>IF($A508="","",_xll.BDP($A508&amp;" Corp","MATURITY"))</f>
        <v/>
      </c>
      <c r="M508" s="20">
        <f>IF($A508="","",IFERROR(_xll.BDP($A508&amp;" Corp","MIN_PIECE")/1000,""))</f>
        <v/>
      </c>
      <c r="N508" s="21">
        <f>IF($A508="","",_xll.BDP($A508&amp;" Corp","PX_LAST"))</f>
        <v/>
      </c>
      <c r="O508" s="21">
        <f>IF($A508="","",_xll.BDP($A508&amp;" Corp","YAS_BOND_YLD","YAS_YLD_FLAG=15"))</f>
        <v/>
      </c>
      <c r="P508" s="21">
        <f>IF($A508="","",_xll.BDP($A508&amp;" Corp","YAS_MOD_DUR"))</f>
        <v/>
      </c>
      <c r="Q508" s="22">
        <f>IF($A508="","",_xll.BDP($A508&amp;" Corp","YAS_OAS_SPRD"))</f>
        <v/>
      </c>
      <c r="R508" s="22">
        <f>IF($A508="","",_xll.BDP($A508&amp;" Corp","YAS_OAS_SPRD","SETTLE_DT",$B$2))</f>
        <v/>
      </c>
      <c r="S508" s="23">
        <f>IF($A508="","",IF(OR(NOT(ISNUMBER($Q508)),NOT(ISNUMBER($R508))),"",$Q508-$R508))</f>
        <v/>
      </c>
      <c r="T508" s="21">
        <f>IF($A508="","",_xll.BDP($A508&amp;" Corp","YAS_BOND_YLD","YAS_YLD_FLAG=15","SETTLE_DT",$B$2))</f>
        <v/>
      </c>
      <c r="U508" s="24">
        <f>IF($A508="","",IF(OR(NOT(ISNUMBER($O508)),NOT(ISNUMBER($T508))),"",$O508-$T508))</f>
        <v/>
      </c>
      <c r="V508" s="22">
        <f>IF(NOT(ISNUMBER($S508)),"",COUNTIFS($G$7:$G$850,$G508,$S$7:$S$850,"&gt;"&amp;$S508)+COUNTIFS($G$7:$G508,$G508,$S$7:$S508,$S508))</f>
        <v/>
      </c>
      <c r="W508" s="22">
        <f>IF(NOT(ISNUMBER($S508)),"",COUNTIFS($G$7:$G$850,$G508,$S$7:$S$850,"&lt;"&amp;$S508)+COUNTIFS($G$7:$G508,$G508,$S$7:$S508,$S508))</f>
        <v/>
      </c>
      <c r="X508" s="17">
        <f>IF($V508="","",$G508&amp;"|"&amp;$V508)</f>
        <v/>
      </c>
      <c r="Y508" s="17">
        <f>IF($W508="","",$G508&amp;"|"&amp;$W508)</f>
        <v/>
      </c>
    </row>
    <row r="509">
      <c r="A509" s="7" t="inlineStr">
        <is>
          <t>XS2339427820</t>
        </is>
      </c>
      <c r="B509" s="8">
        <f>IF($A509="","",PROPER(_xll.BDP($A509&amp;" Corp","NAME")))</f>
        <v/>
      </c>
      <c r="C509" s="8">
        <f>IF($A509="","",IFERROR(INDEX(Company_desc!$B$2:$B$1144,MATCH($A509,Company_desc!$A$2:$A$1144,0)),IFERROR(INDEX(SYZ_static!$Q$2:$Q$806,MATCH($A509,SYZ_static!$A$2:$A$806,0)),"")))</f>
        <v/>
      </c>
      <c r="D509" s="8">
        <f>IF($A509="","",IFERROR(INDEX(SYZ_static!$B$2:$B$806,MATCH($A509,SYZ_static!$A$2:$A$806,0)),""))</f>
        <v/>
      </c>
      <c r="E509" s="8">
        <f>IF($A509="","",_xll.BDP($A509&amp;" Corp","INDUSTRY_SECTOR"))</f>
        <v/>
      </c>
      <c r="F509" s="8">
        <f>IF($A509="","",PROPER(_xll.BDP($A509&amp;" Corp","COUNTRY_FULL_NAME")))</f>
        <v/>
      </c>
      <c r="G509" s="8">
        <f>IF($A509="","",_xll.BDP($A509&amp;" Corp","CRNCY"))</f>
        <v/>
      </c>
      <c r="H509" s="8">
        <f>IF($A509="","",IFERROR(INDEX(SYZ_static!$T$2:$T$806,MATCH($A509,SYZ_static!$A$2:$A$806,0)),_xll.BDP($A509&amp;" Corp","RTG_SP")))</f>
        <v/>
      </c>
      <c r="I509" s="8">
        <f>IF($A509="","",IFERROR(INDEX(SYZ_static!$S$2:$S$806,MATCH($A509,SYZ_static!$A$2:$A$806,0)),""))</f>
        <v/>
      </c>
      <c r="J509" s="8">
        <f>IF($A509="","",_xll.BDP($A509&amp;" Corp","PAYMENT_RANK"))</f>
        <v/>
      </c>
      <c r="K509" s="9">
        <f>IF($A509="","",_xll.BDP($A509&amp;" Corp","CPN"))</f>
        <v/>
      </c>
      <c r="L509" s="10">
        <f>IF($A509="","",_xll.BDP($A509&amp;" Corp","MATURITY"))</f>
        <v/>
      </c>
      <c r="M509" s="11">
        <f>IF($A509="","",IFERROR(_xll.BDP($A509&amp;" Corp","MIN_PIECE")/1000,""))</f>
        <v/>
      </c>
      <c r="N509" s="12">
        <f>IF($A509="","",_xll.BDP($A509&amp;" Corp","PX_LAST"))</f>
        <v/>
      </c>
      <c r="O509" s="12">
        <f>IF($A509="","",_xll.BDP($A509&amp;" Corp","YAS_BOND_YLD","YAS_YLD_FLAG=15"))</f>
        <v/>
      </c>
      <c r="P509" s="12">
        <f>IF($A509="","",_xll.BDP($A509&amp;" Corp","YAS_MOD_DUR"))</f>
        <v/>
      </c>
      <c r="Q509" s="13">
        <f>IF($A509="","",_xll.BDP($A509&amp;" Corp","YAS_OAS_SPRD"))</f>
        <v/>
      </c>
      <c r="R509" s="13">
        <f>IF($A509="","",_xll.BDP($A509&amp;" Corp","YAS_OAS_SPRD","SETTLE_DT",$B$2))</f>
        <v/>
      </c>
      <c r="S509" s="14">
        <f>IF($A509="","",IF(OR(NOT(ISNUMBER($Q509)),NOT(ISNUMBER($R509))),"",$Q509-$R509))</f>
        <v/>
      </c>
      <c r="T509" s="12">
        <f>IF($A509="","",_xll.BDP($A509&amp;" Corp","YAS_BOND_YLD","YAS_YLD_FLAG=15","SETTLE_DT",$B$2))</f>
        <v/>
      </c>
      <c r="U509" s="15">
        <f>IF($A509="","",IF(OR(NOT(ISNUMBER($O509)),NOT(ISNUMBER($T509))),"",$O509-$T509))</f>
        <v/>
      </c>
      <c r="V509" s="13">
        <f>IF(NOT(ISNUMBER($S509)),"",COUNTIFS($G$7:$G$850,$G509,$S$7:$S$850,"&gt;"&amp;$S509)+COUNTIFS($G$7:$G509,$G509,$S$7:$S509,$S509))</f>
        <v/>
      </c>
      <c r="W509" s="13">
        <f>IF(NOT(ISNUMBER($S509)),"",COUNTIFS($G$7:$G$850,$G509,$S$7:$S$850,"&lt;"&amp;$S509)+COUNTIFS($G$7:$G509,$G509,$S$7:$S509,$S509))</f>
        <v/>
      </c>
      <c r="X509" s="8">
        <f>IF($V509="","",$G509&amp;"|"&amp;$V509)</f>
        <v/>
      </c>
      <c r="Y509" s="8">
        <f>IF($W509="","",$G509&amp;"|"&amp;$W509)</f>
        <v/>
      </c>
    </row>
    <row r="510">
      <c r="A510" s="16" t="inlineStr">
        <is>
          <t>US532457CG18</t>
        </is>
      </c>
      <c r="B510" s="17">
        <f>IF($A510="","",PROPER(_xll.BDP($A510&amp;" Corp","NAME")))</f>
        <v/>
      </c>
      <c r="C510" s="17">
        <f>IF($A510="","",IFERROR(INDEX(Company_desc!$B$2:$B$1144,MATCH($A510,Company_desc!$A$2:$A$1144,0)),IFERROR(INDEX(SYZ_static!$Q$2:$Q$806,MATCH($A510,SYZ_static!$A$2:$A$806,0)),"")))</f>
        <v/>
      </c>
      <c r="D510" s="17">
        <f>IF($A510="","",IFERROR(INDEX(SYZ_static!$B$2:$B$806,MATCH($A510,SYZ_static!$A$2:$A$806,0)),""))</f>
        <v/>
      </c>
      <c r="E510" s="17">
        <f>IF($A510="","",_xll.BDP($A510&amp;" Corp","INDUSTRY_SECTOR"))</f>
        <v/>
      </c>
      <c r="F510" s="17">
        <f>IF($A510="","",PROPER(_xll.BDP($A510&amp;" Corp","COUNTRY_FULL_NAME")))</f>
        <v/>
      </c>
      <c r="G510" s="17">
        <f>IF($A510="","",_xll.BDP($A510&amp;" Corp","CRNCY"))</f>
        <v/>
      </c>
      <c r="H510" s="17">
        <f>IF($A510="","",IFERROR(INDEX(SYZ_static!$T$2:$T$806,MATCH($A510,SYZ_static!$A$2:$A$806,0)),_xll.BDP($A510&amp;" Corp","RTG_SP")))</f>
        <v/>
      </c>
      <c r="I510" s="17">
        <f>IF($A510="","",IFERROR(INDEX(SYZ_static!$S$2:$S$806,MATCH($A510,SYZ_static!$A$2:$A$806,0)),""))</f>
        <v/>
      </c>
      <c r="J510" s="17">
        <f>IF($A510="","",_xll.BDP($A510&amp;" Corp","PAYMENT_RANK"))</f>
        <v/>
      </c>
      <c r="K510" s="18">
        <f>IF($A510="","",_xll.BDP($A510&amp;" Corp","CPN"))</f>
        <v/>
      </c>
      <c r="L510" s="19">
        <f>IF($A510="","",_xll.BDP($A510&amp;" Corp","MATURITY"))</f>
        <v/>
      </c>
      <c r="M510" s="20">
        <f>IF($A510="","",IFERROR(_xll.BDP($A510&amp;" Corp","MIN_PIECE")/1000,""))</f>
        <v/>
      </c>
      <c r="N510" s="21">
        <f>IF($A510="","",_xll.BDP($A510&amp;" Corp","PX_LAST"))</f>
        <v/>
      </c>
      <c r="O510" s="21">
        <f>IF($A510="","",_xll.BDP($A510&amp;" Corp","YAS_BOND_YLD","YAS_YLD_FLAG=15"))</f>
        <v/>
      </c>
      <c r="P510" s="21">
        <f>IF($A510="","",_xll.BDP($A510&amp;" Corp","YAS_MOD_DUR"))</f>
        <v/>
      </c>
      <c r="Q510" s="22">
        <f>IF($A510="","",_xll.BDP($A510&amp;" Corp","YAS_OAS_SPRD"))</f>
        <v/>
      </c>
      <c r="R510" s="22">
        <f>IF($A510="","",_xll.BDP($A510&amp;" Corp","YAS_OAS_SPRD","SETTLE_DT",$B$2))</f>
        <v/>
      </c>
      <c r="S510" s="23">
        <f>IF($A510="","",IF(OR(NOT(ISNUMBER($Q510)),NOT(ISNUMBER($R510))),"",$Q510-$R510))</f>
        <v/>
      </c>
      <c r="T510" s="21">
        <f>IF($A510="","",_xll.BDP($A510&amp;" Corp","YAS_BOND_YLD","YAS_YLD_FLAG=15","SETTLE_DT",$B$2))</f>
        <v/>
      </c>
      <c r="U510" s="24">
        <f>IF($A510="","",IF(OR(NOT(ISNUMBER($O510)),NOT(ISNUMBER($T510))),"",$O510-$T510))</f>
        <v/>
      </c>
      <c r="V510" s="22">
        <f>IF(NOT(ISNUMBER($S510)),"",COUNTIFS($G$7:$G$850,$G510,$S$7:$S$850,"&gt;"&amp;$S510)+COUNTIFS($G$7:$G510,$G510,$S$7:$S510,$S510))</f>
        <v/>
      </c>
      <c r="W510" s="22">
        <f>IF(NOT(ISNUMBER($S510)),"",COUNTIFS($G$7:$G$850,$G510,$S$7:$S$850,"&lt;"&amp;$S510)+COUNTIFS($G$7:$G510,$G510,$S$7:$S510,$S510))</f>
        <v/>
      </c>
      <c r="X510" s="17">
        <f>IF($V510="","",$G510&amp;"|"&amp;$V510)</f>
        <v/>
      </c>
      <c r="Y510" s="17">
        <f>IF($W510="","",$G510&amp;"|"&amp;$W510)</f>
        <v/>
      </c>
    </row>
    <row r="511">
      <c r="A511" s="7" t="inlineStr">
        <is>
          <t>XS2441552192</t>
        </is>
      </c>
      <c r="B511" s="8">
        <f>IF($A511="","",PROPER(_xll.BDP($A511&amp;" Corp","NAME")))</f>
        <v/>
      </c>
      <c r="C511" s="8">
        <f>IF($A511="","",IFERROR(INDEX(Company_desc!$B$2:$B$1144,MATCH($A511,Company_desc!$A$2:$A$1144,0)),IFERROR(INDEX(SYZ_static!$Q$2:$Q$806,MATCH($A511,SYZ_static!$A$2:$A$806,0)),"")))</f>
        <v/>
      </c>
      <c r="D511" s="8">
        <f>IF($A511="","",IFERROR(INDEX(SYZ_static!$B$2:$B$806,MATCH($A511,SYZ_static!$A$2:$A$806,0)),""))</f>
        <v/>
      </c>
      <c r="E511" s="8">
        <f>IF($A511="","",_xll.BDP($A511&amp;" Corp","INDUSTRY_SECTOR"))</f>
        <v/>
      </c>
      <c r="F511" s="8">
        <f>IF($A511="","",PROPER(_xll.BDP($A511&amp;" Corp","COUNTRY_FULL_NAME")))</f>
        <v/>
      </c>
      <c r="G511" s="8">
        <f>IF($A511="","",_xll.BDP($A511&amp;" Corp","CRNCY"))</f>
        <v/>
      </c>
      <c r="H511" s="8">
        <f>IF($A511="","",IFERROR(INDEX(SYZ_static!$T$2:$T$806,MATCH($A511,SYZ_static!$A$2:$A$806,0)),_xll.BDP($A511&amp;" Corp","RTG_SP")))</f>
        <v/>
      </c>
      <c r="I511" s="8">
        <f>IF($A511="","",IFERROR(INDEX(SYZ_static!$S$2:$S$806,MATCH($A511,SYZ_static!$A$2:$A$806,0)),""))</f>
        <v/>
      </c>
      <c r="J511" s="8">
        <f>IF($A511="","",_xll.BDP($A511&amp;" Corp","PAYMENT_RANK"))</f>
        <v/>
      </c>
      <c r="K511" s="9">
        <f>IF($A511="","",_xll.BDP($A511&amp;" Corp","CPN"))</f>
        <v/>
      </c>
      <c r="L511" s="10">
        <f>IF($A511="","",_xll.BDP($A511&amp;" Corp","MATURITY"))</f>
        <v/>
      </c>
      <c r="M511" s="11">
        <f>IF($A511="","",IFERROR(_xll.BDP($A511&amp;" Corp","MIN_PIECE")/1000,""))</f>
        <v/>
      </c>
      <c r="N511" s="12">
        <f>IF($A511="","",_xll.BDP($A511&amp;" Corp","PX_LAST"))</f>
        <v/>
      </c>
      <c r="O511" s="12">
        <f>IF($A511="","",_xll.BDP($A511&amp;" Corp","YAS_BOND_YLD","YAS_YLD_FLAG=15"))</f>
        <v/>
      </c>
      <c r="P511" s="12">
        <f>IF($A511="","",_xll.BDP($A511&amp;" Corp","YAS_MOD_DUR"))</f>
        <v/>
      </c>
      <c r="Q511" s="13">
        <f>IF($A511="","",_xll.BDP($A511&amp;" Corp","YAS_OAS_SPRD"))</f>
        <v/>
      </c>
      <c r="R511" s="13">
        <f>IF($A511="","",_xll.BDP($A511&amp;" Corp","YAS_OAS_SPRD","SETTLE_DT",$B$2))</f>
        <v/>
      </c>
      <c r="S511" s="14">
        <f>IF($A511="","",IF(OR(NOT(ISNUMBER($Q511)),NOT(ISNUMBER($R511))),"",$Q511-$R511))</f>
        <v/>
      </c>
      <c r="T511" s="12">
        <f>IF($A511="","",_xll.BDP($A511&amp;" Corp","YAS_BOND_YLD","YAS_YLD_FLAG=15","SETTLE_DT",$B$2))</f>
        <v/>
      </c>
      <c r="U511" s="15">
        <f>IF($A511="","",IF(OR(NOT(ISNUMBER($O511)),NOT(ISNUMBER($T511))),"",$O511-$T511))</f>
        <v/>
      </c>
      <c r="V511" s="13">
        <f>IF(NOT(ISNUMBER($S511)),"",COUNTIFS($G$7:$G$850,$G511,$S$7:$S$850,"&gt;"&amp;$S511)+COUNTIFS($G$7:$G511,$G511,$S$7:$S511,$S511))</f>
        <v/>
      </c>
      <c r="W511" s="13">
        <f>IF(NOT(ISNUMBER($S511)),"",COUNTIFS($G$7:$G$850,$G511,$S$7:$S$850,"&lt;"&amp;$S511)+COUNTIFS($G$7:$G511,$G511,$S$7:$S511,$S511))</f>
        <v/>
      </c>
      <c r="X511" s="8">
        <f>IF($V511="","",$G511&amp;"|"&amp;$V511)</f>
        <v/>
      </c>
      <c r="Y511" s="8">
        <f>IF($W511="","",$G511&amp;"|"&amp;$W511)</f>
        <v/>
      </c>
    </row>
    <row r="512">
      <c r="A512" s="16" t="inlineStr">
        <is>
          <t>CH1371736815</t>
        </is>
      </c>
      <c r="B512" s="17">
        <f>IF($A512="","",PROPER(_xll.BDP($A512&amp;" Corp","NAME")))</f>
        <v/>
      </c>
      <c r="C512" s="17">
        <f>IF($A512="","",IFERROR(INDEX(Company_desc!$B$2:$B$1144,MATCH($A512,Company_desc!$A$2:$A$1144,0)),IFERROR(INDEX(SYZ_static!$Q$2:$Q$806,MATCH($A512,SYZ_static!$A$2:$A$806,0)),"")))</f>
        <v/>
      </c>
      <c r="D512" s="17">
        <f>IF($A512="","",IFERROR(INDEX(SYZ_static!$B$2:$B$806,MATCH($A512,SYZ_static!$A$2:$A$806,0)),""))</f>
        <v/>
      </c>
      <c r="E512" s="17">
        <f>IF($A512="","",_xll.BDP($A512&amp;" Corp","INDUSTRY_SECTOR"))</f>
        <v/>
      </c>
      <c r="F512" s="17">
        <f>IF($A512="","",PROPER(_xll.BDP($A512&amp;" Corp","COUNTRY_FULL_NAME")))</f>
        <v/>
      </c>
      <c r="G512" s="17">
        <f>IF($A512="","",_xll.BDP($A512&amp;" Corp","CRNCY"))</f>
        <v/>
      </c>
      <c r="H512" s="17">
        <f>IF($A512="","",IFERROR(INDEX(SYZ_static!$T$2:$T$806,MATCH($A512,SYZ_static!$A$2:$A$806,0)),_xll.BDP($A512&amp;" Corp","RTG_SP")))</f>
        <v/>
      </c>
      <c r="I512" s="17">
        <f>IF($A512="","",IFERROR(INDEX(SYZ_static!$S$2:$S$806,MATCH($A512,SYZ_static!$A$2:$A$806,0)),""))</f>
        <v/>
      </c>
      <c r="J512" s="17">
        <f>IF($A512="","",_xll.BDP($A512&amp;" Corp","PAYMENT_RANK"))</f>
        <v/>
      </c>
      <c r="K512" s="18">
        <f>IF($A512="","",_xll.BDP($A512&amp;" Corp","CPN"))</f>
        <v/>
      </c>
      <c r="L512" s="19">
        <f>IF($A512="","",_xll.BDP($A512&amp;" Corp","MATURITY"))</f>
        <v/>
      </c>
      <c r="M512" s="20">
        <f>IF($A512="","",IFERROR(_xll.BDP($A512&amp;" Corp","MIN_PIECE")/1000,""))</f>
        <v/>
      </c>
      <c r="N512" s="21">
        <f>IF($A512="","",_xll.BDP($A512&amp;" Corp","PX_LAST"))</f>
        <v/>
      </c>
      <c r="O512" s="21">
        <f>IF($A512="","",_xll.BDP($A512&amp;" Corp","YAS_BOND_YLD","YAS_YLD_FLAG=15"))</f>
        <v/>
      </c>
      <c r="P512" s="21">
        <f>IF($A512="","",_xll.BDP($A512&amp;" Corp","YAS_MOD_DUR"))</f>
        <v/>
      </c>
      <c r="Q512" s="22">
        <f>IF($A512="","",_xll.BDP($A512&amp;" Corp","YAS_OAS_SPRD"))</f>
        <v/>
      </c>
      <c r="R512" s="22">
        <f>IF($A512="","",_xll.BDP($A512&amp;" Corp","YAS_OAS_SPRD","SETTLE_DT",$B$2))</f>
        <v/>
      </c>
      <c r="S512" s="23">
        <f>IF($A512="","",IF(OR(NOT(ISNUMBER($Q512)),NOT(ISNUMBER($R512))),"",$Q512-$R512))</f>
        <v/>
      </c>
      <c r="T512" s="21">
        <f>IF($A512="","",_xll.BDP($A512&amp;" Corp","YAS_BOND_YLD","YAS_YLD_FLAG=15","SETTLE_DT",$B$2))</f>
        <v/>
      </c>
      <c r="U512" s="24">
        <f>IF($A512="","",IF(OR(NOT(ISNUMBER($O512)),NOT(ISNUMBER($T512))),"",$O512-$T512))</f>
        <v/>
      </c>
      <c r="V512" s="22">
        <f>IF(NOT(ISNUMBER($S512)),"",COUNTIFS($G$7:$G$850,$G512,$S$7:$S$850,"&gt;"&amp;$S512)+COUNTIFS($G$7:$G512,$G512,$S$7:$S512,$S512))</f>
        <v/>
      </c>
      <c r="W512" s="22">
        <f>IF(NOT(ISNUMBER($S512)),"",COUNTIFS($G$7:$G$850,$G512,$S$7:$S$850,"&lt;"&amp;$S512)+COUNTIFS($G$7:$G512,$G512,$S$7:$S512,$S512))</f>
        <v/>
      </c>
      <c r="X512" s="17">
        <f>IF($V512="","",$G512&amp;"|"&amp;$V512)</f>
        <v/>
      </c>
      <c r="Y512" s="17">
        <f>IF($W512="","",$G512&amp;"|"&amp;$W512)</f>
        <v/>
      </c>
    </row>
    <row r="513">
      <c r="A513" s="7" t="inlineStr">
        <is>
          <t>XS0928618569</t>
        </is>
      </c>
      <c r="B513" s="8">
        <f>IF($A513="","",PROPER(_xll.BDP($A513&amp;" Corp","NAME")))</f>
        <v/>
      </c>
      <c r="C513" s="8">
        <f>IF($A513="","",IFERROR(INDEX(Company_desc!$B$2:$B$1144,MATCH($A513,Company_desc!$A$2:$A$1144,0)),IFERROR(INDEX(SYZ_static!$Q$2:$Q$806,MATCH($A513,SYZ_static!$A$2:$A$806,0)),"")))</f>
        <v/>
      </c>
      <c r="D513" s="8">
        <f>IF($A513="","",IFERROR(INDEX(SYZ_static!$B$2:$B$806,MATCH($A513,SYZ_static!$A$2:$A$806,0)),""))</f>
        <v/>
      </c>
      <c r="E513" s="8">
        <f>IF($A513="","",_xll.BDP($A513&amp;" Corp","INDUSTRY_SECTOR"))</f>
        <v/>
      </c>
      <c r="F513" s="8">
        <f>IF($A513="","",PROPER(_xll.BDP($A513&amp;" Corp","COUNTRY_FULL_NAME")))</f>
        <v/>
      </c>
      <c r="G513" s="8">
        <f>IF($A513="","",_xll.BDP($A513&amp;" Corp","CRNCY"))</f>
        <v/>
      </c>
      <c r="H513" s="8">
        <f>IF($A513="","",IFERROR(INDEX(SYZ_static!$T$2:$T$806,MATCH($A513,SYZ_static!$A$2:$A$806,0)),_xll.BDP($A513&amp;" Corp","RTG_SP")))</f>
        <v/>
      </c>
      <c r="I513" s="8">
        <f>IF($A513="","",IFERROR(INDEX(SYZ_static!$S$2:$S$806,MATCH($A513,SYZ_static!$A$2:$A$806,0)),""))</f>
        <v/>
      </c>
      <c r="J513" s="8">
        <f>IF($A513="","",_xll.BDP($A513&amp;" Corp","PAYMENT_RANK"))</f>
        <v/>
      </c>
      <c r="K513" s="9">
        <f>IF($A513="","",_xll.BDP($A513&amp;" Corp","CPN"))</f>
        <v/>
      </c>
      <c r="L513" s="10">
        <f>IF($A513="","",_xll.BDP($A513&amp;" Corp","MATURITY"))</f>
        <v/>
      </c>
      <c r="M513" s="11">
        <f>IF($A513="","",IFERROR(_xll.BDP($A513&amp;" Corp","MIN_PIECE")/1000,""))</f>
        <v/>
      </c>
      <c r="N513" s="12">
        <f>IF($A513="","",_xll.BDP($A513&amp;" Corp","PX_LAST"))</f>
        <v/>
      </c>
      <c r="O513" s="12">
        <f>IF($A513="","",_xll.BDP($A513&amp;" Corp","YAS_BOND_YLD","YAS_YLD_FLAG=15"))</f>
        <v/>
      </c>
      <c r="P513" s="12">
        <f>IF($A513="","",_xll.BDP($A513&amp;" Corp","YAS_MOD_DUR"))</f>
        <v/>
      </c>
      <c r="Q513" s="13">
        <f>IF($A513="","",_xll.BDP($A513&amp;" Corp","YAS_OAS_SPRD"))</f>
        <v/>
      </c>
      <c r="R513" s="13">
        <f>IF($A513="","",_xll.BDP($A513&amp;" Corp","YAS_OAS_SPRD","SETTLE_DT",$B$2))</f>
        <v/>
      </c>
      <c r="S513" s="14">
        <f>IF($A513="","",IF(OR(NOT(ISNUMBER($Q513)),NOT(ISNUMBER($R513))),"",$Q513-$R513))</f>
        <v/>
      </c>
      <c r="T513" s="12">
        <f>IF($A513="","",_xll.BDP($A513&amp;" Corp","YAS_BOND_YLD","YAS_YLD_FLAG=15","SETTLE_DT",$B$2))</f>
        <v/>
      </c>
      <c r="U513" s="15">
        <f>IF($A513="","",IF(OR(NOT(ISNUMBER($O513)),NOT(ISNUMBER($T513))),"",$O513-$T513))</f>
        <v/>
      </c>
      <c r="V513" s="13">
        <f>IF(NOT(ISNUMBER($S513)),"",COUNTIFS($G$7:$G$850,$G513,$S$7:$S$850,"&gt;"&amp;$S513)+COUNTIFS($G$7:$G513,$G513,$S$7:$S513,$S513))</f>
        <v/>
      </c>
      <c r="W513" s="13">
        <f>IF(NOT(ISNUMBER($S513)),"",COUNTIFS($G$7:$G$850,$G513,$S$7:$S$850,"&lt;"&amp;$S513)+COUNTIFS($G$7:$G513,$G513,$S$7:$S513,$S513))</f>
        <v/>
      </c>
      <c r="X513" s="8">
        <f>IF($V513="","",$G513&amp;"|"&amp;$V513)</f>
        <v/>
      </c>
      <c r="Y513" s="8">
        <f>IF($W513="","",$G513&amp;"|"&amp;$W513)</f>
        <v/>
      </c>
    </row>
    <row r="514">
      <c r="A514" s="16" t="inlineStr">
        <is>
          <t>XS2178769159</t>
        </is>
      </c>
      <c r="B514" s="17">
        <f>IF($A514="","",PROPER(_xll.BDP($A514&amp;" Corp","NAME")))</f>
        <v/>
      </c>
      <c r="C514" s="17">
        <f>IF($A514="","",IFERROR(INDEX(Company_desc!$B$2:$B$1144,MATCH($A514,Company_desc!$A$2:$A$1144,0)),IFERROR(INDEX(SYZ_static!$Q$2:$Q$806,MATCH($A514,SYZ_static!$A$2:$A$806,0)),"")))</f>
        <v/>
      </c>
      <c r="D514" s="17">
        <f>IF($A514="","",IFERROR(INDEX(SYZ_static!$B$2:$B$806,MATCH($A514,SYZ_static!$A$2:$A$806,0)),""))</f>
        <v/>
      </c>
      <c r="E514" s="17">
        <f>IF($A514="","",_xll.BDP($A514&amp;" Corp","INDUSTRY_SECTOR"))</f>
        <v/>
      </c>
      <c r="F514" s="17">
        <f>IF($A514="","",PROPER(_xll.BDP($A514&amp;" Corp","COUNTRY_FULL_NAME")))</f>
        <v/>
      </c>
      <c r="G514" s="17">
        <f>IF($A514="","",_xll.BDP($A514&amp;" Corp","CRNCY"))</f>
        <v/>
      </c>
      <c r="H514" s="17">
        <f>IF($A514="","",IFERROR(INDEX(SYZ_static!$T$2:$T$806,MATCH($A514,SYZ_static!$A$2:$A$806,0)),_xll.BDP($A514&amp;" Corp","RTG_SP")))</f>
        <v/>
      </c>
      <c r="I514" s="17">
        <f>IF($A514="","",IFERROR(INDEX(SYZ_static!$S$2:$S$806,MATCH($A514,SYZ_static!$A$2:$A$806,0)),""))</f>
        <v/>
      </c>
      <c r="J514" s="17">
        <f>IF($A514="","",_xll.BDP($A514&amp;" Corp","PAYMENT_RANK"))</f>
        <v/>
      </c>
      <c r="K514" s="18">
        <f>IF($A514="","",_xll.BDP($A514&amp;" Corp","CPN"))</f>
        <v/>
      </c>
      <c r="L514" s="19">
        <f>IF($A514="","",_xll.BDP($A514&amp;" Corp","MATURITY"))</f>
        <v/>
      </c>
      <c r="M514" s="20">
        <f>IF($A514="","",IFERROR(_xll.BDP($A514&amp;" Corp","MIN_PIECE")/1000,""))</f>
        <v/>
      </c>
      <c r="N514" s="21">
        <f>IF($A514="","",_xll.BDP($A514&amp;" Corp","PX_LAST"))</f>
        <v/>
      </c>
      <c r="O514" s="21">
        <f>IF($A514="","",_xll.BDP($A514&amp;" Corp","YAS_BOND_YLD","YAS_YLD_FLAG=15"))</f>
        <v/>
      </c>
      <c r="P514" s="21">
        <f>IF($A514="","",_xll.BDP($A514&amp;" Corp","YAS_MOD_DUR"))</f>
        <v/>
      </c>
      <c r="Q514" s="22">
        <f>IF($A514="","",_xll.BDP($A514&amp;" Corp","YAS_OAS_SPRD"))</f>
        <v/>
      </c>
      <c r="R514" s="22">
        <f>IF($A514="","",_xll.BDP($A514&amp;" Corp","YAS_OAS_SPRD","SETTLE_DT",$B$2))</f>
        <v/>
      </c>
      <c r="S514" s="23">
        <f>IF($A514="","",IF(OR(NOT(ISNUMBER($Q514)),NOT(ISNUMBER($R514))),"",$Q514-$R514))</f>
        <v/>
      </c>
      <c r="T514" s="21">
        <f>IF($A514="","",_xll.BDP($A514&amp;" Corp","YAS_BOND_YLD","YAS_YLD_FLAG=15","SETTLE_DT",$B$2))</f>
        <v/>
      </c>
      <c r="U514" s="24">
        <f>IF($A514="","",IF(OR(NOT(ISNUMBER($O514)),NOT(ISNUMBER($T514))),"",$O514-$T514))</f>
        <v/>
      </c>
      <c r="V514" s="22">
        <f>IF(NOT(ISNUMBER($S514)),"",COUNTIFS($G$7:$G$850,$G514,$S$7:$S$850,"&gt;"&amp;$S514)+COUNTIFS($G$7:$G514,$G514,$S$7:$S514,$S514))</f>
        <v/>
      </c>
      <c r="W514" s="22">
        <f>IF(NOT(ISNUMBER($S514)),"",COUNTIFS($G$7:$G$850,$G514,$S$7:$S$850,"&lt;"&amp;$S514)+COUNTIFS($G$7:$G514,$G514,$S$7:$S514,$S514))</f>
        <v/>
      </c>
      <c r="X514" s="17">
        <f>IF($V514="","",$G514&amp;"|"&amp;$V514)</f>
        <v/>
      </c>
      <c r="Y514" s="17">
        <f>IF($W514="","",$G514&amp;"|"&amp;$W514)</f>
        <v/>
      </c>
    </row>
    <row r="515">
      <c r="A515" s="7" t="inlineStr">
        <is>
          <t>XS2084418339</t>
        </is>
      </c>
      <c r="B515" s="8">
        <f>IF($A515="","",PROPER(_xll.BDP($A515&amp;" Corp","NAME")))</f>
        <v/>
      </c>
      <c r="C515" s="8">
        <f>IF($A515="","",IFERROR(INDEX(Company_desc!$B$2:$B$1144,MATCH($A515,Company_desc!$A$2:$A$1144,0)),IFERROR(INDEX(SYZ_static!$Q$2:$Q$806,MATCH($A515,SYZ_static!$A$2:$A$806,0)),"")))</f>
        <v/>
      </c>
      <c r="D515" s="8">
        <f>IF($A515="","",IFERROR(INDEX(SYZ_static!$B$2:$B$806,MATCH($A515,SYZ_static!$A$2:$A$806,0)),""))</f>
        <v/>
      </c>
      <c r="E515" s="8">
        <f>IF($A515="","",_xll.BDP($A515&amp;" Corp","INDUSTRY_SECTOR"))</f>
        <v/>
      </c>
      <c r="F515" s="8">
        <f>IF($A515="","",PROPER(_xll.BDP($A515&amp;" Corp","COUNTRY_FULL_NAME")))</f>
        <v/>
      </c>
      <c r="G515" s="8">
        <f>IF($A515="","",_xll.BDP($A515&amp;" Corp","CRNCY"))</f>
        <v/>
      </c>
      <c r="H515" s="8">
        <f>IF($A515="","",IFERROR(INDEX(SYZ_static!$T$2:$T$806,MATCH($A515,SYZ_static!$A$2:$A$806,0)),_xll.BDP($A515&amp;" Corp","RTG_SP")))</f>
        <v/>
      </c>
      <c r="I515" s="8">
        <f>IF($A515="","",IFERROR(INDEX(SYZ_static!$S$2:$S$806,MATCH($A515,SYZ_static!$A$2:$A$806,0)),""))</f>
        <v/>
      </c>
      <c r="J515" s="8">
        <f>IF($A515="","",_xll.BDP($A515&amp;" Corp","PAYMENT_RANK"))</f>
        <v/>
      </c>
      <c r="K515" s="9">
        <f>IF($A515="","",_xll.BDP($A515&amp;" Corp","CPN"))</f>
        <v/>
      </c>
      <c r="L515" s="10">
        <f>IF($A515="","",_xll.BDP($A515&amp;" Corp","MATURITY"))</f>
        <v/>
      </c>
      <c r="M515" s="11">
        <f>IF($A515="","",IFERROR(_xll.BDP($A515&amp;" Corp","MIN_PIECE")/1000,""))</f>
        <v/>
      </c>
      <c r="N515" s="12">
        <f>IF($A515="","",_xll.BDP($A515&amp;" Corp","PX_LAST"))</f>
        <v/>
      </c>
      <c r="O515" s="12">
        <f>IF($A515="","",_xll.BDP($A515&amp;" Corp","YAS_BOND_YLD","YAS_YLD_FLAG=15"))</f>
        <v/>
      </c>
      <c r="P515" s="12">
        <f>IF($A515="","",_xll.BDP($A515&amp;" Corp","YAS_MOD_DUR"))</f>
        <v/>
      </c>
      <c r="Q515" s="13">
        <f>IF($A515="","",_xll.BDP($A515&amp;" Corp","YAS_OAS_SPRD"))</f>
        <v/>
      </c>
      <c r="R515" s="13">
        <f>IF($A515="","",_xll.BDP($A515&amp;" Corp","YAS_OAS_SPRD","SETTLE_DT",$B$2))</f>
        <v/>
      </c>
      <c r="S515" s="14">
        <f>IF($A515="","",IF(OR(NOT(ISNUMBER($Q515)),NOT(ISNUMBER($R515))),"",$Q515-$R515))</f>
        <v/>
      </c>
      <c r="T515" s="12">
        <f>IF($A515="","",_xll.BDP($A515&amp;" Corp","YAS_BOND_YLD","YAS_YLD_FLAG=15","SETTLE_DT",$B$2))</f>
        <v/>
      </c>
      <c r="U515" s="15">
        <f>IF($A515="","",IF(OR(NOT(ISNUMBER($O515)),NOT(ISNUMBER($T515))),"",$O515-$T515))</f>
        <v/>
      </c>
      <c r="V515" s="13">
        <f>IF(NOT(ISNUMBER($S515)),"",COUNTIFS($G$7:$G$850,$G515,$S$7:$S$850,"&gt;"&amp;$S515)+COUNTIFS($G$7:$G515,$G515,$S$7:$S515,$S515))</f>
        <v/>
      </c>
      <c r="W515" s="13">
        <f>IF(NOT(ISNUMBER($S515)),"",COUNTIFS($G$7:$G$850,$G515,$S$7:$S$850,"&lt;"&amp;$S515)+COUNTIFS($G$7:$G515,$G515,$S$7:$S515,$S515))</f>
        <v/>
      </c>
      <c r="X515" s="8">
        <f>IF($V515="","",$G515&amp;"|"&amp;$V515)</f>
        <v/>
      </c>
      <c r="Y515" s="8">
        <f>IF($W515="","",$G515&amp;"|"&amp;$W515)</f>
        <v/>
      </c>
    </row>
    <row r="516">
      <c r="A516" s="16" t="inlineStr">
        <is>
          <t>US05530QAP54</t>
        </is>
      </c>
      <c r="B516" s="17">
        <f>IF($A516="","",PROPER(_xll.BDP($A516&amp;" Corp","NAME")))</f>
        <v/>
      </c>
      <c r="C516" s="17">
        <f>IF($A516="","",IFERROR(INDEX(Company_desc!$B$2:$B$1144,MATCH($A516,Company_desc!$A$2:$A$1144,0)),IFERROR(INDEX(SYZ_static!$Q$2:$Q$806,MATCH($A516,SYZ_static!$A$2:$A$806,0)),"")))</f>
        <v/>
      </c>
      <c r="D516" s="17">
        <f>IF($A516="","",IFERROR(INDEX(SYZ_static!$B$2:$B$806,MATCH($A516,SYZ_static!$A$2:$A$806,0)),""))</f>
        <v/>
      </c>
      <c r="E516" s="17">
        <f>IF($A516="","",_xll.BDP($A516&amp;" Corp","INDUSTRY_SECTOR"))</f>
        <v/>
      </c>
      <c r="F516" s="17">
        <f>IF($A516="","",PROPER(_xll.BDP($A516&amp;" Corp","COUNTRY_FULL_NAME")))</f>
        <v/>
      </c>
      <c r="G516" s="17">
        <f>IF($A516="","",_xll.BDP($A516&amp;" Corp","CRNCY"))</f>
        <v/>
      </c>
      <c r="H516" s="17">
        <f>IF($A516="","",IFERROR(INDEX(SYZ_static!$T$2:$T$806,MATCH($A516,SYZ_static!$A$2:$A$806,0)),_xll.BDP($A516&amp;" Corp","RTG_SP")))</f>
        <v/>
      </c>
      <c r="I516" s="17">
        <f>IF($A516="","",IFERROR(INDEX(SYZ_static!$S$2:$S$806,MATCH($A516,SYZ_static!$A$2:$A$806,0)),""))</f>
        <v/>
      </c>
      <c r="J516" s="17">
        <f>IF($A516="","",_xll.BDP($A516&amp;" Corp","PAYMENT_RANK"))</f>
        <v/>
      </c>
      <c r="K516" s="18">
        <f>IF($A516="","",_xll.BDP($A516&amp;" Corp","CPN"))</f>
        <v/>
      </c>
      <c r="L516" s="19">
        <f>IF($A516="","",_xll.BDP($A516&amp;" Corp","MATURITY"))</f>
        <v/>
      </c>
      <c r="M516" s="20">
        <f>IF($A516="","",IFERROR(_xll.BDP($A516&amp;" Corp","MIN_PIECE")/1000,""))</f>
        <v/>
      </c>
      <c r="N516" s="21">
        <f>IF($A516="","",_xll.BDP($A516&amp;" Corp","PX_LAST"))</f>
        <v/>
      </c>
      <c r="O516" s="21">
        <f>IF($A516="","",_xll.BDP($A516&amp;" Corp","YAS_BOND_YLD","YAS_YLD_FLAG=15"))</f>
        <v/>
      </c>
      <c r="P516" s="21">
        <f>IF($A516="","",_xll.BDP($A516&amp;" Corp","YAS_MOD_DUR"))</f>
        <v/>
      </c>
      <c r="Q516" s="22">
        <f>IF($A516="","",_xll.BDP($A516&amp;" Corp","YAS_OAS_SPRD"))</f>
        <v/>
      </c>
      <c r="R516" s="22">
        <f>IF($A516="","",_xll.BDP($A516&amp;" Corp","YAS_OAS_SPRD","SETTLE_DT",$B$2))</f>
        <v/>
      </c>
      <c r="S516" s="23">
        <f>IF($A516="","",IF(OR(NOT(ISNUMBER($Q516)),NOT(ISNUMBER($R516))),"",$Q516-$R516))</f>
        <v/>
      </c>
      <c r="T516" s="21">
        <f>IF($A516="","",_xll.BDP($A516&amp;" Corp","YAS_BOND_YLD","YAS_YLD_FLAG=15","SETTLE_DT",$B$2))</f>
        <v/>
      </c>
      <c r="U516" s="24">
        <f>IF($A516="","",IF(OR(NOT(ISNUMBER($O516)),NOT(ISNUMBER($T516))),"",$O516-$T516))</f>
        <v/>
      </c>
      <c r="V516" s="22">
        <f>IF(NOT(ISNUMBER($S516)),"",COUNTIFS($G$7:$G$850,$G516,$S$7:$S$850,"&gt;"&amp;$S516)+COUNTIFS($G$7:$G516,$G516,$S$7:$S516,$S516))</f>
        <v/>
      </c>
      <c r="W516" s="22">
        <f>IF(NOT(ISNUMBER($S516)),"",COUNTIFS($G$7:$G$850,$G516,$S$7:$S$850,"&lt;"&amp;$S516)+COUNTIFS($G$7:$G516,$G516,$S$7:$S516,$S516))</f>
        <v/>
      </c>
      <c r="X516" s="17">
        <f>IF($V516="","",$G516&amp;"|"&amp;$V516)</f>
        <v/>
      </c>
      <c r="Y516" s="17">
        <f>IF($W516="","",$G516&amp;"|"&amp;$W516)</f>
        <v/>
      </c>
    </row>
    <row r="517">
      <c r="A517" s="7" t="inlineStr">
        <is>
          <t>XS2577135127</t>
        </is>
      </c>
      <c r="B517" s="8">
        <f>IF($A517="","",PROPER(_xll.BDP($A517&amp;" Corp","NAME")))</f>
        <v/>
      </c>
      <c r="C517" s="8">
        <f>IF($A517="","",IFERROR(INDEX(Company_desc!$B$2:$B$1144,MATCH($A517,Company_desc!$A$2:$A$1144,0)),IFERROR(INDEX(SYZ_static!$Q$2:$Q$806,MATCH($A517,SYZ_static!$A$2:$A$806,0)),"")))</f>
        <v/>
      </c>
      <c r="D517" s="8">
        <f>IF($A517="","",IFERROR(INDEX(SYZ_static!$B$2:$B$806,MATCH($A517,SYZ_static!$A$2:$A$806,0)),""))</f>
        <v/>
      </c>
      <c r="E517" s="8">
        <f>IF($A517="","",_xll.BDP($A517&amp;" Corp","INDUSTRY_SECTOR"))</f>
        <v/>
      </c>
      <c r="F517" s="8">
        <f>IF($A517="","",PROPER(_xll.BDP($A517&amp;" Corp","COUNTRY_FULL_NAME")))</f>
        <v/>
      </c>
      <c r="G517" s="8">
        <f>IF($A517="","",_xll.BDP($A517&amp;" Corp","CRNCY"))</f>
        <v/>
      </c>
      <c r="H517" s="8">
        <f>IF($A517="","",IFERROR(INDEX(SYZ_static!$T$2:$T$806,MATCH($A517,SYZ_static!$A$2:$A$806,0)),_xll.BDP($A517&amp;" Corp","RTG_SP")))</f>
        <v/>
      </c>
      <c r="I517" s="8">
        <f>IF($A517="","",IFERROR(INDEX(SYZ_static!$S$2:$S$806,MATCH($A517,SYZ_static!$A$2:$A$806,0)),""))</f>
        <v/>
      </c>
      <c r="J517" s="8">
        <f>IF($A517="","",_xll.BDP($A517&amp;" Corp","PAYMENT_RANK"))</f>
        <v/>
      </c>
      <c r="K517" s="9">
        <f>IF($A517="","",_xll.BDP($A517&amp;" Corp","CPN"))</f>
        <v/>
      </c>
      <c r="L517" s="10">
        <f>IF($A517="","",_xll.BDP($A517&amp;" Corp","MATURITY"))</f>
        <v/>
      </c>
      <c r="M517" s="11">
        <f>IF($A517="","",IFERROR(_xll.BDP($A517&amp;" Corp","MIN_PIECE")/1000,""))</f>
        <v/>
      </c>
      <c r="N517" s="12">
        <f>IF($A517="","",_xll.BDP($A517&amp;" Corp","PX_LAST"))</f>
        <v/>
      </c>
      <c r="O517" s="12">
        <f>IF($A517="","",_xll.BDP($A517&amp;" Corp","YAS_BOND_YLD","YAS_YLD_FLAG=15"))</f>
        <v/>
      </c>
      <c r="P517" s="12">
        <f>IF($A517="","",_xll.BDP($A517&amp;" Corp","YAS_MOD_DUR"))</f>
        <v/>
      </c>
      <c r="Q517" s="13">
        <f>IF($A517="","",_xll.BDP($A517&amp;" Corp","YAS_OAS_SPRD"))</f>
        <v/>
      </c>
      <c r="R517" s="13">
        <f>IF($A517="","",_xll.BDP($A517&amp;" Corp","YAS_OAS_SPRD","SETTLE_DT",$B$2))</f>
        <v/>
      </c>
      <c r="S517" s="14">
        <f>IF($A517="","",IF(OR(NOT(ISNUMBER($Q517)),NOT(ISNUMBER($R517))),"",$Q517-$R517))</f>
        <v/>
      </c>
      <c r="T517" s="12">
        <f>IF($A517="","",_xll.BDP($A517&amp;" Corp","YAS_BOND_YLD","YAS_YLD_FLAG=15","SETTLE_DT",$B$2))</f>
        <v/>
      </c>
      <c r="U517" s="15">
        <f>IF($A517="","",IF(OR(NOT(ISNUMBER($O517)),NOT(ISNUMBER($T517))),"",$O517-$T517))</f>
        <v/>
      </c>
      <c r="V517" s="13">
        <f>IF(NOT(ISNUMBER($S517)),"",COUNTIFS($G$7:$G$850,$G517,$S$7:$S$850,"&gt;"&amp;$S517)+COUNTIFS($G$7:$G517,$G517,$S$7:$S517,$S517))</f>
        <v/>
      </c>
      <c r="W517" s="13">
        <f>IF(NOT(ISNUMBER($S517)),"",COUNTIFS($G$7:$G$850,$G517,$S$7:$S$850,"&lt;"&amp;$S517)+COUNTIFS($G$7:$G517,$G517,$S$7:$S517,$S517))</f>
        <v/>
      </c>
      <c r="X517" s="8">
        <f>IF($V517="","",$G517&amp;"|"&amp;$V517)</f>
        <v/>
      </c>
      <c r="Y517" s="8">
        <f>IF($W517="","",$G517&amp;"|"&amp;$W517)</f>
        <v/>
      </c>
    </row>
    <row r="518">
      <c r="A518" s="16" t="inlineStr">
        <is>
          <t>US25389JAT34</t>
        </is>
      </c>
      <c r="B518" s="17">
        <f>IF($A518="","",PROPER(_xll.BDP($A518&amp;" Corp","NAME")))</f>
        <v/>
      </c>
      <c r="C518" s="17">
        <f>IF($A518="","",IFERROR(INDEX(Company_desc!$B$2:$B$1144,MATCH($A518,Company_desc!$A$2:$A$1144,0)),IFERROR(INDEX(SYZ_static!$Q$2:$Q$806,MATCH($A518,SYZ_static!$A$2:$A$806,0)),"")))</f>
        <v/>
      </c>
      <c r="D518" s="17">
        <f>IF($A518="","",IFERROR(INDEX(SYZ_static!$B$2:$B$806,MATCH($A518,SYZ_static!$A$2:$A$806,0)),""))</f>
        <v/>
      </c>
      <c r="E518" s="17">
        <f>IF($A518="","",_xll.BDP($A518&amp;" Corp","INDUSTRY_SECTOR"))</f>
        <v/>
      </c>
      <c r="F518" s="17">
        <f>IF($A518="","",PROPER(_xll.BDP($A518&amp;" Corp","COUNTRY_FULL_NAME")))</f>
        <v/>
      </c>
      <c r="G518" s="17">
        <f>IF($A518="","",_xll.BDP($A518&amp;" Corp","CRNCY"))</f>
        <v/>
      </c>
      <c r="H518" s="17">
        <f>IF($A518="","",IFERROR(INDEX(SYZ_static!$T$2:$T$806,MATCH($A518,SYZ_static!$A$2:$A$806,0)),_xll.BDP($A518&amp;" Corp","RTG_SP")))</f>
        <v/>
      </c>
      <c r="I518" s="17">
        <f>IF($A518="","",IFERROR(INDEX(SYZ_static!$S$2:$S$806,MATCH($A518,SYZ_static!$A$2:$A$806,0)),""))</f>
        <v/>
      </c>
      <c r="J518" s="17">
        <f>IF($A518="","",_xll.BDP($A518&amp;" Corp","PAYMENT_RANK"))</f>
        <v/>
      </c>
      <c r="K518" s="18">
        <f>IF($A518="","",_xll.BDP($A518&amp;" Corp","CPN"))</f>
        <v/>
      </c>
      <c r="L518" s="19">
        <f>IF($A518="","",_xll.BDP($A518&amp;" Corp","MATURITY"))</f>
        <v/>
      </c>
      <c r="M518" s="20">
        <f>IF($A518="","",IFERROR(_xll.BDP($A518&amp;" Corp","MIN_PIECE")/1000,""))</f>
        <v/>
      </c>
      <c r="N518" s="21">
        <f>IF($A518="","",_xll.BDP($A518&amp;" Corp","PX_LAST"))</f>
        <v/>
      </c>
      <c r="O518" s="21">
        <f>IF($A518="","",_xll.BDP($A518&amp;" Corp","YAS_BOND_YLD","YAS_YLD_FLAG=15"))</f>
        <v/>
      </c>
      <c r="P518" s="21">
        <f>IF($A518="","",_xll.BDP($A518&amp;" Corp","YAS_MOD_DUR"))</f>
        <v/>
      </c>
      <c r="Q518" s="22">
        <f>IF($A518="","",_xll.BDP($A518&amp;" Corp","YAS_OAS_SPRD"))</f>
        <v/>
      </c>
      <c r="R518" s="22">
        <f>IF($A518="","",_xll.BDP($A518&amp;" Corp","YAS_OAS_SPRD","SETTLE_DT",$B$2))</f>
        <v/>
      </c>
      <c r="S518" s="23">
        <f>IF($A518="","",IF(OR(NOT(ISNUMBER($Q518)),NOT(ISNUMBER($R518))),"",$Q518-$R518))</f>
        <v/>
      </c>
      <c r="T518" s="21">
        <f>IF($A518="","",_xll.BDP($A518&amp;" Corp","YAS_BOND_YLD","YAS_YLD_FLAG=15","SETTLE_DT",$B$2))</f>
        <v/>
      </c>
      <c r="U518" s="24">
        <f>IF($A518="","",IF(OR(NOT(ISNUMBER($O518)),NOT(ISNUMBER($T518))),"",$O518-$T518))</f>
        <v/>
      </c>
      <c r="V518" s="22">
        <f>IF(NOT(ISNUMBER($S518)),"",COUNTIFS($G$7:$G$850,$G518,$S$7:$S$850,"&gt;"&amp;$S518)+COUNTIFS($G$7:$G518,$G518,$S$7:$S518,$S518))</f>
        <v/>
      </c>
      <c r="W518" s="22">
        <f>IF(NOT(ISNUMBER($S518)),"",COUNTIFS($G$7:$G$850,$G518,$S$7:$S$850,"&lt;"&amp;$S518)+COUNTIFS($G$7:$G518,$G518,$S$7:$S518,$S518))</f>
        <v/>
      </c>
      <c r="X518" s="17">
        <f>IF($V518="","",$G518&amp;"|"&amp;$V518)</f>
        <v/>
      </c>
      <c r="Y518" s="17">
        <f>IF($W518="","",$G518&amp;"|"&amp;$W518)</f>
        <v/>
      </c>
    </row>
    <row r="519">
      <c r="A519" s="7" t="inlineStr">
        <is>
          <t>US718172DP15</t>
        </is>
      </c>
      <c r="B519" s="8">
        <f>IF($A519="","",PROPER(_xll.BDP($A519&amp;" Corp","NAME")))</f>
        <v/>
      </c>
      <c r="C519" s="8">
        <f>IF($A519="","",IFERROR(INDEX(Company_desc!$B$2:$B$1144,MATCH($A519,Company_desc!$A$2:$A$1144,0)),IFERROR(INDEX(SYZ_static!$Q$2:$Q$806,MATCH($A519,SYZ_static!$A$2:$A$806,0)),"")))</f>
        <v/>
      </c>
      <c r="D519" s="8">
        <f>IF($A519="","",IFERROR(INDEX(SYZ_static!$B$2:$B$806,MATCH($A519,SYZ_static!$A$2:$A$806,0)),""))</f>
        <v/>
      </c>
      <c r="E519" s="8">
        <f>IF($A519="","",_xll.BDP($A519&amp;" Corp","INDUSTRY_SECTOR"))</f>
        <v/>
      </c>
      <c r="F519" s="8">
        <f>IF($A519="","",PROPER(_xll.BDP($A519&amp;" Corp","COUNTRY_FULL_NAME")))</f>
        <v/>
      </c>
      <c r="G519" s="8">
        <f>IF($A519="","",_xll.BDP($A519&amp;" Corp","CRNCY"))</f>
        <v/>
      </c>
      <c r="H519" s="8">
        <f>IF($A519="","",IFERROR(INDEX(SYZ_static!$T$2:$T$806,MATCH($A519,SYZ_static!$A$2:$A$806,0)),_xll.BDP($A519&amp;" Corp","RTG_SP")))</f>
        <v/>
      </c>
      <c r="I519" s="8">
        <f>IF($A519="","",IFERROR(INDEX(SYZ_static!$S$2:$S$806,MATCH($A519,SYZ_static!$A$2:$A$806,0)),""))</f>
        <v/>
      </c>
      <c r="J519" s="8">
        <f>IF($A519="","",_xll.BDP($A519&amp;" Corp","PAYMENT_RANK"))</f>
        <v/>
      </c>
      <c r="K519" s="9">
        <f>IF($A519="","",_xll.BDP($A519&amp;" Corp","CPN"))</f>
        <v/>
      </c>
      <c r="L519" s="10">
        <f>IF($A519="","",_xll.BDP($A519&amp;" Corp","MATURITY"))</f>
        <v/>
      </c>
      <c r="M519" s="11">
        <f>IF($A519="","",IFERROR(_xll.BDP($A519&amp;" Corp","MIN_PIECE")/1000,""))</f>
        <v/>
      </c>
      <c r="N519" s="12">
        <f>IF($A519="","",_xll.BDP($A519&amp;" Corp","PX_LAST"))</f>
        <v/>
      </c>
      <c r="O519" s="12">
        <f>IF($A519="","",_xll.BDP($A519&amp;" Corp","YAS_BOND_YLD","YAS_YLD_FLAG=15"))</f>
        <v/>
      </c>
      <c r="P519" s="12">
        <f>IF($A519="","",_xll.BDP($A519&amp;" Corp","YAS_MOD_DUR"))</f>
        <v/>
      </c>
      <c r="Q519" s="13">
        <f>IF($A519="","",_xll.BDP($A519&amp;" Corp","YAS_OAS_SPRD"))</f>
        <v/>
      </c>
      <c r="R519" s="13">
        <f>IF($A519="","",_xll.BDP($A519&amp;" Corp","YAS_OAS_SPRD","SETTLE_DT",$B$2))</f>
        <v/>
      </c>
      <c r="S519" s="14">
        <f>IF($A519="","",IF(OR(NOT(ISNUMBER($Q519)),NOT(ISNUMBER($R519))),"",$Q519-$R519))</f>
        <v/>
      </c>
      <c r="T519" s="12">
        <f>IF($A519="","",_xll.BDP($A519&amp;" Corp","YAS_BOND_YLD","YAS_YLD_FLAG=15","SETTLE_DT",$B$2))</f>
        <v/>
      </c>
      <c r="U519" s="15">
        <f>IF($A519="","",IF(OR(NOT(ISNUMBER($O519)),NOT(ISNUMBER($T519))),"",$O519-$T519))</f>
        <v/>
      </c>
      <c r="V519" s="13">
        <f>IF(NOT(ISNUMBER($S519)),"",COUNTIFS($G$7:$G$850,$G519,$S$7:$S$850,"&gt;"&amp;$S519)+COUNTIFS($G$7:$G519,$G519,$S$7:$S519,$S519))</f>
        <v/>
      </c>
      <c r="W519" s="13">
        <f>IF(NOT(ISNUMBER($S519)),"",COUNTIFS($G$7:$G$850,$G519,$S$7:$S$850,"&lt;"&amp;$S519)+COUNTIFS($G$7:$G519,$G519,$S$7:$S519,$S519))</f>
        <v/>
      </c>
      <c r="X519" s="8">
        <f>IF($V519="","",$G519&amp;"|"&amp;$V519)</f>
        <v/>
      </c>
      <c r="Y519" s="8">
        <f>IF($W519="","",$G519&amp;"|"&amp;$W519)</f>
        <v/>
      </c>
    </row>
    <row r="520">
      <c r="A520" s="16" t="inlineStr">
        <is>
          <t>XS2582814039</t>
        </is>
      </c>
      <c r="B520" s="17">
        <f>IF($A520="","",PROPER(_xll.BDP($A520&amp;" Corp","NAME")))</f>
        <v/>
      </c>
      <c r="C520" s="17">
        <f>IF($A520="","",IFERROR(INDEX(Company_desc!$B$2:$B$1144,MATCH($A520,Company_desc!$A$2:$A$1144,0)),IFERROR(INDEX(SYZ_static!$Q$2:$Q$806,MATCH($A520,SYZ_static!$A$2:$A$806,0)),"")))</f>
        <v/>
      </c>
      <c r="D520" s="17">
        <f>IF($A520="","",IFERROR(INDEX(SYZ_static!$B$2:$B$806,MATCH($A520,SYZ_static!$A$2:$A$806,0)),""))</f>
        <v/>
      </c>
      <c r="E520" s="17">
        <f>IF($A520="","",_xll.BDP($A520&amp;" Corp","INDUSTRY_SECTOR"))</f>
        <v/>
      </c>
      <c r="F520" s="17">
        <f>IF($A520="","",PROPER(_xll.BDP($A520&amp;" Corp","COUNTRY_FULL_NAME")))</f>
        <v/>
      </c>
      <c r="G520" s="17">
        <f>IF($A520="","",_xll.BDP($A520&amp;" Corp","CRNCY"))</f>
        <v/>
      </c>
      <c r="H520" s="17">
        <f>IF($A520="","",IFERROR(INDEX(SYZ_static!$T$2:$T$806,MATCH($A520,SYZ_static!$A$2:$A$806,0)),_xll.BDP($A520&amp;" Corp","RTG_SP")))</f>
        <v/>
      </c>
      <c r="I520" s="17">
        <f>IF($A520="","",IFERROR(INDEX(SYZ_static!$S$2:$S$806,MATCH($A520,SYZ_static!$A$2:$A$806,0)),""))</f>
        <v/>
      </c>
      <c r="J520" s="17">
        <f>IF($A520="","",_xll.BDP($A520&amp;" Corp","PAYMENT_RANK"))</f>
        <v/>
      </c>
      <c r="K520" s="18">
        <f>IF($A520="","",_xll.BDP($A520&amp;" Corp","CPN"))</f>
        <v/>
      </c>
      <c r="L520" s="19">
        <f>IF($A520="","",_xll.BDP($A520&amp;" Corp","MATURITY"))</f>
        <v/>
      </c>
      <c r="M520" s="20">
        <f>IF($A520="","",IFERROR(_xll.BDP($A520&amp;" Corp","MIN_PIECE")/1000,""))</f>
        <v/>
      </c>
      <c r="N520" s="21">
        <f>IF($A520="","",_xll.BDP($A520&amp;" Corp","PX_LAST"))</f>
        <v/>
      </c>
      <c r="O520" s="21">
        <f>IF($A520="","",_xll.BDP($A520&amp;" Corp","YAS_BOND_YLD","YAS_YLD_FLAG=15"))</f>
        <v/>
      </c>
      <c r="P520" s="21">
        <f>IF($A520="","",_xll.BDP($A520&amp;" Corp","YAS_MOD_DUR"))</f>
        <v/>
      </c>
      <c r="Q520" s="22">
        <f>IF($A520="","",_xll.BDP($A520&amp;" Corp","YAS_OAS_SPRD"))</f>
        <v/>
      </c>
      <c r="R520" s="22">
        <f>IF($A520="","",_xll.BDP($A520&amp;" Corp","YAS_OAS_SPRD","SETTLE_DT",$B$2))</f>
        <v/>
      </c>
      <c r="S520" s="23">
        <f>IF($A520="","",IF(OR(NOT(ISNUMBER($Q520)),NOT(ISNUMBER($R520))),"",$Q520-$R520))</f>
        <v/>
      </c>
      <c r="T520" s="21">
        <f>IF($A520="","",_xll.BDP($A520&amp;" Corp","YAS_BOND_YLD","YAS_YLD_FLAG=15","SETTLE_DT",$B$2))</f>
        <v/>
      </c>
      <c r="U520" s="24">
        <f>IF($A520="","",IF(OR(NOT(ISNUMBER($O520)),NOT(ISNUMBER($T520))),"",$O520-$T520))</f>
        <v/>
      </c>
      <c r="V520" s="22">
        <f>IF(NOT(ISNUMBER($S520)),"",COUNTIFS($G$7:$G$850,$G520,$S$7:$S$850,"&gt;"&amp;$S520)+COUNTIFS($G$7:$G520,$G520,$S$7:$S520,$S520))</f>
        <v/>
      </c>
      <c r="W520" s="22">
        <f>IF(NOT(ISNUMBER($S520)),"",COUNTIFS($G$7:$G$850,$G520,$S$7:$S$850,"&lt;"&amp;$S520)+COUNTIFS($G$7:$G520,$G520,$S$7:$S520,$S520))</f>
        <v/>
      </c>
      <c r="X520" s="17">
        <f>IF($V520="","",$G520&amp;"|"&amp;$V520)</f>
        <v/>
      </c>
      <c r="Y520" s="17">
        <f>IF($W520="","",$G520&amp;"|"&amp;$W520)</f>
        <v/>
      </c>
    </row>
    <row r="521">
      <c r="A521" s="7" t="inlineStr">
        <is>
          <t>US22535EAC12</t>
        </is>
      </c>
      <c r="B521" s="8">
        <f>IF($A521="","",PROPER(_xll.BDP($A521&amp;" Corp","NAME")))</f>
        <v/>
      </c>
      <c r="C521" s="8">
        <f>IF($A521="","",IFERROR(INDEX(Company_desc!$B$2:$B$1144,MATCH($A521,Company_desc!$A$2:$A$1144,0)),IFERROR(INDEX(SYZ_static!$Q$2:$Q$806,MATCH($A521,SYZ_static!$A$2:$A$806,0)),"")))</f>
        <v/>
      </c>
      <c r="D521" s="8">
        <f>IF($A521="","",IFERROR(INDEX(SYZ_static!$B$2:$B$806,MATCH($A521,SYZ_static!$A$2:$A$806,0)),""))</f>
        <v/>
      </c>
      <c r="E521" s="8">
        <f>IF($A521="","",_xll.BDP($A521&amp;" Corp","INDUSTRY_SECTOR"))</f>
        <v/>
      </c>
      <c r="F521" s="8">
        <f>IF($A521="","",PROPER(_xll.BDP($A521&amp;" Corp","COUNTRY_FULL_NAME")))</f>
        <v/>
      </c>
      <c r="G521" s="8">
        <f>IF($A521="","",_xll.BDP($A521&amp;" Corp","CRNCY"))</f>
        <v/>
      </c>
      <c r="H521" s="8">
        <f>IF($A521="","",IFERROR(INDEX(SYZ_static!$T$2:$T$806,MATCH($A521,SYZ_static!$A$2:$A$806,0)),_xll.BDP($A521&amp;" Corp","RTG_SP")))</f>
        <v/>
      </c>
      <c r="I521" s="8">
        <f>IF($A521="","",IFERROR(INDEX(SYZ_static!$S$2:$S$806,MATCH($A521,SYZ_static!$A$2:$A$806,0)),""))</f>
        <v/>
      </c>
      <c r="J521" s="8">
        <f>IF($A521="","",_xll.BDP($A521&amp;" Corp","PAYMENT_RANK"))</f>
        <v/>
      </c>
      <c r="K521" s="9">
        <f>IF($A521="","",_xll.BDP($A521&amp;" Corp","CPN"))</f>
        <v/>
      </c>
      <c r="L521" s="10">
        <f>IF($A521="","",_xll.BDP($A521&amp;" Corp","MATURITY"))</f>
        <v/>
      </c>
      <c r="M521" s="11">
        <f>IF($A521="","",IFERROR(_xll.BDP($A521&amp;" Corp","MIN_PIECE")/1000,""))</f>
        <v/>
      </c>
      <c r="N521" s="12">
        <f>IF($A521="","",_xll.BDP($A521&amp;" Corp","PX_LAST"))</f>
        <v/>
      </c>
      <c r="O521" s="12">
        <f>IF($A521="","",_xll.BDP($A521&amp;" Corp","YAS_BOND_YLD","YAS_YLD_FLAG=15"))</f>
        <v/>
      </c>
      <c r="P521" s="12">
        <f>IF($A521="","",_xll.BDP($A521&amp;" Corp","YAS_MOD_DUR"))</f>
        <v/>
      </c>
      <c r="Q521" s="13">
        <f>IF($A521="","",_xll.BDP($A521&amp;" Corp","YAS_OAS_SPRD"))</f>
        <v/>
      </c>
      <c r="R521" s="13">
        <f>IF($A521="","",_xll.BDP($A521&amp;" Corp","YAS_OAS_SPRD","SETTLE_DT",$B$2))</f>
        <v/>
      </c>
      <c r="S521" s="14">
        <f>IF($A521="","",IF(OR(NOT(ISNUMBER($Q521)),NOT(ISNUMBER($R521))),"",$Q521-$R521))</f>
        <v/>
      </c>
      <c r="T521" s="12">
        <f>IF($A521="","",_xll.BDP($A521&amp;" Corp","YAS_BOND_YLD","YAS_YLD_FLAG=15","SETTLE_DT",$B$2))</f>
        <v/>
      </c>
      <c r="U521" s="15">
        <f>IF($A521="","",IF(OR(NOT(ISNUMBER($O521)),NOT(ISNUMBER($T521))),"",$O521-$T521))</f>
        <v/>
      </c>
      <c r="V521" s="13">
        <f>IF(NOT(ISNUMBER($S521)),"",COUNTIFS($G$7:$G$850,$G521,$S$7:$S$850,"&gt;"&amp;$S521)+COUNTIFS($G$7:$G521,$G521,$S$7:$S521,$S521))</f>
        <v/>
      </c>
      <c r="W521" s="13">
        <f>IF(NOT(ISNUMBER($S521)),"",COUNTIFS($G$7:$G$850,$G521,$S$7:$S$850,"&lt;"&amp;$S521)+COUNTIFS($G$7:$G521,$G521,$S$7:$S521,$S521))</f>
        <v/>
      </c>
      <c r="X521" s="8">
        <f>IF($V521="","",$G521&amp;"|"&amp;$V521)</f>
        <v/>
      </c>
      <c r="Y521" s="8">
        <f>IF($W521="","",$G521&amp;"|"&amp;$W521)</f>
        <v/>
      </c>
    </row>
    <row r="522">
      <c r="A522" s="16" t="inlineStr">
        <is>
          <t>XS2723549361</t>
        </is>
      </c>
      <c r="B522" s="17">
        <f>IF($A522="","",PROPER(_xll.BDP($A522&amp;" Corp","NAME")))</f>
        <v/>
      </c>
      <c r="C522" s="17">
        <f>IF($A522="","",IFERROR(INDEX(Company_desc!$B$2:$B$1144,MATCH($A522,Company_desc!$A$2:$A$1144,0)),IFERROR(INDEX(SYZ_static!$Q$2:$Q$806,MATCH($A522,SYZ_static!$A$2:$A$806,0)),"")))</f>
        <v/>
      </c>
      <c r="D522" s="17">
        <f>IF($A522="","",IFERROR(INDEX(SYZ_static!$B$2:$B$806,MATCH($A522,SYZ_static!$A$2:$A$806,0)),""))</f>
        <v/>
      </c>
      <c r="E522" s="17">
        <f>IF($A522="","",_xll.BDP($A522&amp;" Corp","INDUSTRY_SECTOR"))</f>
        <v/>
      </c>
      <c r="F522" s="17">
        <f>IF($A522="","",PROPER(_xll.BDP($A522&amp;" Corp","COUNTRY_FULL_NAME")))</f>
        <v/>
      </c>
      <c r="G522" s="17">
        <f>IF($A522="","",_xll.BDP($A522&amp;" Corp","CRNCY"))</f>
        <v/>
      </c>
      <c r="H522" s="17">
        <f>IF($A522="","",IFERROR(INDEX(SYZ_static!$T$2:$T$806,MATCH($A522,SYZ_static!$A$2:$A$806,0)),_xll.BDP($A522&amp;" Corp","RTG_SP")))</f>
        <v/>
      </c>
      <c r="I522" s="17">
        <f>IF($A522="","",IFERROR(INDEX(SYZ_static!$S$2:$S$806,MATCH($A522,SYZ_static!$A$2:$A$806,0)),""))</f>
        <v/>
      </c>
      <c r="J522" s="17">
        <f>IF($A522="","",_xll.BDP($A522&amp;" Corp","PAYMENT_RANK"))</f>
        <v/>
      </c>
      <c r="K522" s="18">
        <f>IF($A522="","",_xll.BDP($A522&amp;" Corp","CPN"))</f>
        <v/>
      </c>
      <c r="L522" s="19">
        <f>IF($A522="","",_xll.BDP($A522&amp;" Corp","MATURITY"))</f>
        <v/>
      </c>
      <c r="M522" s="20">
        <f>IF($A522="","",IFERROR(_xll.BDP($A522&amp;" Corp","MIN_PIECE")/1000,""))</f>
        <v/>
      </c>
      <c r="N522" s="21">
        <f>IF($A522="","",_xll.BDP($A522&amp;" Corp","PX_LAST"))</f>
        <v/>
      </c>
      <c r="O522" s="21">
        <f>IF($A522="","",_xll.BDP($A522&amp;" Corp","YAS_BOND_YLD","YAS_YLD_FLAG=15"))</f>
        <v/>
      </c>
      <c r="P522" s="21">
        <f>IF($A522="","",_xll.BDP($A522&amp;" Corp","YAS_MOD_DUR"))</f>
        <v/>
      </c>
      <c r="Q522" s="22">
        <f>IF($A522="","",_xll.BDP($A522&amp;" Corp","YAS_OAS_SPRD"))</f>
        <v/>
      </c>
      <c r="R522" s="22">
        <f>IF($A522="","",_xll.BDP($A522&amp;" Corp","YAS_OAS_SPRD","SETTLE_DT",$B$2))</f>
        <v/>
      </c>
      <c r="S522" s="23">
        <f>IF($A522="","",IF(OR(NOT(ISNUMBER($Q522)),NOT(ISNUMBER($R522))),"",$Q522-$R522))</f>
        <v/>
      </c>
      <c r="T522" s="21">
        <f>IF($A522="","",_xll.BDP($A522&amp;" Corp","YAS_BOND_YLD","YAS_YLD_FLAG=15","SETTLE_DT",$B$2))</f>
        <v/>
      </c>
      <c r="U522" s="24">
        <f>IF($A522="","",IF(OR(NOT(ISNUMBER($O522)),NOT(ISNUMBER($T522))),"",$O522-$T522))</f>
        <v/>
      </c>
      <c r="V522" s="22">
        <f>IF(NOT(ISNUMBER($S522)),"",COUNTIFS($G$7:$G$850,$G522,$S$7:$S$850,"&gt;"&amp;$S522)+COUNTIFS($G$7:$G522,$G522,$S$7:$S522,$S522))</f>
        <v/>
      </c>
      <c r="W522" s="22">
        <f>IF(NOT(ISNUMBER($S522)),"",COUNTIFS($G$7:$G$850,$G522,$S$7:$S$850,"&lt;"&amp;$S522)+COUNTIFS($G$7:$G522,$G522,$S$7:$S522,$S522))</f>
        <v/>
      </c>
      <c r="X522" s="17">
        <f>IF($V522="","",$G522&amp;"|"&amp;$V522)</f>
        <v/>
      </c>
      <c r="Y522" s="17">
        <f>IF($W522="","",$G522&amp;"|"&amp;$W522)</f>
        <v/>
      </c>
    </row>
    <row r="523">
      <c r="A523" s="7" t="inlineStr">
        <is>
          <t>US47215PAE60</t>
        </is>
      </c>
      <c r="B523" s="8">
        <f>IF($A523="","",PROPER(_xll.BDP($A523&amp;" Corp","NAME")))</f>
        <v/>
      </c>
      <c r="C523" s="8">
        <f>IF($A523="","",IFERROR(INDEX(Company_desc!$B$2:$B$1144,MATCH($A523,Company_desc!$A$2:$A$1144,0)),IFERROR(INDEX(SYZ_static!$Q$2:$Q$806,MATCH($A523,SYZ_static!$A$2:$A$806,0)),"")))</f>
        <v/>
      </c>
      <c r="D523" s="8">
        <f>IF($A523="","",IFERROR(INDEX(SYZ_static!$B$2:$B$806,MATCH($A523,SYZ_static!$A$2:$A$806,0)),""))</f>
        <v/>
      </c>
      <c r="E523" s="8">
        <f>IF($A523="","",_xll.BDP($A523&amp;" Corp","INDUSTRY_SECTOR"))</f>
        <v/>
      </c>
      <c r="F523" s="8">
        <f>IF($A523="","",PROPER(_xll.BDP($A523&amp;" Corp","COUNTRY_FULL_NAME")))</f>
        <v/>
      </c>
      <c r="G523" s="8">
        <f>IF($A523="","",_xll.BDP($A523&amp;" Corp","CRNCY"))</f>
        <v/>
      </c>
      <c r="H523" s="8">
        <f>IF($A523="","",IFERROR(INDEX(SYZ_static!$T$2:$T$806,MATCH($A523,SYZ_static!$A$2:$A$806,0)),_xll.BDP($A523&amp;" Corp","RTG_SP")))</f>
        <v/>
      </c>
      <c r="I523" s="8">
        <f>IF($A523="","",IFERROR(INDEX(SYZ_static!$S$2:$S$806,MATCH($A523,SYZ_static!$A$2:$A$806,0)),""))</f>
        <v/>
      </c>
      <c r="J523" s="8">
        <f>IF($A523="","",_xll.BDP($A523&amp;" Corp","PAYMENT_RANK"))</f>
        <v/>
      </c>
      <c r="K523" s="9">
        <f>IF($A523="","",_xll.BDP($A523&amp;" Corp","CPN"))</f>
        <v/>
      </c>
      <c r="L523" s="10">
        <f>IF($A523="","",_xll.BDP($A523&amp;" Corp","MATURITY"))</f>
        <v/>
      </c>
      <c r="M523" s="11">
        <f>IF($A523="","",IFERROR(_xll.BDP($A523&amp;" Corp","MIN_PIECE")/1000,""))</f>
        <v/>
      </c>
      <c r="N523" s="12">
        <f>IF($A523="","",_xll.BDP($A523&amp;" Corp","PX_LAST"))</f>
        <v/>
      </c>
      <c r="O523" s="12">
        <f>IF($A523="","",_xll.BDP($A523&amp;" Corp","YAS_BOND_YLD","YAS_YLD_FLAG=15"))</f>
        <v/>
      </c>
      <c r="P523" s="12">
        <f>IF($A523="","",_xll.BDP($A523&amp;" Corp","YAS_MOD_DUR"))</f>
        <v/>
      </c>
      <c r="Q523" s="13">
        <f>IF($A523="","",_xll.BDP($A523&amp;" Corp","YAS_OAS_SPRD"))</f>
        <v/>
      </c>
      <c r="R523" s="13">
        <f>IF($A523="","",_xll.BDP($A523&amp;" Corp","YAS_OAS_SPRD","SETTLE_DT",$B$2))</f>
        <v/>
      </c>
      <c r="S523" s="14">
        <f>IF($A523="","",IF(OR(NOT(ISNUMBER($Q523)),NOT(ISNUMBER($R523))),"",$Q523-$R523))</f>
        <v/>
      </c>
      <c r="T523" s="12">
        <f>IF($A523="","",_xll.BDP($A523&amp;" Corp","YAS_BOND_YLD","YAS_YLD_FLAG=15","SETTLE_DT",$B$2))</f>
        <v/>
      </c>
      <c r="U523" s="15">
        <f>IF($A523="","",IF(OR(NOT(ISNUMBER($O523)),NOT(ISNUMBER($T523))),"",$O523-$T523))</f>
        <v/>
      </c>
      <c r="V523" s="13">
        <f>IF(NOT(ISNUMBER($S523)),"",COUNTIFS($G$7:$G$850,$G523,$S$7:$S$850,"&gt;"&amp;$S523)+COUNTIFS($G$7:$G523,$G523,$S$7:$S523,$S523))</f>
        <v/>
      </c>
      <c r="W523" s="13">
        <f>IF(NOT(ISNUMBER($S523)),"",COUNTIFS($G$7:$G$850,$G523,$S$7:$S$850,"&lt;"&amp;$S523)+COUNTIFS($G$7:$G523,$G523,$S$7:$S523,$S523))</f>
        <v/>
      </c>
      <c r="X523" s="8">
        <f>IF($V523="","",$G523&amp;"|"&amp;$V523)</f>
        <v/>
      </c>
      <c r="Y523" s="8">
        <f>IF($W523="","",$G523&amp;"|"&amp;$W523)</f>
        <v/>
      </c>
    </row>
    <row r="524">
      <c r="A524" s="16" t="inlineStr">
        <is>
          <t>XS0944831154</t>
        </is>
      </c>
      <c r="B524" s="17">
        <f>IF($A524="","",PROPER(_xll.BDP($A524&amp;" Corp","NAME")))</f>
        <v/>
      </c>
      <c r="C524" s="17">
        <f>IF($A524="","",IFERROR(INDEX(Company_desc!$B$2:$B$1144,MATCH($A524,Company_desc!$A$2:$A$1144,0)),IFERROR(INDEX(SYZ_static!$Q$2:$Q$806,MATCH($A524,SYZ_static!$A$2:$A$806,0)),"")))</f>
        <v/>
      </c>
      <c r="D524" s="17">
        <f>IF($A524="","",IFERROR(INDEX(SYZ_static!$B$2:$B$806,MATCH($A524,SYZ_static!$A$2:$A$806,0)),""))</f>
        <v/>
      </c>
      <c r="E524" s="17">
        <f>IF($A524="","",_xll.BDP($A524&amp;" Corp","INDUSTRY_SECTOR"))</f>
        <v/>
      </c>
      <c r="F524" s="17">
        <f>IF($A524="","",PROPER(_xll.BDP($A524&amp;" Corp","COUNTRY_FULL_NAME")))</f>
        <v/>
      </c>
      <c r="G524" s="17">
        <f>IF($A524="","",_xll.BDP($A524&amp;" Corp","CRNCY"))</f>
        <v/>
      </c>
      <c r="H524" s="17">
        <f>IF($A524="","",IFERROR(INDEX(SYZ_static!$T$2:$T$806,MATCH($A524,SYZ_static!$A$2:$A$806,0)),_xll.BDP($A524&amp;" Corp","RTG_SP")))</f>
        <v/>
      </c>
      <c r="I524" s="17">
        <f>IF($A524="","",IFERROR(INDEX(SYZ_static!$S$2:$S$806,MATCH($A524,SYZ_static!$A$2:$A$806,0)),""))</f>
        <v/>
      </c>
      <c r="J524" s="17">
        <f>IF($A524="","",_xll.BDP($A524&amp;" Corp","PAYMENT_RANK"))</f>
        <v/>
      </c>
      <c r="K524" s="18">
        <f>IF($A524="","",_xll.BDP($A524&amp;" Corp","CPN"))</f>
        <v/>
      </c>
      <c r="L524" s="19">
        <f>IF($A524="","",_xll.BDP($A524&amp;" Corp","MATURITY"))</f>
        <v/>
      </c>
      <c r="M524" s="20">
        <f>IF($A524="","",IFERROR(_xll.BDP($A524&amp;" Corp","MIN_PIECE")/1000,""))</f>
        <v/>
      </c>
      <c r="N524" s="21">
        <f>IF($A524="","",_xll.BDP($A524&amp;" Corp","PX_LAST"))</f>
        <v/>
      </c>
      <c r="O524" s="21">
        <f>IF($A524="","",_xll.BDP($A524&amp;" Corp","YAS_BOND_YLD","YAS_YLD_FLAG=15"))</f>
        <v/>
      </c>
      <c r="P524" s="21">
        <f>IF($A524="","",_xll.BDP($A524&amp;" Corp","YAS_MOD_DUR"))</f>
        <v/>
      </c>
      <c r="Q524" s="22">
        <f>IF($A524="","",_xll.BDP($A524&amp;" Corp","YAS_OAS_SPRD"))</f>
        <v/>
      </c>
      <c r="R524" s="22">
        <f>IF($A524="","",_xll.BDP($A524&amp;" Corp","YAS_OAS_SPRD","SETTLE_DT",$B$2))</f>
        <v/>
      </c>
      <c r="S524" s="23">
        <f>IF($A524="","",IF(OR(NOT(ISNUMBER($Q524)),NOT(ISNUMBER($R524))),"",$Q524-$R524))</f>
        <v/>
      </c>
      <c r="T524" s="21">
        <f>IF($A524="","",_xll.BDP($A524&amp;" Corp","YAS_BOND_YLD","YAS_YLD_FLAG=15","SETTLE_DT",$B$2))</f>
        <v/>
      </c>
      <c r="U524" s="24">
        <f>IF($A524="","",IF(OR(NOT(ISNUMBER($O524)),NOT(ISNUMBER($T524))),"",$O524-$T524))</f>
        <v/>
      </c>
      <c r="V524" s="22">
        <f>IF(NOT(ISNUMBER($S524)),"",COUNTIFS($G$7:$G$850,$G524,$S$7:$S$850,"&gt;"&amp;$S524)+COUNTIFS($G$7:$G524,$G524,$S$7:$S524,$S524))</f>
        <v/>
      </c>
      <c r="W524" s="22">
        <f>IF(NOT(ISNUMBER($S524)),"",COUNTIFS($G$7:$G$850,$G524,$S$7:$S$850,"&lt;"&amp;$S524)+COUNTIFS($G$7:$G524,$G524,$S$7:$S524,$S524))</f>
        <v/>
      </c>
      <c r="X524" s="17">
        <f>IF($V524="","",$G524&amp;"|"&amp;$V524)</f>
        <v/>
      </c>
      <c r="Y524" s="17">
        <f>IF($W524="","",$G524&amp;"|"&amp;$W524)</f>
        <v/>
      </c>
    </row>
    <row r="525">
      <c r="A525" s="7" t="inlineStr">
        <is>
          <t>US11135FBY60</t>
        </is>
      </c>
      <c r="B525" s="8">
        <f>IF($A525="","",PROPER(_xll.BDP($A525&amp;" Corp","NAME")))</f>
        <v/>
      </c>
      <c r="C525" s="8">
        <f>IF($A525="","",IFERROR(INDEX(Company_desc!$B$2:$B$1144,MATCH($A525,Company_desc!$A$2:$A$1144,0)),IFERROR(INDEX(SYZ_static!$Q$2:$Q$806,MATCH($A525,SYZ_static!$A$2:$A$806,0)),"")))</f>
        <v/>
      </c>
      <c r="D525" s="8">
        <f>IF($A525="","",IFERROR(INDEX(SYZ_static!$B$2:$B$806,MATCH($A525,SYZ_static!$A$2:$A$806,0)),""))</f>
        <v/>
      </c>
      <c r="E525" s="8">
        <f>IF($A525="","",_xll.BDP($A525&amp;" Corp","INDUSTRY_SECTOR"))</f>
        <v/>
      </c>
      <c r="F525" s="8">
        <f>IF($A525="","",PROPER(_xll.BDP($A525&amp;" Corp","COUNTRY_FULL_NAME")))</f>
        <v/>
      </c>
      <c r="G525" s="8">
        <f>IF($A525="","",_xll.BDP($A525&amp;" Corp","CRNCY"))</f>
        <v/>
      </c>
      <c r="H525" s="8">
        <f>IF($A525="","",IFERROR(INDEX(SYZ_static!$T$2:$T$806,MATCH($A525,SYZ_static!$A$2:$A$806,0)),_xll.BDP($A525&amp;" Corp","RTG_SP")))</f>
        <v/>
      </c>
      <c r="I525" s="8">
        <f>IF($A525="","",IFERROR(INDEX(SYZ_static!$S$2:$S$806,MATCH($A525,SYZ_static!$A$2:$A$806,0)),""))</f>
        <v/>
      </c>
      <c r="J525" s="8">
        <f>IF($A525="","",_xll.BDP($A525&amp;" Corp","PAYMENT_RANK"))</f>
        <v/>
      </c>
      <c r="K525" s="9">
        <f>IF($A525="","",_xll.BDP($A525&amp;" Corp","CPN"))</f>
        <v/>
      </c>
      <c r="L525" s="10">
        <f>IF($A525="","",_xll.BDP($A525&amp;" Corp","MATURITY"))</f>
        <v/>
      </c>
      <c r="M525" s="11">
        <f>IF($A525="","",IFERROR(_xll.BDP($A525&amp;" Corp","MIN_PIECE")/1000,""))</f>
        <v/>
      </c>
      <c r="N525" s="12">
        <f>IF($A525="","",_xll.BDP($A525&amp;" Corp","PX_LAST"))</f>
        <v/>
      </c>
      <c r="O525" s="12">
        <f>IF($A525="","",_xll.BDP($A525&amp;" Corp","YAS_BOND_YLD","YAS_YLD_FLAG=15"))</f>
        <v/>
      </c>
      <c r="P525" s="12">
        <f>IF($A525="","",_xll.BDP($A525&amp;" Corp","YAS_MOD_DUR"))</f>
        <v/>
      </c>
      <c r="Q525" s="13">
        <f>IF($A525="","",_xll.BDP($A525&amp;" Corp","YAS_OAS_SPRD"))</f>
        <v/>
      </c>
      <c r="R525" s="13">
        <f>IF($A525="","",_xll.BDP($A525&amp;" Corp","YAS_OAS_SPRD","SETTLE_DT",$B$2))</f>
        <v/>
      </c>
      <c r="S525" s="14">
        <f>IF($A525="","",IF(OR(NOT(ISNUMBER($Q525)),NOT(ISNUMBER($R525))),"",$Q525-$R525))</f>
        <v/>
      </c>
      <c r="T525" s="12">
        <f>IF($A525="","",_xll.BDP($A525&amp;" Corp","YAS_BOND_YLD","YAS_YLD_FLAG=15","SETTLE_DT",$B$2))</f>
        <v/>
      </c>
      <c r="U525" s="15">
        <f>IF($A525="","",IF(OR(NOT(ISNUMBER($O525)),NOT(ISNUMBER($T525))),"",$O525-$T525))</f>
        <v/>
      </c>
      <c r="V525" s="13">
        <f>IF(NOT(ISNUMBER($S525)),"",COUNTIFS($G$7:$G$850,$G525,$S$7:$S$850,"&gt;"&amp;$S525)+COUNTIFS($G$7:$G525,$G525,$S$7:$S525,$S525))</f>
        <v/>
      </c>
      <c r="W525" s="13">
        <f>IF(NOT(ISNUMBER($S525)),"",COUNTIFS($G$7:$G$850,$G525,$S$7:$S$850,"&lt;"&amp;$S525)+COUNTIFS($G$7:$G525,$G525,$S$7:$S525,$S525))</f>
        <v/>
      </c>
      <c r="X525" s="8">
        <f>IF($V525="","",$G525&amp;"|"&amp;$V525)</f>
        <v/>
      </c>
      <c r="Y525" s="8">
        <f>IF($W525="","",$G525&amp;"|"&amp;$W525)</f>
        <v/>
      </c>
    </row>
    <row r="526">
      <c r="A526" s="16" t="inlineStr">
        <is>
          <t>XS0123656836</t>
        </is>
      </c>
      <c r="B526" s="17">
        <f>IF($A526="","",PROPER(_xll.BDP($A526&amp;" Corp","NAME")))</f>
        <v/>
      </c>
      <c r="C526" s="17">
        <f>IF($A526="","",IFERROR(INDEX(Company_desc!$B$2:$B$1144,MATCH($A526,Company_desc!$A$2:$A$1144,0)),IFERROR(INDEX(SYZ_static!$Q$2:$Q$806,MATCH($A526,SYZ_static!$A$2:$A$806,0)),"")))</f>
        <v/>
      </c>
      <c r="D526" s="17">
        <f>IF($A526="","",IFERROR(INDEX(SYZ_static!$B$2:$B$806,MATCH($A526,SYZ_static!$A$2:$A$806,0)),""))</f>
        <v/>
      </c>
      <c r="E526" s="17">
        <f>IF($A526="","",_xll.BDP($A526&amp;" Corp","INDUSTRY_SECTOR"))</f>
        <v/>
      </c>
      <c r="F526" s="17">
        <f>IF($A526="","",PROPER(_xll.BDP($A526&amp;" Corp","COUNTRY_FULL_NAME")))</f>
        <v/>
      </c>
      <c r="G526" s="17">
        <f>IF($A526="","",_xll.BDP($A526&amp;" Corp","CRNCY"))</f>
        <v/>
      </c>
      <c r="H526" s="17">
        <f>IF($A526="","",IFERROR(INDEX(SYZ_static!$T$2:$T$806,MATCH($A526,SYZ_static!$A$2:$A$806,0)),_xll.BDP($A526&amp;" Corp","RTG_SP")))</f>
        <v/>
      </c>
      <c r="I526" s="17">
        <f>IF($A526="","",IFERROR(INDEX(SYZ_static!$S$2:$S$806,MATCH($A526,SYZ_static!$A$2:$A$806,0)),""))</f>
        <v/>
      </c>
      <c r="J526" s="17">
        <f>IF($A526="","",_xll.BDP($A526&amp;" Corp","PAYMENT_RANK"))</f>
        <v/>
      </c>
      <c r="K526" s="18">
        <f>IF($A526="","",_xll.BDP($A526&amp;" Corp","CPN"))</f>
        <v/>
      </c>
      <c r="L526" s="19">
        <f>IF($A526="","",_xll.BDP($A526&amp;" Corp","MATURITY"))</f>
        <v/>
      </c>
      <c r="M526" s="20">
        <f>IF($A526="","",IFERROR(_xll.BDP($A526&amp;" Corp","MIN_PIECE")/1000,""))</f>
        <v/>
      </c>
      <c r="N526" s="21">
        <f>IF($A526="","",_xll.BDP($A526&amp;" Corp","PX_LAST"))</f>
        <v/>
      </c>
      <c r="O526" s="21">
        <f>IF($A526="","",_xll.BDP($A526&amp;" Corp","YAS_BOND_YLD","YAS_YLD_FLAG=15"))</f>
        <v/>
      </c>
      <c r="P526" s="21">
        <f>IF($A526="","",_xll.BDP($A526&amp;" Corp","YAS_MOD_DUR"))</f>
        <v/>
      </c>
      <c r="Q526" s="22">
        <f>IF($A526="","",_xll.BDP($A526&amp;" Corp","YAS_OAS_SPRD"))</f>
        <v/>
      </c>
      <c r="R526" s="22">
        <f>IF($A526="","",_xll.BDP($A526&amp;" Corp","YAS_OAS_SPRD","SETTLE_DT",$B$2))</f>
        <v/>
      </c>
      <c r="S526" s="23">
        <f>IF($A526="","",IF(OR(NOT(ISNUMBER($Q526)),NOT(ISNUMBER($R526))),"",$Q526-$R526))</f>
        <v/>
      </c>
      <c r="T526" s="21">
        <f>IF($A526="","",_xll.BDP($A526&amp;" Corp","YAS_BOND_YLD","YAS_YLD_FLAG=15","SETTLE_DT",$B$2))</f>
        <v/>
      </c>
      <c r="U526" s="24">
        <f>IF($A526="","",IF(OR(NOT(ISNUMBER($O526)),NOT(ISNUMBER($T526))),"",$O526-$T526))</f>
        <v/>
      </c>
      <c r="V526" s="22">
        <f>IF(NOT(ISNUMBER($S526)),"",COUNTIFS($G$7:$G$850,$G526,$S$7:$S$850,"&gt;"&amp;$S526)+COUNTIFS($G$7:$G526,$G526,$S$7:$S526,$S526))</f>
        <v/>
      </c>
      <c r="W526" s="22">
        <f>IF(NOT(ISNUMBER($S526)),"",COUNTIFS($G$7:$G$850,$G526,$S$7:$S$850,"&lt;"&amp;$S526)+COUNTIFS($G$7:$G526,$G526,$S$7:$S526,$S526))</f>
        <v/>
      </c>
      <c r="X526" s="17">
        <f>IF($V526="","",$G526&amp;"|"&amp;$V526)</f>
        <v/>
      </c>
      <c r="Y526" s="17">
        <f>IF($W526="","",$G526&amp;"|"&amp;$W526)</f>
        <v/>
      </c>
    </row>
    <row r="527">
      <c r="A527" s="7" t="inlineStr">
        <is>
          <t>BE6258029741</t>
        </is>
      </c>
      <c r="B527" s="8">
        <f>IF($A527="","",PROPER(_xll.BDP($A527&amp;" Corp","NAME")))</f>
        <v/>
      </c>
      <c r="C527" s="8">
        <f>IF($A527="","",IFERROR(INDEX(Company_desc!$B$2:$B$1144,MATCH($A527,Company_desc!$A$2:$A$1144,0)),IFERROR(INDEX(SYZ_static!$Q$2:$Q$806,MATCH($A527,SYZ_static!$A$2:$A$806,0)),"")))</f>
        <v/>
      </c>
      <c r="D527" s="8">
        <f>IF($A527="","",IFERROR(INDEX(SYZ_static!$B$2:$B$806,MATCH($A527,SYZ_static!$A$2:$A$806,0)),""))</f>
        <v/>
      </c>
      <c r="E527" s="8">
        <f>IF($A527="","",_xll.BDP($A527&amp;" Corp","INDUSTRY_SECTOR"))</f>
        <v/>
      </c>
      <c r="F527" s="8">
        <f>IF($A527="","",PROPER(_xll.BDP($A527&amp;" Corp","COUNTRY_FULL_NAME")))</f>
        <v/>
      </c>
      <c r="G527" s="8">
        <f>IF($A527="","",_xll.BDP($A527&amp;" Corp","CRNCY"))</f>
        <v/>
      </c>
      <c r="H527" s="8">
        <f>IF($A527="","",IFERROR(INDEX(SYZ_static!$T$2:$T$806,MATCH($A527,SYZ_static!$A$2:$A$806,0)),_xll.BDP($A527&amp;" Corp","RTG_SP")))</f>
        <v/>
      </c>
      <c r="I527" s="8">
        <f>IF($A527="","",IFERROR(INDEX(SYZ_static!$S$2:$S$806,MATCH($A527,SYZ_static!$A$2:$A$806,0)),""))</f>
        <v/>
      </c>
      <c r="J527" s="8">
        <f>IF($A527="","",_xll.BDP($A527&amp;" Corp","PAYMENT_RANK"))</f>
        <v/>
      </c>
      <c r="K527" s="9">
        <f>IF($A527="","",_xll.BDP($A527&amp;" Corp","CPN"))</f>
        <v/>
      </c>
      <c r="L527" s="10">
        <f>IF($A527="","",_xll.BDP($A527&amp;" Corp","MATURITY"))</f>
        <v/>
      </c>
      <c r="M527" s="11">
        <f>IF($A527="","",IFERROR(_xll.BDP($A527&amp;" Corp","MIN_PIECE")/1000,""))</f>
        <v/>
      </c>
      <c r="N527" s="12">
        <f>IF($A527="","",_xll.BDP($A527&amp;" Corp","PX_LAST"))</f>
        <v/>
      </c>
      <c r="O527" s="12">
        <f>IF($A527="","",_xll.BDP($A527&amp;" Corp","YAS_BOND_YLD","YAS_YLD_FLAG=15"))</f>
        <v/>
      </c>
      <c r="P527" s="12">
        <f>IF($A527="","",_xll.BDP($A527&amp;" Corp","YAS_MOD_DUR"))</f>
        <v/>
      </c>
      <c r="Q527" s="13">
        <f>IF($A527="","",_xll.BDP($A527&amp;" Corp","YAS_OAS_SPRD"))</f>
        <v/>
      </c>
      <c r="R527" s="13">
        <f>IF($A527="","",_xll.BDP($A527&amp;" Corp","YAS_OAS_SPRD","SETTLE_DT",$B$2))</f>
        <v/>
      </c>
      <c r="S527" s="14">
        <f>IF($A527="","",IF(OR(NOT(ISNUMBER($Q527)),NOT(ISNUMBER($R527))),"",$Q527-$R527))</f>
        <v/>
      </c>
      <c r="T527" s="12">
        <f>IF($A527="","",_xll.BDP($A527&amp;" Corp","YAS_BOND_YLD","YAS_YLD_FLAG=15","SETTLE_DT",$B$2))</f>
        <v/>
      </c>
      <c r="U527" s="15">
        <f>IF($A527="","",IF(OR(NOT(ISNUMBER($O527)),NOT(ISNUMBER($T527))),"",$O527-$T527))</f>
        <v/>
      </c>
      <c r="V527" s="13">
        <f>IF(NOT(ISNUMBER($S527)),"",COUNTIFS($G$7:$G$850,$G527,$S$7:$S$850,"&gt;"&amp;$S527)+COUNTIFS($G$7:$G527,$G527,$S$7:$S527,$S527))</f>
        <v/>
      </c>
      <c r="W527" s="13">
        <f>IF(NOT(ISNUMBER($S527)),"",COUNTIFS($G$7:$G$850,$G527,$S$7:$S$850,"&lt;"&amp;$S527)+COUNTIFS($G$7:$G527,$G527,$S$7:$S527,$S527))</f>
        <v/>
      </c>
      <c r="X527" s="8">
        <f>IF($V527="","",$G527&amp;"|"&amp;$V527)</f>
        <v/>
      </c>
      <c r="Y527" s="8">
        <f>IF($W527="","",$G527&amp;"|"&amp;$W527)</f>
        <v/>
      </c>
    </row>
    <row r="528">
      <c r="A528" s="16" t="inlineStr">
        <is>
          <t>US10373QBT67</t>
        </is>
      </c>
      <c r="B528" s="17">
        <f>IF($A528="","",PROPER(_xll.BDP($A528&amp;" Corp","NAME")))</f>
        <v/>
      </c>
      <c r="C528" s="17">
        <f>IF($A528="","",IFERROR(INDEX(Company_desc!$B$2:$B$1144,MATCH($A528,Company_desc!$A$2:$A$1144,0)),IFERROR(INDEX(SYZ_static!$Q$2:$Q$806,MATCH($A528,SYZ_static!$A$2:$A$806,0)),"")))</f>
        <v/>
      </c>
      <c r="D528" s="17">
        <f>IF($A528="","",IFERROR(INDEX(SYZ_static!$B$2:$B$806,MATCH($A528,SYZ_static!$A$2:$A$806,0)),""))</f>
        <v/>
      </c>
      <c r="E528" s="17">
        <f>IF($A528="","",_xll.BDP($A528&amp;" Corp","INDUSTRY_SECTOR"))</f>
        <v/>
      </c>
      <c r="F528" s="17">
        <f>IF($A528="","",PROPER(_xll.BDP($A528&amp;" Corp","COUNTRY_FULL_NAME")))</f>
        <v/>
      </c>
      <c r="G528" s="17">
        <f>IF($A528="","",_xll.BDP($A528&amp;" Corp","CRNCY"))</f>
        <v/>
      </c>
      <c r="H528" s="17">
        <f>IF($A528="","",IFERROR(INDEX(SYZ_static!$T$2:$T$806,MATCH($A528,SYZ_static!$A$2:$A$806,0)),_xll.BDP($A528&amp;" Corp","RTG_SP")))</f>
        <v/>
      </c>
      <c r="I528" s="17">
        <f>IF($A528="","",IFERROR(INDEX(SYZ_static!$S$2:$S$806,MATCH($A528,SYZ_static!$A$2:$A$806,0)),""))</f>
        <v/>
      </c>
      <c r="J528" s="17">
        <f>IF($A528="","",_xll.BDP($A528&amp;" Corp","PAYMENT_RANK"))</f>
        <v/>
      </c>
      <c r="K528" s="18">
        <f>IF($A528="","",_xll.BDP($A528&amp;" Corp","CPN"))</f>
        <v/>
      </c>
      <c r="L528" s="19">
        <f>IF($A528="","",_xll.BDP($A528&amp;" Corp","MATURITY"))</f>
        <v/>
      </c>
      <c r="M528" s="20">
        <f>IF($A528="","",IFERROR(_xll.BDP($A528&amp;" Corp","MIN_PIECE")/1000,""))</f>
        <v/>
      </c>
      <c r="N528" s="21">
        <f>IF($A528="","",_xll.BDP($A528&amp;" Corp","PX_LAST"))</f>
        <v/>
      </c>
      <c r="O528" s="21">
        <f>IF($A528="","",_xll.BDP($A528&amp;" Corp","YAS_BOND_YLD","YAS_YLD_FLAG=15"))</f>
        <v/>
      </c>
      <c r="P528" s="21">
        <f>IF($A528="","",_xll.BDP($A528&amp;" Corp","YAS_MOD_DUR"))</f>
        <v/>
      </c>
      <c r="Q528" s="22">
        <f>IF($A528="","",_xll.BDP($A528&amp;" Corp","YAS_OAS_SPRD"))</f>
        <v/>
      </c>
      <c r="R528" s="22">
        <f>IF($A528="","",_xll.BDP($A528&amp;" Corp","YAS_OAS_SPRD","SETTLE_DT",$B$2))</f>
        <v/>
      </c>
      <c r="S528" s="23">
        <f>IF($A528="","",IF(OR(NOT(ISNUMBER($Q528)),NOT(ISNUMBER($R528))),"",$Q528-$R528))</f>
        <v/>
      </c>
      <c r="T528" s="21">
        <f>IF($A528="","",_xll.BDP($A528&amp;" Corp","YAS_BOND_YLD","YAS_YLD_FLAG=15","SETTLE_DT",$B$2))</f>
        <v/>
      </c>
      <c r="U528" s="24">
        <f>IF($A528="","",IF(OR(NOT(ISNUMBER($O528)),NOT(ISNUMBER($T528))),"",$O528-$T528))</f>
        <v/>
      </c>
      <c r="V528" s="22">
        <f>IF(NOT(ISNUMBER($S528)),"",COUNTIFS($G$7:$G$850,$G528,$S$7:$S$850,"&gt;"&amp;$S528)+COUNTIFS($G$7:$G528,$G528,$S$7:$S528,$S528))</f>
        <v/>
      </c>
      <c r="W528" s="22">
        <f>IF(NOT(ISNUMBER($S528)),"",COUNTIFS($G$7:$G$850,$G528,$S$7:$S$850,"&lt;"&amp;$S528)+COUNTIFS($G$7:$G528,$G528,$S$7:$S528,$S528))</f>
        <v/>
      </c>
      <c r="X528" s="17">
        <f>IF($V528="","",$G528&amp;"|"&amp;$V528)</f>
        <v/>
      </c>
      <c r="Y528" s="17">
        <f>IF($W528="","",$G528&amp;"|"&amp;$W528)</f>
        <v/>
      </c>
    </row>
    <row r="529">
      <c r="A529" s="7" t="inlineStr">
        <is>
          <t>FR001400A1H6</t>
        </is>
      </c>
      <c r="B529" s="8">
        <f>IF($A529="","",PROPER(_xll.BDP($A529&amp;" Corp","NAME")))</f>
        <v/>
      </c>
      <c r="C529" s="8">
        <f>IF($A529="","",IFERROR(INDEX(Company_desc!$B$2:$B$1144,MATCH($A529,Company_desc!$A$2:$A$1144,0)),IFERROR(INDEX(SYZ_static!$Q$2:$Q$806,MATCH($A529,SYZ_static!$A$2:$A$806,0)),"")))</f>
        <v/>
      </c>
      <c r="D529" s="8">
        <f>IF($A529="","",IFERROR(INDEX(SYZ_static!$B$2:$B$806,MATCH($A529,SYZ_static!$A$2:$A$806,0)),""))</f>
        <v/>
      </c>
      <c r="E529" s="8">
        <f>IF($A529="","",_xll.BDP($A529&amp;" Corp","INDUSTRY_SECTOR"))</f>
        <v/>
      </c>
      <c r="F529" s="8">
        <f>IF($A529="","",PROPER(_xll.BDP($A529&amp;" Corp","COUNTRY_FULL_NAME")))</f>
        <v/>
      </c>
      <c r="G529" s="8">
        <f>IF($A529="","",_xll.BDP($A529&amp;" Corp","CRNCY"))</f>
        <v/>
      </c>
      <c r="H529" s="8">
        <f>IF($A529="","",IFERROR(INDEX(SYZ_static!$T$2:$T$806,MATCH($A529,SYZ_static!$A$2:$A$806,0)),_xll.BDP($A529&amp;" Corp","RTG_SP")))</f>
        <v/>
      </c>
      <c r="I529" s="8">
        <f>IF($A529="","",IFERROR(INDEX(SYZ_static!$S$2:$S$806,MATCH($A529,SYZ_static!$A$2:$A$806,0)),""))</f>
        <v/>
      </c>
      <c r="J529" s="8">
        <f>IF($A529="","",_xll.BDP($A529&amp;" Corp","PAYMENT_RANK"))</f>
        <v/>
      </c>
      <c r="K529" s="9">
        <f>IF($A529="","",_xll.BDP($A529&amp;" Corp","CPN"))</f>
        <v/>
      </c>
      <c r="L529" s="10">
        <f>IF($A529="","",_xll.BDP($A529&amp;" Corp","MATURITY"))</f>
        <v/>
      </c>
      <c r="M529" s="11">
        <f>IF($A529="","",IFERROR(_xll.BDP($A529&amp;" Corp","MIN_PIECE")/1000,""))</f>
        <v/>
      </c>
      <c r="N529" s="12">
        <f>IF($A529="","",_xll.BDP($A529&amp;" Corp","PX_LAST"))</f>
        <v/>
      </c>
      <c r="O529" s="12">
        <f>IF($A529="","",_xll.BDP($A529&amp;" Corp","YAS_BOND_YLD","YAS_YLD_FLAG=15"))</f>
        <v/>
      </c>
      <c r="P529" s="12">
        <f>IF($A529="","",_xll.BDP($A529&amp;" Corp","YAS_MOD_DUR"))</f>
        <v/>
      </c>
      <c r="Q529" s="13">
        <f>IF($A529="","",_xll.BDP($A529&amp;" Corp","YAS_OAS_SPRD"))</f>
        <v/>
      </c>
      <c r="R529" s="13">
        <f>IF($A529="","",_xll.BDP($A529&amp;" Corp","YAS_OAS_SPRD","SETTLE_DT",$B$2))</f>
        <v/>
      </c>
      <c r="S529" s="14">
        <f>IF($A529="","",IF(OR(NOT(ISNUMBER($Q529)),NOT(ISNUMBER($R529))),"",$Q529-$R529))</f>
        <v/>
      </c>
      <c r="T529" s="12">
        <f>IF($A529="","",_xll.BDP($A529&amp;" Corp","YAS_BOND_YLD","YAS_YLD_FLAG=15","SETTLE_DT",$B$2))</f>
        <v/>
      </c>
      <c r="U529" s="15">
        <f>IF($A529="","",IF(OR(NOT(ISNUMBER($O529)),NOT(ISNUMBER($T529))),"",$O529-$T529))</f>
        <v/>
      </c>
      <c r="V529" s="13">
        <f>IF(NOT(ISNUMBER($S529)),"",COUNTIFS($G$7:$G$850,$G529,$S$7:$S$850,"&gt;"&amp;$S529)+COUNTIFS($G$7:$G529,$G529,$S$7:$S529,$S529))</f>
        <v/>
      </c>
      <c r="W529" s="13">
        <f>IF(NOT(ISNUMBER($S529)),"",COUNTIFS($G$7:$G$850,$G529,$S$7:$S$850,"&lt;"&amp;$S529)+COUNTIFS($G$7:$G529,$G529,$S$7:$S529,$S529))</f>
        <v/>
      </c>
      <c r="X529" s="8">
        <f>IF($V529="","",$G529&amp;"|"&amp;$V529)</f>
        <v/>
      </c>
      <c r="Y529" s="8">
        <f>IF($W529="","",$G529&amp;"|"&amp;$W529)</f>
        <v/>
      </c>
    </row>
    <row r="530">
      <c r="A530" s="16" t="inlineStr">
        <is>
          <t>XS2583742239</t>
        </is>
      </c>
      <c r="B530" s="17">
        <f>IF($A530="","",PROPER(_xll.BDP($A530&amp;" Corp","NAME")))</f>
        <v/>
      </c>
      <c r="C530" s="17">
        <f>IF($A530="","",IFERROR(INDEX(Company_desc!$B$2:$B$1144,MATCH($A530,Company_desc!$A$2:$A$1144,0)),IFERROR(INDEX(SYZ_static!$Q$2:$Q$806,MATCH($A530,SYZ_static!$A$2:$A$806,0)),"")))</f>
        <v/>
      </c>
      <c r="D530" s="17">
        <f>IF($A530="","",IFERROR(INDEX(SYZ_static!$B$2:$B$806,MATCH($A530,SYZ_static!$A$2:$A$806,0)),""))</f>
        <v/>
      </c>
      <c r="E530" s="17">
        <f>IF($A530="","",_xll.BDP($A530&amp;" Corp","INDUSTRY_SECTOR"))</f>
        <v/>
      </c>
      <c r="F530" s="17">
        <f>IF($A530="","",PROPER(_xll.BDP($A530&amp;" Corp","COUNTRY_FULL_NAME")))</f>
        <v/>
      </c>
      <c r="G530" s="17">
        <f>IF($A530="","",_xll.BDP($A530&amp;" Corp","CRNCY"))</f>
        <v/>
      </c>
      <c r="H530" s="17">
        <f>IF($A530="","",IFERROR(INDEX(SYZ_static!$T$2:$T$806,MATCH($A530,SYZ_static!$A$2:$A$806,0)),_xll.BDP($A530&amp;" Corp","RTG_SP")))</f>
        <v/>
      </c>
      <c r="I530" s="17">
        <f>IF($A530="","",IFERROR(INDEX(SYZ_static!$S$2:$S$806,MATCH($A530,SYZ_static!$A$2:$A$806,0)),""))</f>
        <v/>
      </c>
      <c r="J530" s="17">
        <f>IF($A530="","",_xll.BDP($A530&amp;" Corp","PAYMENT_RANK"))</f>
        <v/>
      </c>
      <c r="K530" s="18">
        <f>IF($A530="","",_xll.BDP($A530&amp;" Corp","CPN"))</f>
        <v/>
      </c>
      <c r="L530" s="19">
        <f>IF($A530="","",_xll.BDP($A530&amp;" Corp","MATURITY"))</f>
        <v/>
      </c>
      <c r="M530" s="20">
        <f>IF($A530="","",IFERROR(_xll.BDP($A530&amp;" Corp","MIN_PIECE")/1000,""))</f>
        <v/>
      </c>
      <c r="N530" s="21">
        <f>IF($A530="","",_xll.BDP($A530&amp;" Corp","PX_LAST"))</f>
        <v/>
      </c>
      <c r="O530" s="21">
        <f>IF($A530="","",_xll.BDP($A530&amp;" Corp","YAS_BOND_YLD","YAS_YLD_FLAG=15"))</f>
        <v/>
      </c>
      <c r="P530" s="21">
        <f>IF($A530="","",_xll.BDP($A530&amp;" Corp","YAS_MOD_DUR"))</f>
        <v/>
      </c>
      <c r="Q530" s="22">
        <f>IF($A530="","",_xll.BDP($A530&amp;" Corp","YAS_OAS_SPRD"))</f>
        <v/>
      </c>
      <c r="R530" s="22">
        <f>IF($A530="","",_xll.BDP($A530&amp;" Corp","YAS_OAS_SPRD","SETTLE_DT",$B$2))</f>
        <v/>
      </c>
      <c r="S530" s="23">
        <f>IF($A530="","",IF(OR(NOT(ISNUMBER($Q530)),NOT(ISNUMBER($R530))),"",$Q530-$R530))</f>
        <v/>
      </c>
      <c r="T530" s="21">
        <f>IF($A530="","",_xll.BDP($A530&amp;" Corp","YAS_BOND_YLD","YAS_YLD_FLAG=15","SETTLE_DT",$B$2))</f>
        <v/>
      </c>
      <c r="U530" s="24">
        <f>IF($A530="","",IF(OR(NOT(ISNUMBER($O530)),NOT(ISNUMBER($T530))),"",$O530-$T530))</f>
        <v/>
      </c>
      <c r="V530" s="22">
        <f>IF(NOT(ISNUMBER($S530)),"",COUNTIFS($G$7:$G$850,$G530,$S$7:$S$850,"&gt;"&amp;$S530)+COUNTIFS($G$7:$G530,$G530,$S$7:$S530,$S530))</f>
        <v/>
      </c>
      <c r="W530" s="22">
        <f>IF(NOT(ISNUMBER($S530)),"",COUNTIFS($G$7:$G$850,$G530,$S$7:$S$850,"&lt;"&amp;$S530)+COUNTIFS($G$7:$G530,$G530,$S$7:$S530,$S530))</f>
        <v/>
      </c>
      <c r="X530" s="17">
        <f>IF($V530="","",$G530&amp;"|"&amp;$V530)</f>
        <v/>
      </c>
      <c r="Y530" s="17">
        <f>IF($W530="","",$G530&amp;"|"&amp;$W530)</f>
        <v/>
      </c>
    </row>
    <row r="531">
      <c r="A531" s="7" t="inlineStr">
        <is>
          <t>XS2233217558</t>
        </is>
      </c>
      <c r="B531" s="8">
        <f>IF($A531="","",PROPER(_xll.BDP($A531&amp;" Corp","NAME")))</f>
        <v/>
      </c>
      <c r="C531" s="8">
        <f>IF($A531="","",IFERROR(INDEX(Company_desc!$B$2:$B$1144,MATCH($A531,Company_desc!$A$2:$A$1144,0)),IFERROR(INDEX(SYZ_static!$Q$2:$Q$806,MATCH($A531,SYZ_static!$A$2:$A$806,0)),"")))</f>
        <v/>
      </c>
      <c r="D531" s="8">
        <f>IF($A531="","",IFERROR(INDEX(SYZ_static!$B$2:$B$806,MATCH($A531,SYZ_static!$A$2:$A$806,0)),""))</f>
        <v/>
      </c>
      <c r="E531" s="8">
        <f>IF($A531="","",_xll.BDP($A531&amp;" Corp","INDUSTRY_SECTOR"))</f>
        <v/>
      </c>
      <c r="F531" s="8">
        <f>IF($A531="","",PROPER(_xll.BDP($A531&amp;" Corp","COUNTRY_FULL_NAME")))</f>
        <v/>
      </c>
      <c r="G531" s="8">
        <f>IF($A531="","",_xll.BDP($A531&amp;" Corp","CRNCY"))</f>
        <v/>
      </c>
      <c r="H531" s="8">
        <f>IF($A531="","",IFERROR(INDEX(SYZ_static!$T$2:$T$806,MATCH($A531,SYZ_static!$A$2:$A$806,0)),_xll.BDP($A531&amp;" Corp","RTG_SP")))</f>
        <v/>
      </c>
      <c r="I531" s="8">
        <f>IF($A531="","",IFERROR(INDEX(SYZ_static!$S$2:$S$806,MATCH($A531,SYZ_static!$A$2:$A$806,0)),""))</f>
        <v/>
      </c>
      <c r="J531" s="8">
        <f>IF($A531="","",_xll.BDP($A531&amp;" Corp","PAYMENT_RANK"))</f>
        <v/>
      </c>
      <c r="K531" s="9">
        <f>IF($A531="","",_xll.BDP($A531&amp;" Corp","CPN"))</f>
        <v/>
      </c>
      <c r="L531" s="10">
        <f>IF($A531="","",_xll.BDP($A531&amp;" Corp","MATURITY"))</f>
        <v/>
      </c>
      <c r="M531" s="11">
        <f>IF($A531="","",IFERROR(_xll.BDP($A531&amp;" Corp","MIN_PIECE")/1000,""))</f>
        <v/>
      </c>
      <c r="N531" s="12">
        <f>IF($A531="","",_xll.BDP($A531&amp;" Corp","PX_LAST"))</f>
        <v/>
      </c>
      <c r="O531" s="12">
        <f>IF($A531="","",_xll.BDP($A531&amp;" Corp","YAS_BOND_YLD","YAS_YLD_FLAG=15"))</f>
        <v/>
      </c>
      <c r="P531" s="12">
        <f>IF($A531="","",_xll.BDP($A531&amp;" Corp","YAS_MOD_DUR"))</f>
        <v/>
      </c>
      <c r="Q531" s="13">
        <f>IF($A531="","",_xll.BDP($A531&amp;" Corp","YAS_OAS_SPRD"))</f>
        <v/>
      </c>
      <c r="R531" s="13">
        <f>IF($A531="","",_xll.BDP($A531&amp;" Corp","YAS_OAS_SPRD","SETTLE_DT",$B$2))</f>
        <v/>
      </c>
      <c r="S531" s="14">
        <f>IF($A531="","",IF(OR(NOT(ISNUMBER($Q531)),NOT(ISNUMBER($R531))),"",$Q531-$R531))</f>
        <v/>
      </c>
      <c r="T531" s="12">
        <f>IF($A531="","",_xll.BDP($A531&amp;" Corp","YAS_BOND_YLD","YAS_YLD_FLAG=15","SETTLE_DT",$B$2))</f>
        <v/>
      </c>
      <c r="U531" s="15">
        <f>IF($A531="","",IF(OR(NOT(ISNUMBER($O531)),NOT(ISNUMBER($T531))),"",$O531-$T531))</f>
        <v/>
      </c>
      <c r="V531" s="13">
        <f>IF(NOT(ISNUMBER($S531)),"",COUNTIFS($G$7:$G$850,$G531,$S$7:$S$850,"&gt;"&amp;$S531)+COUNTIFS($G$7:$G531,$G531,$S$7:$S531,$S531))</f>
        <v/>
      </c>
      <c r="W531" s="13">
        <f>IF(NOT(ISNUMBER($S531)),"",COUNTIFS($G$7:$G$850,$G531,$S$7:$S$850,"&lt;"&amp;$S531)+COUNTIFS($G$7:$G531,$G531,$S$7:$S531,$S531))</f>
        <v/>
      </c>
      <c r="X531" s="8">
        <f>IF($V531="","",$G531&amp;"|"&amp;$V531)</f>
        <v/>
      </c>
      <c r="Y531" s="8">
        <f>IF($W531="","",$G531&amp;"|"&amp;$W531)</f>
        <v/>
      </c>
    </row>
    <row r="532">
      <c r="A532" s="16" t="inlineStr">
        <is>
          <t>USG2176WAB21</t>
        </is>
      </c>
      <c r="B532" s="17">
        <f>IF($A532="","",PROPER(_xll.BDP($A532&amp;" Corp","NAME")))</f>
        <v/>
      </c>
      <c r="C532" s="17">
        <f>IF($A532="","",IFERROR(INDEX(Company_desc!$B$2:$B$1144,MATCH($A532,Company_desc!$A$2:$A$1144,0)),IFERROR(INDEX(SYZ_static!$Q$2:$Q$806,MATCH($A532,SYZ_static!$A$2:$A$806,0)),"")))</f>
        <v/>
      </c>
      <c r="D532" s="17">
        <f>IF($A532="","",IFERROR(INDEX(SYZ_static!$B$2:$B$806,MATCH($A532,SYZ_static!$A$2:$A$806,0)),""))</f>
        <v/>
      </c>
      <c r="E532" s="17">
        <f>IF($A532="","",_xll.BDP($A532&amp;" Corp","INDUSTRY_SECTOR"))</f>
        <v/>
      </c>
      <c r="F532" s="17">
        <f>IF($A532="","",PROPER(_xll.BDP($A532&amp;" Corp","COUNTRY_FULL_NAME")))</f>
        <v/>
      </c>
      <c r="G532" s="17">
        <f>IF($A532="","",_xll.BDP($A532&amp;" Corp","CRNCY"))</f>
        <v/>
      </c>
      <c r="H532" s="17">
        <f>IF($A532="","",IFERROR(INDEX(SYZ_static!$T$2:$T$806,MATCH($A532,SYZ_static!$A$2:$A$806,0)),_xll.BDP($A532&amp;" Corp","RTG_SP")))</f>
        <v/>
      </c>
      <c r="I532" s="17">
        <f>IF($A532="","",IFERROR(INDEX(SYZ_static!$S$2:$S$806,MATCH($A532,SYZ_static!$A$2:$A$806,0)),""))</f>
        <v/>
      </c>
      <c r="J532" s="17">
        <f>IF($A532="","",_xll.BDP($A532&amp;" Corp","PAYMENT_RANK"))</f>
        <v/>
      </c>
      <c r="K532" s="18">
        <f>IF($A532="","",_xll.BDP($A532&amp;" Corp","CPN"))</f>
        <v/>
      </c>
      <c r="L532" s="19">
        <f>IF($A532="","",_xll.BDP($A532&amp;" Corp","MATURITY"))</f>
        <v/>
      </c>
      <c r="M532" s="20">
        <f>IF($A532="","",IFERROR(_xll.BDP($A532&amp;" Corp","MIN_PIECE")/1000,""))</f>
        <v/>
      </c>
      <c r="N532" s="21">
        <f>IF($A532="","",_xll.BDP($A532&amp;" Corp","PX_LAST"))</f>
        <v/>
      </c>
      <c r="O532" s="21">
        <f>IF($A532="","",_xll.BDP($A532&amp;" Corp","YAS_BOND_YLD","YAS_YLD_FLAG=15"))</f>
        <v/>
      </c>
      <c r="P532" s="21">
        <f>IF($A532="","",_xll.BDP($A532&amp;" Corp","YAS_MOD_DUR"))</f>
        <v/>
      </c>
      <c r="Q532" s="22">
        <f>IF($A532="","",_xll.BDP($A532&amp;" Corp","YAS_OAS_SPRD"))</f>
        <v/>
      </c>
      <c r="R532" s="22">
        <f>IF($A532="","",_xll.BDP($A532&amp;" Corp","YAS_OAS_SPRD","SETTLE_DT",$B$2))</f>
        <v/>
      </c>
      <c r="S532" s="23">
        <f>IF($A532="","",IF(OR(NOT(ISNUMBER($Q532)),NOT(ISNUMBER($R532))),"",$Q532-$R532))</f>
        <v/>
      </c>
      <c r="T532" s="21">
        <f>IF($A532="","",_xll.BDP($A532&amp;" Corp","YAS_BOND_YLD","YAS_YLD_FLAG=15","SETTLE_DT",$B$2))</f>
        <v/>
      </c>
      <c r="U532" s="24">
        <f>IF($A532="","",IF(OR(NOT(ISNUMBER($O532)),NOT(ISNUMBER($T532))),"",$O532-$T532))</f>
        <v/>
      </c>
      <c r="V532" s="22">
        <f>IF(NOT(ISNUMBER($S532)),"",COUNTIFS($G$7:$G$850,$G532,$S$7:$S$850,"&gt;"&amp;$S532)+COUNTIFS($G$7:$G532,$G532,$S$7:$S532,$S532))</f>
        <v/>
      </c>
      <c r="W532" s="22">
        <f>IF(NOT(ISNUMBER($S532)),"",COUNTIFS($G$7:$G$850,$G532,$S$7:$S$850,"&lt;"&amp;$S532)+COUNTIFS($G$7:$G532,$G532,$S$7:$S532,$S532))</f>
        <v/>
      </c>
      <c r="X532" s="17">
        <f>IF($V532="","",$G532&amp;"|"&amp;$V532)</f>
        <v/>
      </c>
      <c r="Y532" s="17">
        <f>IF($W532="","",$G532&amp;"|"&amp;$W532)</f>
        <v/>
      </c>
    </row>
    <row r="533">
      <c r="A533" s="7" t="inlineStr">
        <is>
          <t>USU5876JAG05</t>
        </is>
      </c>
      <c r="B533" s="8">
        <f>IF($A533="","",PROPER(_xll.BDP($A533&amp;" Corp","NAME")))</f>
        <v/>
      </c>
      <c r="C533" s="8">
        <f>IF($A533="","",IFERROR(INDEX(Company_desc!$B$2:$B$1144,MATCH($A533,Company_desc!$A$2:$A$1144,0)),IFERROR(INDEX(SYZ_static!$Q$2:$Q$806,MATCH($A533,SYZ_static!$A$2:$A$806,0)),"")))</f>
        <v/>
      </c>
      <c r="D533" s="8">
        <f>IF($A533="","",IFERROR(INDEX(SYZ_static!$B$2:$B$806,MATCH($A533,SYZ_static!$A$2:$A$806,0)),""))</f>
        <v/>
      </c>
      <c r="E533" s="8">
        <f>IF($A533="","",_xll.BDP($A533&amp;" Corp","INDUSTRY_SECTOR"))</f>
        <v/>
      </c>
      <c r="F533" s="8">
        <f>IF($A533="","",PROPER(_xll.BDP($A533&amp;" Corp","COUNTRY_FULL_NAME")))</f>
        <v/>
      </c>
      <c r="G533" s="8">
        <f>IF($A533="","",_xll.BDP($A533&amp;" Corp","CRNCY"))</f>
        <v/>
      </c>
      <c r="H533" s="8">
        <f>IF($A533="","",IFERROR(INDEX(SYZ_static!$T$2:$T$806,MATCH($A533,SYZ_static!$A$2:$A$806,0)),_xll.BDP($A533&amp;" Corp","RTG_SP")))</f>
        <v/>
      </c>
      <c r="I533" s="8">
        <f>IF($A533="","",IFERROR(INDEX(SYZ_static!$S$2:$S$806,MATCH($A533,SYZ_static!$A$2:$A$806,0)),""))</f>
        <v/>
      </c>
      <c r="J533" s="8">
        <f>IF($A533="","",_xll.BDP($A533&amp;" Corp","PAYMENT_RANK"))</f>
        <v/>
      </c>
      <c r="K533" s="9">
        <f>IF($A533="","",_xll.BDP($A533&amp;" Corp","CPN"))</f>
        <v/>
      </c>
      <c r="L533" s="10">
        <f>IF($A533="","",_xll.BDP($A533&amp;" Corp","MATURITY"))</f>
        <v/>
      </c>
      <c r="M533" s="11">
        <f>IF($A533="","",IFERROR(_xll.BDP($A533&amp;" Corp","MIN_PIECE")/1000,""))</f>
        <v/>
      </c>
      <c r="N533" s="12">
        <f>IF($A533="","",_xll.BDP($A533&amp;" Corp","PX_LAST"))</f>
        <v/>
      </c>
      <c r="O533" s="12">
        <f>IF($A533="","",_xll.BDP($A533&amp;" Corp","YAS_BOND_YLD","YAS_YLD_FLAG=15"))</f>
        <v/>
      </c>
      <c r="P533" s="12">
        <f>IF($A533="","",_xll.BDP($A533&amp;" Corp","YAS_MOD_DUR"))</f>
        <v/>
      </c>
      <c r="Q533" s="13">
        <f>IF($A533="","",_xll.BDP($A533&amp;" Corp","YAS_OAS_SPRD"))</f>
        <v/>
      </c>
      <c r="R533" s="13">
        <f>IF($A533="","",_xll.BDP($A533&amp;" Corp","YAS_OAS_SPRD","SETTLE_DT",$B$2))</f>
        <v/>
      </c>
      <c r="S533" s="14">
        <f>IF($A533="","",IF(OR(NOT(ISNUMBER($Q533)),NOT(ISNUMBER($R533))),"",$Q533-$R533))</f>
        <v/>
      </c>
      <c r="T533" s="12">
        <f>IF($A533="","",_xll.BDP($A533&amp;" Corp","YAS_BOND_YLD","YAS_YLD_FLAG=15","SETTLE_DT",$B$2))</f>
        <v/>
      </c>
      <c r="U533" s="15">
        <f>IF($A533="","",IF(OR(NOT(ISNUMBER($O533)),NOT(ISNUMBER($T533))),"",$O533-$T533))</f>
        <v/>
      </c>
      <c r="V533" s="13">
        <f>IF(NOT(ISNUMBER($S533)),"",COUNTIFS($G$7:$G$850,$G533,$S$7:$S$850,"&gt;"&amp;$S533)+COUNTIFS($G$7:$G533,$G533,$S$7:$S533,$S533))</f>
        <v/>
      </c>
      <c r="W533" s="13">
        <f>IF(NOT(ISNUMBER($S533)),"",COUNTIFS($G$7:$G$850,$G533,$S$7:$S$850,"&lt;"&amp;$S533)+COUNTIFS($G$7:$G533,$G533,$S$7:$S533,$S533))</f>
        <v/>
      </c>
      <c r="X533" s="8">
        <f>IF($V533="","",$G533&amp;"|"&amp;$V533)</f>
        <v/>
      </c>
      <c r="Y533" s="8">
        <f>IF($W533="","",$G533&amp;"|"&amp;$W533)</f>
        <v/>
      </c>
    </row>
    <row r="534">
      <c r="A534" s="16" t="inlineStr">
        <is>
          <t>XS2597093009</t>
        </is>
      </c>
      <c r="B534" s="17">
        <f>IF($A534="","",PROPER(_xll.BDP($A534&amp;" Corp","NAME")))</f>
        <v/>
      </c>
      <c r="C534" s="17">
        <f>IF($A534="","",IFERROR(INDEX(Company_desc!$B$2:$B$1144,MATCH($A534,Company_desc!$A$2:$A$1144,0)),IFERROR(INDEX(SYZ_static!$Q$2:$Q$806,MATCH($A534,SYZ_static!$A$2:$A$806,0)),"")))</f>
        <v/>
      </c>
      <c r="D534" s="17">
        <f>IF($A534="","",IFERROR(INDEX(SYZ_static!$B$2:$B$806,MATCH($A534,SYZ_static!$A$2:$A$806,0)),""))</f>
        <v/>
      </c>
      <c r="E534" s="17">
        <f>IF($A534="","",_xll.BDP($A534&amp;" Corp","INDUSTRY_SECTOR"))</f>
        <v/>
      </c>
      <c r="F534" s="17">
        <f>IF($A534="","",PROPER(_xll.BDP($A534&amp;" Corp","COUNTRY_FULL_NAME")))</f>
        <v/>
      </c>
      <c r="G534" s="17">
        <f>IF($A534="","",_xll.BDP($A534&amp;" Corp","CRNCY"))</f>
        <v/>
      </c>
      <c r="H534" s="17">
        <f>IF($A534="","",IFERROR(INDEX(SYZ_static!$T$2:$T$806,MATCH($A534,SYZ_static!$A$2:$A$806,0)),_xll.BDP($A534&amp;" Corp","RTG_SP")))</f>
        <v/>
      </c>
      <c r="I534" s="17">
        <f>IF($A534="","",IFERROR(INDEX(SYZ_static!$S$2:$S$806,MATCH($A534,SYZ_static!$A$2:$A$806,0)),""))</f>
        <v/>
      </c>
      <c r="J534" s="17">
        <f>IF($A534="","",_xll.BDP($A534&amp;" Corp","PAYMENT_RANK"))</f>
        <v/>
      </c>
      <c r="K534" s="18">
        <f>IF($A534="","",_xll.BDP($A534&amp;" Corp","CPN"))</f>
        <v/>
      </c>
      <c r="L534" s="19">
        <f>IF($A534="","",_xll.BDP($A534&amp;" Corp","MATURITY"))</f>
        <v/>
      </c>
      <c r="M534" s="20">
        <f>IF($A534="","",IFERROR(_xll.BDP($A534&amp;" Corp","MIN_PIECE")/1000,""))</f>
        <v/>
      </c>
      <c r="N534" s="21">
        <f>IF($A534="","",_xll.BDP($A534&amp;" Corp","PX_LAST"))</f>
        <v/>
      </c>
      <c r="O534" s="21">
        <f>IF($A534="","",_xll.BDP($A534&amp;" Corp","YAS_BOND_YLD","YAS_YLD_FLAG=15"))</f>
        <v/>
      </c>
      <c r="P534" s="21">
        <f>IF($A534="","",_xll.BDP($A534&amp;" Corp","YAS_MOD_DUR"))</f>
        <v/>
      </c>
      <c r="Q534" s="22">
        <f>IF($A534="","",_xll.BDP($A534&amp;" Corp","YAS_OAS_SPRD"))</f>
        <v/>
      </c>
      <c r="R534" s="22">
        <f>IF($A534="","",_xll.BDP($A534&amp;" Corp","YAS_OAS_SPRD","SETTLE_DT",$B$2))</f>
        <v/>
      </c>
      <c r="S534" s="23">
        <f>IF($A534="","",IF(OR(NOT(ISNUMBER($Q534)),NOT(ISNUMBER($R534))),"",$Q534-$R534))</f>
        <v/>
      </c>
      <c r="T534" s="21">
        <f>IF($A534="","",_xll.BDP($A534&amp;" Corp","YAS_BOND_YLD","YAS_YLD_FLAG=15","SETTLE_DT",$B$2))</f>
        <v/>
      </c>
      <c r="U534" s="24">
        <f>IF($A534="","",IF(OR(NOT(ISNUMBER($O534)),NOT(ISNUMBER($T534))),"",$O534-$T534))</f>
        <v/>
      </c>
      <c r="V534" s="22">
        <f>IF(NOT(ISNUMBER($S534)),"",COUNTIFS($G$7:$G$850,$G534,$S$7:$S$850,"&gt;"&amp;$S534)+COUNTIFS($G$7:$G534,$G534,$S$7:$S534,$S534))</f>
        <v/>
      </c>
      <c r="W534" s="22">
        <f>IF(NOT(ISNUMBER($S534)),"",COUNTIFS($G$7:$G$850,$G534,$S$7:$S$850,"&lt;"&amp;$S534)+COUNTIFS($G$7:$G534,$G534,$S$7:$S534,$S534))</f>
        <v/>
      </c>
      <c r="X534" s="17">
        <f>IF($V534="","",$G534&amp;"|"&amp;$V534)</f>
        <v/>
      </c>
      <c r="Y534" s="17">
        <f>IF($W534="","",$G534&amp;"|"&amp;$W534)</f>
        <v/>
      </c>
    </row>
    <row r="535">
      <c r="A535" s="7" t="inlineStr">
        <is>
          <t>XS2583742585</t>
        </is>
      </c>
      <c r="B535" s="8">
        <f>IF($A535="","",PROPER(_xll.BDP($A535&amp;" Corp","NAME")))</f>
        <v/>
      </c>
      <c r="C535" s="8">
        <f>IF($A535="","",IFERROR(INDEX(Company_desc!$B$2:$B$1144,MATCH($A535,Company_desc!$A$2:$A$1144,0)),IFERROR(INDEX(SYZ_static!$Q$2:$Q$806,MATCH($A535,SYZ_static!$A$2:$A$806,0)),"")))</f>
        <v/>
      </c>
      <c r="D535" s="8">
        <f>IF($A535="","",IFERROR(INDEX(SYZ_static!$B$2:$B$806,MATCH($A535,SYZ_static!$A$2:$A$806,0)),""))</f>
        <v/>
      </c>
      <c r="E535" s="8">
        <f>IF($A535="","",_xll.BDP($A535&amp;" Corp","INDUSTRY_SECTOR"))</f>
        <v/>
      </c>
      <c r="F535" s="8">
        <f>IF($A535="","",PROPER(_xll.BDP($A535&amp;" Corp","COUNTRY_FULL_NAME")))</f>
        <v/>
      </c>
      <c r="G535" s="8">
        <f>IF($A535="","",_xll.BDP($A535&amp;" Corp","CRNCY"))</f>
        <v/>
      </c>
      <c r="H535" s="8">
        <f>IF($A535="","",IFERROR(INDEX(SYZ_static!$T$2:$T$806,MATCH($A535,SYZ_static!$A$2:$A$806,0)),_xll.BDP($A535&amp;" Corp","RTG_SP")))</f>
        <v/>
      </c>
      <c r="I535" s="8">
        <f>IF($A535="","",IFERROR(INDEX(SYZ_static!$S$2:$S$806,MATCH($A535,SYZ_static!$A$2:$A$806,0)),""))</f>
        <v/>
      </c>
      <c r="J535" s="8">
        <f>IF($A535="","",_xll.BDP($A535&amp;" Corp","PAYMENT_RANK"))</f>
        <v/>
      </c>
      <c r="K535" s="9">
        <f>IF($A535="","",_xll.BDP($A535&amp;" Corp","CPN"))</f>
        <v/>
      </c>
      <c r="L535" s="10">
        <f>IF($A535="","",_xll.BDP($A535&amp;" Corp","MATURITY"))</f>
        <v/>
      </c>
      <c r="M535" s="11">
        <f>IF($A535="","",IFERROR(_xll.BDP($A535&amp;" Corp","MIN_PIECE")/1000,""))</f>
        <v/>
      </c>
      <c r="N535" s="12">
        <f>IF($A535="","",_xll.BDP($A535&amp;" Corp","PX_LAST"))</f>
        <v/>
      </c>
      <c r="O535" s="12">
        <f>IF($A535="","",_xll.BDP($A535&amp;" Corp","YAS_BOND_YLD","YAS_YLD_FLAG=15"))</f>
        <v/>
      </c>
      <c r="P535" s="12">
        <f>IF($A535="","",_xll.BDP($A535&amp;" Corp","YAS_MOD_DUR"))</f>
        <v/>
      </c>
      <c r="Q535" s="13">
        <f>IF($A535="","",_xll.BDP($A535&amp;" Corp","YAS_OAS_SPRD"))</f>
        <v/>
      </c>
      <c r="R535" s="13">
        <f>IF($A535="","",_xll.BDP($A535&amp;" Corp","YAS_OAS_SPRD","SETTLE_DT",$B$2))</f>
        <v/>
      </c>
      <c r="S535" s="14">
        <f>IF($A535="","",IF(OR(NOT(ISNUMBER($Q535)),NOT(ISNUMBER($R535))),"",$Q535-$R535))</f>
        <v/>
      </c>
      <c r="T535" s="12">
        <f>IF($A535="","",_xll.BDP($A535&amp;" Corp","YAS_BOND_YLD","YAS_YLD_FLAG=15","SETTLE_DT",$B$2))</f>
        <v/>
      </c>
      <c r="U535" s="15">
        <f>IF($A535="","",IF(OR(NOT(ISNUMBER($O535)),NOT(ISNUMBER($T535))),"",$O535-$T535))</f>
        <v/>
      </c>
      <c r="V535" s="13">
        <f>IF(NOT(ISNUMBER($S535)),"",COUNTIFS($G$7:$G$850,$G535,$S$7:$S$850,"&gt;"&amp;$S535)+COUNTIFS($G$7:$G535,$G535,$S$7:$S535,$S535))</f>
        <v/>
      </c>
      <c r="W535" s="13">
        <f>IF(NOT(ISNUMBER($S535)),"",COUNTIFS($G$7:$G$850,$G535,$S$7:$S$850,"&lt;"&amp;$S535)+COUNTIFS($G$7:$G535,$G535,$S$7:$S535,$S535))</f>
        <v/>
      </c>
      <c r="X535" s="8">
        <f>IF($V535="","",$G535&amp;"|"&amp;$V535)</f>
        <v/>
      </c>
      <c r="Y535" s="8">
        <f>IF($W535="","",$G535&amp;"|"&amp;$W535)</f>
        <v/>
      </c>
    </row>
    <row r="536">
      <c r="A536" s="16" t="inlineStr">
        <is>
          <t>FR001400FIM6</t>
        </is>
      </c>
      <c r="B536" s="17">
        <f>IF($A536="","",PROPER(_xll.BDP($A536&amp;" Corp","NAME")))</f>
        <v/>
      </c>
      <c r="C536" s="17">
        <f>IF($A536="","",IFERROR(INDEX(Company_desc!$B$2:$B$1144,MATCH($A536,Company_desc!$A$2:$A$1144,0)),IFERROR(INDEX(SYZ_static!$Q$2:$Q$806,MATCH($A536,SYZ_static!$A$2:$A$806,0)),"")))</f>
        <v/>
      </c>
      <c r="D536" s="17">
        <f>IF($A536="","",IFERROR(INDEX(SYZ_static!$B$2:$B$806,MATCH($A536,SYZ_static!$A$2:$A$806,0)),""))</f>
        <v/>
      </c>
      <c r="E536" s="17">
        <f>IF($A536="","",_xll.BDP($A536&amp;" Corp","INDUSTRY_SECTOR"))</f>
        <v/>
      </c>
      <c r="F536" s="17">
        <f>IF($A536="","",PROPER(_xll.BDP($A536&amp;" Corp","COUNTRY_FULL_NAME")))</f>
        <v/>
      </c>
      <c r="G536" s="17">
        <f>IF($A536="","",_xll.BDP($A536&amp;" Corp","CRNCY"))</f>
        <v/>
      </c>
      <c r="H536" s="17">
        <f>IF($A536="","",IFERROR(INDEX(SYZ_static!$T$2:$T$806,MATCH($A536,SYZ_static!$A$2:$A$806,0)),_xll.BDP($A536&amp;" Corp","RTG_SP")))</f>
        <v/>
      </c>
      <c r="I536" s="17">
        <f>IF($A536="","",IFERROR(INDEX(SYZ_static!$S$2:$S$806,MATCH($A536,SYZ_static!$A$2:$A$806,0)),""))</f>
        <v/>
      </c>
      <c r="J536" s="17">
        <f>IF($A536="","",_xll.BDP($A536&amp;" Corp","PAYMENT_RANK"))</f>
        <v/>
      </c>
      <c r="K536" s="18">
        <f>IF($A536="","",_xll.BDP($A536&amp;" Corp","CPN"))</f>
        <v/>
      </c>
      <c r="L536" s="19">
        <f>IF($A536="","",_xll.BDP($A536&amp;" Corp","MATURITY"))</f>
        <v/>
      </c>
      <c r="M536" s="20">
        <f>IF($A536="","",IFERROR(_xll.BDP($A536&amp;" Corp","MIN_PIECE")/1000,""))</f>
        <v/>
      </c>
      <c r="N536" s="21">
        <f>IF($A536="","",_xll.BDP($A536&amp;" Corp","PX_LAST"))</f>
        <v/>
      </c>
      <c r="O536" s="21">
        <f>IF($A536="","",_xll.BDP($A536&amp;" Corp","YAS_BOND_YLD","YAS_YLD_FLAG=15"))</f>
        <v/>
      </c>
      <c r="P536" s="21">
        <f>IF($A536="","",_xll.BDP($A536&amp;" Corp","YAS_MOD_DUR"))</f>
        <v/>
      </c>
      <c r="Q536" s="22">
        <f>IF($A536="","",_xll.BDP($A536&amp;" Corp","YAS_OAS_SPRD"))</f>
        <v/>
      </c>
      <c r="R536" s="22">
        <f>IF($A536="","",_xll.BDP($A536&amp;" Corp","YAS_OAS_SPRD","SETTLE_DT",$B$2))</f>
        <v/>
      </c>
      <c r="S536" s="23">
        <f>IF($A536="","",IF(OR(NOT(ISNUMBER($Q536)),NOT(ISNUMBER($R536))),"",$Q536-$R536))</f>
        <v/>
      </c>
      <c r="T536" s="21">
        <f>IF($A536="","",_xll.BDP($A536&amp;" Corp","YAS_BOND_YLD","YAS_YLD_FLAG=15","SETTLE_DT",$B$2))</f>
        <v/>
      </c>
      <c r="U536" s="24">
        <f>IF($A536="","",IF(OR(NOT(ISNUMBER($O536)),NOT(ISNUMBER($T536))),"",$O536-$T536))</f>
        <v/>
      </c>
      <c r="V536" s="22">
        <f>IF(NOT(ISNUMBER($S536)),"",COUNTIFS($G$7:$G$850,$G536,$S$7:$S$850,"&gt;"&amp;$S536)+COUNTIFS($G$7:$G536,$G536,$S$7:$S536,$S536))</f>
        <v/>
      </c>
      <c r="W536" s="22">
        <f>IF(NOT(ISNUMBER($S536)),"",COUNTIFS($G$7:$G$850,$G536,$S$7:$S$850,"&lt;"&amp;$S536)+COUNTIFS($G$7:$G536,$G536,$S$7:$S536,$S536))</f>
        <v/>
      </c>
      <c r="X536" s="17">
        <f>IF($V536="","",$G536&amp;"|"&amp;$V536)</f>
        <v/>
      </c>
      <c r="Y536" s="17">
        <f>IF($W536="","",$G536&amp;"|"&amp;$W536)</f>
        <v/>
      </c>
    </row>
    <row r="537">
      <c r="A537" s="7" t="inlineStr">
        <is>
          <t>US59156RCE62</t>
        </is>
      </c>
      <c r="B537" s="8">
        <f>IF($A537="","",PROPER(_xll.BDP($A537&amp;" Corp","NAME")))</f>
        <v/>
      </c>
      <c r="C537" s="8">
        <f>IF($A537="","",IFERROR(INDEX(Company_desc!$B$2:$B$1144,MATCH($A537,Company_desc!$A$2:$A$1144,0)),IFERROR(INDEX(SYZ_static!$Q$2:$Q$806,MATCH($A537,SYZ_static!$A$2:$A$806,0)),"")))</f>
        <v/>
      </c>
      <c r="D537" s="8">
        <f>IF($A537="","",IFERROR(INDEX(SYZ_static!$B$2:$B$806,MATCH($A537,SYZ_static!$A$2:$A$806,0)),""))</f>
        <v/>
      </c>
      <c r="E537" s="8">
        <f>IF($A537="","",_xll.BDP($A537&amp;" Corp","INDUSTRY_SECTOR"))</f>
        <v/>
      </c>
      <c r="F537" s="8">
        <f>IF($A537="","",PROPER(_xll.BDP($A537&amp;" Corp","COUNTRY_FULL_NAME")))</f>
        <v/>
      </c>
      <c r="G537" s="8">
        <f>IF($A537="","",_xll.BDP($A537&amp;" Corp","CRNCY"))</f>
        <v/>
      </c>
      <c r="H537" s="8">
        <f>IF($A537="","",IFERROR(INDEX(SYZ_static!$T$2:$T$806,MATCH($A537,SYZ_static!$A$2:$A$806,0)),_xll.BDP($A537&amp;" Corp","RTG_SP")))</f>
        <v/>
      </c>
      <c r="I537" s="8">
        <f>IF($A537="","",IFERROR(INDEX(SYZ_static!$S$2:$S$806,MATCH($A537,SYZ_static!$A$2:$A$806,0)),""))</f>
        <v/>
      </c>
      <c r="J537" s="8">
        <f>IF($A537="","",_xll.BDP($A537&amp;" Corp","PAYMENT_RANK"))</f>
        <v/>
      </c>
      <c r="K537" s="9">
        <f>IF($A537="","",_xll.BDP($A537&amp;" Corp","CPN"))</f>
        <v/>
      </c>
      <c r="L537" s="10">
        <f>IF($A537="","",_xll.BDP($A537&amp;" Corp","MATURITY"))</f>
        <v/>
      </c>
      <c r="M537" s="11">
        <f>IF($A537="","",IFERROR(_xll.BDP($A537&amp;" Corp","MIN_PIECE")/1000,""))</f>
        <v/>
      </c>
      <c r="N537" s="12">
        <f>IF($A537="","",_xll.BDP($A537&amp;" Corp","PX_LAST"))</f>
        <v/>
      </c>
      <c r="O537" s="12">
        <f>IF($A537="","",_xll.BDP($A537&amp;" Corp","YAS_BOND_YLD","YAS_YLD_FLAG=15"))</f>
        <v/>
      </c>
      <c r="P537" s="12">
        <f>IF($A537="","",_xll.BDP($A537&amp;" Corp","YAS_MOD_DUR"))</f>
        <v/>
      </c>
      <c r="Q537" s="13">
        <f>IF($A537="","",_xll.BDP($A537&amp;" Corp","YAS_OAS_SPRD"))</f>
        <v/>
      </c>
      <c r="R537" s="13">
        <f>IF($A537="","",_xll.BDP($A537&amp;" Corp","YAS_OAS_SPRD","SETTLE_DT",$B$2))</f>
        <v/>
      </c>
      <c r="S537" s="14">
        <f>IF($A537="","",IF(OR(NOT(ISNUMBER($Q537)),NOT(ISNUMBER($R537))),"",$Q537-$R537))</f>
        <v/>
      </c>
      <c r="T537" s="12">
        <f>IF($A537="","",_xll.BDP($A537&amp;" Corp","YAS_BOND_YLD","YAS_YLD_FLAG=15","SETTLE_DT",$B$2))</f>
        <v/>
      </c>
      <c r="U537" s="15">
        <f>IF($A537="","",IF(OR(NOT(ISNUMBER($O537)),NOT(ISNUMBER($T537))),"",$O537-$T537))</f>
        <v/>
      </c>
      <c r="V537" s="13">
        <f>IF(NOT(ISNUMBER($S537)),"",COUNTIFS($G$7:$G$850,$G537,$S$7:$S$850,"&gt;"&amp;$S537)+COUNTIFS($G$7:$G537,$G537,$S$7:$S537,$S537))</f>
        <v/>
      </c>
      <c r="W537" s="13">
        <f>IF(NOT(ISNUMBER($S537)),"",COUNTIFS($G$7:$G$850,$G537,$S$7:$S$850,"&lt;"&amp;$S537)+COUNTIFS($G$7:$G537,$G537,$S$7:$S537,$S537))</f>
        <v/>
      </c>
      <c r="X537" s="8">
        <f>IF($V537="","",$G537&amp;"|"&amp;$V537)</f>
        <v/>
      </c>
      <c r="Y537" s="8">
        <f>IF($W537="","",$G537&amp;"|"&amp;$W537)</f>
        <v/>
      </c>
    </row>
    <row r="538">
      <c r="A538" s="16" t="inlineStr">
        <is>
          <t>CH1226543879</t>
        </is>
      </c>
      <c r="B538" s="17">
        <f>IF($A538="","",PROPER(_xll.BDP($A538&amp;" Corp","NAME")))</f>
        <v/>
      </c>
      <c r="C538" s="17">
        <f>IF($A538="","",IFERROR(INDEX(Company_desc!$B$2:$B$1144,MATCH($A538,Company_desc!$A$2:$A$1144,0)),IFERROR(INDEX(SYZ_static!$Q$2:$Q$806,MATCH($A538,SYZ_static!$A$2:$A$806,0)),"")))</f>
        <v/>
      </c>
      <c r="D538" s="17">
        <f>IF($A538="","",IFERROR(INDEX(SYZ_static!$B$2:$B$806,MATCH($A538,SYZ_static!$A$2:$A$806,0)),""))</f>
        <v/>
      </c>
      <c r="E538" s="17">
        <f>IF($A538="","",_xll.BDP($A538&amp;" Corp","INDUSTRY_SECTOR"))</f>
        <v/>
      </c>
      <c r="F538" s="17">
        <f>IF($A538="","",PROPER(_xll.BDP($A538&amp;" Corp","COUNTRY_FULL_NAME")))</f>
        <v/>
      </c>
      <c r="G538" s="17">
        <f>IF($A538="","",_xll.BDP($A538&amp;" Corp","CRNCY"))</f>
        <v/>
      </c>
      <c r="H538" s="17">
        <f>IF($A538="","",IFERROR(INDEX(SYZ_static!$T$2:$T$806,MATCH($A538,SYZ_static!$A$2:$A$806,0)),_xll.BDP($A538&amp;" Corp","RTG_SP")))</f>
        <v/>
      </c>
      <c r="I538" s="17">
        <f>IF($A538="","",IFERROR(INDEX(SYZ_static!$S$2:$S$806,MATCH($A538,SYZ_static!$A$2:$A$806,0)),""))</f>
        <v/>
      </c>
      <c r="J538" s="17">
        <f>IF($A538="","",_xll.BDP($A538&amp;" Corp","PAYMENT_RANK"))</f>
        <v/>
      </c>
      <c r="K538" s="18">
        <f>IF($A538="","",_xll.BDP($A538&amp;" Corp","CPN"))</f>
        <v/>
      </c>
      <c r="L538" s="19">
        <f>IF($A538="","",_xll.BDP($A538&amp;" Corp","MATURITY"))</f>
        <v/>
      </c>
      <c r="M538" s="20">
        <f>IF($A538="","",IFERROR(_xll.BDP($A538&amp;" Corp","MIN_PIECE")/1000,""))</f>
        <v/>
      </c>
      <c r="N538" s="21">
        <f>IF($A538="","",_xll.BDP($A538&amp;" Corp","PX_LAST"))</f>
        <v/>
      </c>
      <c r="O538" s="21">
        <f>IF($A538="","",_xll.BDP($A538&amp;" Corp","YAS_BOND_YLD","YAS_YLD_FLAG=15"))</f>
        <v/>
      </c>
      <c r="P538" s="21">
        <f>IF($A538="","",_xll.BDP($A538&amp;" Corp","YAS_MOD_DUR"))</f>
        <v/>
      </c>
      <c r="Q538" s="22">
        <f>IF($A538="","",_xll.BDP($A538&amp;" Corp","YAS_OAS_SPRD"))</f>
        <v/>
      </c>
      <c r="R538" s="22">
        <f>IF($A538="","",_xll.BDP($A538&amp;" Corp","YAS_OAS_SPRD","SETTLE_DT",$B$2))</f>
        <v/>
      </c>
      <c r="S538" s="23">
        <f>IF($A538="","",IF(OR(NOT(ISNUMBER($Q538)),NOT(ISNUMBER($R538))),"",$Q538-$R538))</f>
        <v/>
      </c>
      <c r="T538" s="21">
        <f>IF($A538="","",_xll.BDP($A538&amp;" Corp","YAS_BOND_YLD","YAS_YLD_FLAG=15","SETTLE_DT",$B$2))</f>
        <v/>
      </c>
      <c r="U538" s="24">
        <f>IF($A538="","",IF(OR(NOT(ISNUMBER($O538)),NOT(ISNUMBER($T538))),"",$O538-$T538))</f>
        <v/>
      </c>
      <c r="V538" s="22">
        <f>IF(NOT(ISNUMBER($S538)),"",COUNTIFS($G$7:$G$850,$G538,$S$7:$S$850,"&gt;"&amp;$S538)+COUNTIFS($G$7:$G538,$G538,$S$7:$S538,$S538))</f>
        <v/>
      </c>
      <c r="W538" s="22">
        <f>IF(NOT(ISNUMBER($S538)),"",COUNTIFS($G$7:$G$850,$G538,$S$7:$S$850,"&lt;"&amp;$S538)+COUNTIFS($G$7:$G538,$G538,$S$7:$S538,$S538))</f>
        <v/>
      </c>
      <c r="X538" s="17">
        <f>IF($V538="","",$G538&amp;"|"&amp;$V538)</f>
        <v/>
      </c>
      <c r="Y538" s="17">
        <f>IF($W538="","",$G538&amp;"|"&amp;$W538)</f>
        <v/>
      </c>
    </row>
    <row r="539">
      <c r="A539" s="7" t="inlineStr">
        <is>
          <t>USG01719AK24</t>
        </is>
      </c>
      <c r="B539" s="8">
        <f>IF($A539="","",PROPER(_xll.BDP($A539&amp;" Corp","NAME")))</f>
        <v/>
      </c>
      <c r="C539" s="8">
        <f>IF($A539="","",IFERROR(INDEX(Company_desc!$B$2:$B$1144,MATCH($A539,Company_desc!$A$2:$A$1144,0)),IFERROR(INDEX(SYZ_static!$Q$2:$Q$806,MATCH($A539,SYZ_static!$A$2:$A$806,0)),"")))</f>
        <v/>
      </c>
      <c r="D539" s="8">
        <f>IF($A539="","",IFERROR(INDEX(SYZ_static!$B$2:$B$806,MATCH($A539,SYZ_static!$A$2:$A$806,0)),""))</f>
        <v/>
      </c>
      <c r="E539" s="8">
        <f>IF($A539="","",_xll.BDP($A539&amp;" Corp","INDUSTRY_SECTOR"))</f>
        <v/>
      </c>
      <c r="F539" s="8">
        <f>IF($A539="","",PROPER(_xll.BDP($A539&amp;" Corp","COUNTRY_FULL_NAME")))</f>
        <v/>
      </c>
      <c r="G539" s="8">
        <f>IF($A539="","",_xll.BDP($A539&amp;" Corp","CRNCY"))</f>
        <v/>
      </c>
      <c r="H539" s="8">
        <f>IF($A539="","",IFERROR(INDEX(SYZ_static!$T$2:$T$806,MATCH($A539,SYZ_static!$A$2:$A$806,0)),_xll.BDP($A539&amp;" Corp","RTG_SP")))</f>
        <v/>
      </c>
      <c r="I539" s="8">
        <f>IF($A539="","",IFERROR(INDEX(SYZ_static!$S$2:$S$806,MATCH($A539,SYZ_static!$A$2:$A$806,0)),""))</f>
        <v/>
      </c>
      <c r="J539" s="8">
        <f>IF($A539="","",_xll.BDP($A539&amp;" Corp","PAYMENT_RANK"))</f>
        <v/>
      </c>
      <c r="K539" s="9">
        <f>IF($A539="","",_xll.BDP($A539&amp;" Corp","CPN"))</f>
        <v/>
      </c>
      <c r="L539" s="10">
        <f>IF($A539="","",_xll.BDP($A539&amp;" Corp","MATURITY"))</f>
        <v/>
      </c>
      <c r="M539" s="11">
        <f>IF($A539="","",IFERROR(_xll.BDP($A539&amp;" Corp","MIN_PIECE")/1000,""))</f>
        <v/>
      </c>
      <c r="N539" s="12">
        <f>IF($A539="","",_xll.BDP($A539&amp;" Corp","PX_LAST"))</f>
        <v/>
      </c>
      <c r="O539" s="12">
        <f>IF($A539="","",_xll.BDP($A539&amp;" Corp","YAS_BOND_YLD","YAS_YLD_FLAG=15"))</f>
        <v/>
      </c>
      <c r="P539" s="12">
        <f>IF($A539="","",_xll.BDP($A539&amp;" Corp","YAS_MOD_DUR"))</f>
        <v/>
      </c>
      <c r="Q539" s="13">
        <f>IF($A539="","",_xll.BDP($A539&amp;" Corp","YAS_OAS_SPRD"))</f>
        <v/>
      </c>
      <c r="R539" s="13">
        <f>IF($A539="","",_xll.BDP($A539&amp;" Corp","YAS_OAS_SPRD","SETTLE_DT",$B$2))</f>
        <v/>
      </c>
      <c r="S539" s="14">
        <f>IF($A539="","",IF(OR(NOT(ISNUMBER($Q539)),NOT(ISNUMBER($R539))),"",$Q539-$R539))</f>
        <v/>
      </c>
      <c r="T539" s="12">
        <f>IF($A539="","",_xll.BDP($A539&amp;" Corp","YAS_BOND_YLD","YAS_YLD_FLAG=15","SETTLE_DT",$B$2))</f>
        <v/>
      </c>
      <c r="U539" s="15">
        <f>IF($A539="","",IF(OR(NOT(ISNUMBER($O539)),NOT(ISNUMBER($T539))),"",$O539-$T539))</f>
        <v/>
      </c>
      <c r="V539" s="13">
        <f>IF(NOT(ISNUMBER($S539)),"",COUNTIFS($G$7:$G$850,$G539,$S$7:$S$850,"&gt;"&amp;$S539)+COUNTIFS($G$7:$G539,$G539,$S$7:$S539,$S539))</f>
        <v/>
      </c>
      <c r="W539" s="13">
        <f>IF(NOT(ISNUMBER($S539)),"",COUNTIFS($G$7:$G$850,$G539,$S$7:$S$850,"&lt;"&amp;$S539)+COUNTIFS($G$7:$G539,$G539,$S$7:$S539,$S539))</f>
        <v/>
      </c>
      <c r="X539" s="8">
        <f>IF($V539="","",$G539&amp;"|"&amp;$V539)</f>
        <v/>
      </c>
      <c r="Y539" s="8">
        <f>IF($W539="","",$G539&amp;"|"&amp;$W539)</f>
        <v/>
      </c>
    </row>
    <row r="540">
      <c r="A540" s="16" t="inlineStr">
        <is>
          <t>XS2051777873</t>
        </is>
      </c>
      <c r="B540" s="17">
        <f>IF($A540="","",PROPER(_xll.BDP($A540&amp;" Corp","NAME")))</f>
        <v/>
      </c>
      <c r="C540" s="17">
        <f>IF($A540="","",IFERROR(INDEX(Company_desc!$B$2:$B$1144,MATCH($A540,Company_desc!$A$2:$A$1144,0)),IFERROR(INDEX(SYZ_static!$Q$2:$Q$806,MATCH($A540,SYZ_static!$A$2:$A$806,0)),"")))</f>
        <v/>
      </c>
      <c r="D540" s="17">
        <f>IF($A540="","",IFERROR(INDEX(SYZ_static!$B$2:$B$806,MATCH($A540,SYZ_static!$A$2:$A$806,0)),""))</f>
        <v/>
      </c>
      <c r="E540" s="17">
        <f>IF($A540="","",_xll.BDP($A540&amp;" Corp","INDUSTRY_SECTOR"))</f>
        <v/>
      </c>
      <c r="F540" s="17">
        <f>IF($A540="","",PROPER(_xll.BDP($A540&amp;" Corp","COUNTRY_FULL_NAME")))</f>
        <v/>
      </c>
      <c r="G540" s="17">
        <f>IF($A540="","",_xll.BDP($A540&amp;" Corp","CRNCY"))</f>
        <v/>
      </c>
      <c r="H540" s="17">
        <f>IF($A540="","",IFERROR(INDEX(SYZ_static!$T$2:$T$806,MATCH($A540,SYZ_static!$A$2:$A$806,0)),_xll.BDP($A540&amp;" Corp","RTG_SP")))</f>
        <v/>
      </c>
      <c r="I540" s="17">
        <f>IF($A540="","",IFERROR(INDEX(SYZ_static!$S$2:$S$806,MATCH($A540,SYZ_static!$A$2:$A$806,0)),""))</f>
        <v/>
      </c>
      <c r="J540" s="17">
        <f>IF($A540="","",_xll.BDP($A540&amp;" Corp","PAYMENT_RANK"))</f>
        <v/>
      </c>
      <c r="K540" s="18">
        <f>IF($A540="","",_xll.BDP($A540&amp;" Corp","CPN"))</f>
        <v/>
      </c>
      <c r="L540" s="19">
        <f>IF($A540="","",_xll.BDP($A540&amp;" Corp","MATURITY"))</f>
        <v/>
      </c>
      <c r="M540" s="20">
        <f>IF($A540="","",IFERROR(_xll.BDP($A540&amp;" Corp","MIN_PIECE")/1000,""))</f>
        <v/>
      </c>
      <c r="N540" s="21">
        <f>IF($A540="","",_xll.BDP($A540&amp;" Corp","PX_LAST"))</f>
        <v/>
      </c>
      <c r="O540" s="21">
        <f>IF($A540="","",_xll.BDP($A540&amp;" Corp","YAS_BOND_YLD","YAS_YLD_FLAG=15"))</f>
        <v/>
      </c>
      <c r="P540" s="21">
        <f>IF($A540="","",_xll.BDP($A540&amp;" Corp","YAS_MOD_DUR"))</f>
        <v/>
      </c>
      <c r="Q540" s="22">
        <f>IF($A540="","",_xll.BDP($A540&amp;" Corp","YAS_OAS_SPRD"))</f>
        <v/>
      </c>
      <c r="R540" s="22">
        <f>IF($A540="","",_xll.BDP($A540&amp;" Corp","YAS_OAS_SPRD","SETTLE_DT",$B$2))</f>
        <v/>
      </c>
      <c r="S540" s="23">
        <f>IF($A540="","",IF(OR(NOT(ISNUMBER($Q540)),NOT(ISNUMBER($R540))),"",$Q540-$R540))</f>
        <v/>
      </c>
      <c r="T540" s="21">
        <f>IF($A540="","",_xll.BDP($A540&amp;" Corp","YAS_BOND_YLD","YAS_YLD_FLAG=15","SETTLE_DT",$B$2))</f>
        <v/>
      </c>
      <c r="U540" s="24">
        <f>IF($A540="","",IF(OR(NOT(ISNUMBER($O540)),NOT(ISNUMBER($T540))),"",$O540-$T540))</f>
        <v/>
      </c>
      <c r="V540" s="22">
        <f>IF(NOT(ISNUMBER($S540)),"",COUNTIFS($G$7:$G$850,$G540,$S$7:$S$850,"&gt;"&amp;$S540)+COUNTIFS($G$7:$G540,$G540,$S$7:$S540,$S540))</f>
        <v/>
      </c>
      <c r="W540" s="22">
        <f>IF(NOT(ISNUMBER($S540)),"",COUNTIFS($G$7:$G$850,$G540,$S$7:$S$850,"&lt;"&amp;$S540)+COUNTIFS($G$7:$G540,$G540,$S$7:$S540,$S540))</f>
        <v/>
      </c>
      <c r="X540" s="17">
        <f>IF($V540="","",$G540&amp;"|"&amp;$V540)</f>
        <v/>
      </c>
      <c r="Y540" s="17">
        <f>IF($W540="","",$G540&amp;"|"&amp;$W540)</f>
        <v/>
      </c>
    </row>
    <row r="541">
      <c r="A541" s="7" t="inlineStr">
        <is>
          <t>XS2384273715</t>
        </is>
      </c>
      <c r="B541" s="8">
        <f>IF($A541="","",PROPER(_xll.BDP($A541&amp;" Corp","NAME")))</f>
        <v/>
      </c>
      <c r="C541" s="8">
        <f>IF($A541="","",IFERROR(INDEX(Company_desc!$B$2:$B$1144,MATCH($A541,Company_desc!$A$2:$A$1144,0)),IFERROR(INDEX(SYZ_static!$Q$2:$Q$806,MATCH($A541,SYZ_static!$A$2:$A$806,0)),"")))</f>
        <v/>
      </c>
      <c r="D541" s="8">
        <f>IF($A541="","",IFERROR(INDEX(SYZ_static!$B$2:$B$806,MATCH($A541,SYZ_static!$A$2:$A$806,0)),""))</f>
        <v/>
      </c>
      <c r="E541" s="8">
        <f>IF($A541="","",_xll.BDP($A541&amp;" Corp","INDUSTRY_SECTOR"))</f>
        <v/>
      </c>
      <c r="F541" s="8">
        <f>IF($A541="","",PROPER(_xll.BDP($A541&amp;" Corp","COUNTRY_FULL_NAME")))</f>
        <v/>
      </c>
      <c r="G541" s="8">
        <f>IF($A541="","",_xll.BDP($A541&amp;" Corp","CRNCY"))</f>
        <v/>
      </c>
      <c r="H541" s="8">
        <f>IF($A541="","",IFERROR(INDEX(SYZ_static!$T$2:$T$806,MATCH($A541,SYZ_static!$A$2:$A$806,0)),_xll.BDP($A541&amp;" Corp","RTG_SP")))</f>
        <v/>
      </c>
      <c r="I541" s="8">
        <f>IF($A541="","",IFERROR(INDEX(SYZ_static!$S$2:$S$806,MATCH($A541,SYZ_static!$A$2:$A$806,0)),""))</f>
        <v/>
      </c>
      <c r="J541" s="8">
        <f>IF($A541="","",_xll.BDP($A541&amp;" Corp","PAYMENT_RANK"))</f>
        <v/>
      </c>
      <c r="K541" s="9">
        <f>IF($A541="","",_xll.BDP($A541&amp;" Corp","CPN"))</f>
        <v/>
      </c>
      <c r="L541" s="10">
        <f>IF($A541="","",_xll.BDP($A541&amp;" Corp","MATURITY"))</f>
        <v/>
      </c>
      <c r="M541" s="11">
        <f>IF($A541="","",IFERROR(_xll.BDP($A541&amp;" Corp","MIN_PIECE")/1000,""))</f>
        <v/>
      </c>
      <c r="N541" s="12">
        <f>IF($A541="","",_xll.BDP($A541&amp;" Corp","PX_LAST"))</f>
        <v/>
      </c>
      <c r="O541" s="12">
        <f>IF($A541="","",_xll.BDP($A541&amp;" Corp","YAS_BOND_YLD","YAS_YLD_FLAG=15"))</f>
        <v/>
      </c>
      <c r="P541" s="12">
        <f>IF($A541="","",_xll.BDP($A541&amp;" Corp","YAS_MOD_DUR"))</f>
        <v/>
      </c>
      <c r="Q541" s="13">
        <f>IF($A541="","",_xll.BDP($A541&amp;" Corp","YAS_OAS_SPRD"))</f>
        <v/>
      </c>
      <c r="R541" s="13">
        <f>IF($A541="","",_xll.BDP($A541&amp;" Corp","YAS_OAS_SPRD","SETTLE_DT",$B$2))</f>
        <v/>
      </c>
      <c r="S541" s="14">
        <f>IF($A541="","",IF(OR(NOT(ISNUMBER($Q541)),NOT(ISNUMBER($R541))),"",$Q541-$R541))</f>
        <v/>
      </c>
      <c r="T541" s="12">
        <f>IF($A541="","",_xll.BDP($A541&amp;" Corp","YAS_BOND_YLD","YAS_YLD_FLAG=15","SETTLE_DT",$B$2))</f>
        <v/>
      </c>
      <c r="U541" s="15">
        <f>IF($A541="","",IF(OR(NOT(ISNUMBER($O541)),NOT(ISNUMBER($T541))),"",$O541-$T541))</f>
        <v/>
      </c>
      <c r="V541" s="13">
        <f>IF(NOT(ISNUMBER($S541)),"",COUNTIFS($G$7:$G$850,$G541,$S$7:$S$850,"&gt;"&amp;$S541)+COUNTIFS($G$7:$G541,$G541,$S$7:$S541,$S541))</f>
        <v/>
      </c>
      <c r="W541" s="13">
        <f>IF(NOT(ISNUMBER($S541)),"",COUNTIFS($G$7:$G$850,$G541,$S$7:$S$850,"&lt;"&amp;$S541)+COUNTIFS($G$7:$G541,$G541,$S$7:$S541,$S541))</f>
        <v/>
      </c>
      <c r="X541" s="8">
        <f>IF($V541="","",$G541&amp;"|"&amp;$V541)</f>
        <v/>
      </c>
      <c r="Y541" s="8">
        <f>IF($W541="","",$G541&amp;"|"&amp;$W541)</f>
        <v/>
      </c>
    </row>
    <row r="542">
      <c r="A542" s="16" t="inlineStr">
        <is>
          <t>XS2190256706</t>
        </is>
      </c>
      <c r="B542" s="17">
        <f>IF($A542="","",PROPER(_xll.BDP($A542&amp;" Corp","NAME")))</f>
        <v/>
      </c>
      <c r="C542" s="17">
        <f>IF($A542="","",IFERROR(INDEX(Company_desc!$B$2:$B$1144,MATCH($A542,Company_desc!$A$2:$A$1144,0)),IFERROR(INDEX(SYZ_static!$Q$2:$Q$806,MATCH($A542,SYZ_static!$A$2:$A$806,0)),"")))</f>
        <v/>
      </c>
      <c r="D542" s="17">
        <f>IF($A542="","",IFERROR(INDEX(SYZ_static!$B$2:$B$806,MATCH($A542,SYZ_static!$A$2:$A$806,0)),""))</f>
        <v/>
      </c>
      <c r="E542" s="17">
        <f>IF($A542="","",_xll.BDP($A542&amp;" Corp","INDUSTRY_SECTOR"))</f>
        <v/>
      </c>
      <c r="F542" s="17">
        <f>IF($A542="","",PROPER(_xll.BDP($A542&amp;" Corp","COUNTRY_FULL_NAME")))</f>
        <v/>
      </c>
      <c r="G542" s="17">
        <f>IF($A542="","",_xll.BDP($A542&amp;" Corp","CRNCY"))</f>
        <v/>
      </c>
      <c r="H542" s="17">
        <f>IF($A542="","",IFERROR(INDEX(SYZ_static!$T$2:$T$806,MATCH($A542,SYZ_static!$A$2:$A$806,0)),_xll.BDP($A542&amp;" Corp","RTG_SP")))</f>
        <v/>
      </c>
      <c r="I542" s="17">
        <f>IF($A542="","",IFERROR(INDEX(SYZ_static!$S$2:$S$806,MATCH($A542,SYZ_static!$A$2:$A$806,0)),""))</f>
        <v/>
      </c>
      <c r="J542" s="17">
        <f>IF($A542="","",_xll.BDP($A542&amp;" Corp","PAYMENT_RANK"))</f>
        <v/>
      </c>
      <c r="K542" s="18">
        <f>IF($A542="","",_xll.BDP($A542&amp;" Corp","CPN"))</f>
        <v/>
      </c>
      <c r="L542" s="19">
        <f>IF($A542="","",_xll.BDP($A542&amp;" Corp","MATURITY"))</f>
        <v/>
      </c>
      <c r="M542" s="20">
        <f>IF($A542="","",IFERROR(_xll.BDP($A542&amp;" Corp","MIN_PIECE")/1000,""))</f>
        <v/>
      </c>
      <c r="N542" s="21">
        <f>IF($A542="","",_xll.BDP($A542&amp;" Corp","PX_LAST"))</f>
        <v/>
      </c>
      <c r="O542" s="21">
        <f>IF($A542="","",_xll.BDP($A542&amp;" Corp","YAS_BOND_YLD","YAS_YLD_FLAG=15"))</f>
        <v/>
      </c>
      <c r="P542" s="21">
        <f>IF($A542="","",_xll.BDP($A542&amp;" Corp","YAS_MOD_DUR"))</f>
        <v/>
      </c>
      <c r="Q542" s="22">
        <f>IF($A542="","",_xll.BDP($A542&amp;" Corp","YAS_OAS_SPRD"))</f>
        <v/>
      </c>
      <c r="R542" s="22">
        <f>IF($A542="","",_xll.BDP($A542&amp;" Corp","YAS_OAS_SPRD","SETTLE_DT",$B$2))</f>
        <v/>
      </c>
      <c r="S542" s="23">
        <f>IF($A542="","",IF(OR(NOT(ISNUMBER($Q542)),NOT(ISNUMBER($R542))),"",$Q542-$R542))</f>
        <v/>
      </c>
      <c r="T542" s="21">
        <f>IF($A542="","",_xll.BDP($A542&amp;" Corp","YAS_BOND_YLD","YAS_YLD_FLAG=15","SETTLE_DT",$B$2))</f>
        <v/>
      </c>
      <c r="U542" s="24">
        <f>IF($A542="","",IF(OR(NOT(ISNUMBER($O542)),NOT(ISNUMBER($T542))),"",$O542-$T542))</f>
        <v/>
      </c>
      <c r="V542" s="22">
        <f>IF(NOT(ISNUMBER($S542)),"",COUNTIFS($G$7:$G$850,$G542,$S$7:$S$850,"&gt;"&amp;$S542)+COUNTIFS($G$7:$G542,$G542,$S$7:$S542,$S542))</f>
        <v/>
      </c>
      <c r="W542" s="22">
        <f>IF(NOT(ISNUMBER($S542)),"",COUNTIFS($G$7:$G$850,$G542,$S$7:$S$850,"&lt;"&amp;$S542)+COUNTIFS($G$7:$G542,$G542,$S$7:$S542,$S542))</f>
        <v/>
      </c>
      <c r="X542" s="17">
        <f>IF($V542="","",$G542&amp;"|"&amp;$V542)</f>
        <v/>
      </c>
      <c r="Y542" s="17">
        <f>IF($W542="","",$G542&amp;"|"&amp;$W542)</f>
        <v/>
      </c>
    </row>
    <row r="543">
      <c r="A543" s="7" t="inlineStr">
        <is>
          <t>XS2907161363</t>
        </is>
      </c>
      <c r="B543" s="8">
        <f>IF($A543="","",PROPER(_xll.BDP($A543&amp;" Corp","NAME")))</f>
        <v/>
      </c>
      <c r="C543" s="8">
        <f>IF($A543="","",IFERROR(INDEX(Company_desc!$B$2:$B$1144,MATCH($A543,Company_desc!$A$2:$A$1144,0)),IFERROR(INDEX(SYZ_static!$Q$2:$Q$806,MATCH($A543,SYZ_static!$A$2:$A$806,0)),"")))</f>
        <v/>
      </c>
      <c r="D543" s="8">
        <f>IF($A543="","",IFERROR(INDEX(SYZ_static!$B$2:$B$806,MATCH($A543,SYZ_static!$A$2:$A$806,0)),""))</f>
        <v/>
      </c>
      <c r="E543" s="8">
        <f>IF($A543="","",_xll.BDP($A543&amp;" Corp","INDUSTRY_SECTOR"))</f>
        <v/>
      </c>
      <c r="F543" s="8">
        <f>IF($A543="","",PROPER(_xll.BDP($A543&amp;" Corp","COUNTRY_FULL_NAME")))</f>
        <v/>
      </c>
      <c r="G543" s="8">
        <f>IF($A543="","",_xll.BDP($A543&amp;" Corp","CRNCY"))</f>
        <v/>
      </c>
      <c r="H543" s="8">
        <f>IF($A543="","",IFERROR(INDEX(SYZ_static!$T$2:$T$806,MATCH($A543,SYZ_static!$A$2:$A$806,0)),_xll.BDP($A543&amp;" Corp","RTG_SP")))</f>
        <v/>
      </c>
      <c r="I543" s="8">
        <f>IF($A543="","",IFERROR(INDEX(SYZ_static!$S$2:$S$806,MATCH($A543,SYZ_static!$A$2:$A$806,0)),""))</f>
        <v/>
      </c>
      <c r="J543" s="8">
        <f>IF($A543="","",_xll.BDP($A543&amp;" Corp","PAYMENT_RANK"))</f>
        <v/>
      </c>
      <c r="K543" s="9">
        <f>IF($A543="","",_xll.BDP($A543&amp;" Corp","CPN"))</f>
        <v/>
      </c>
      <c r="L543" s="10">
        <f>IF($A543="","",_xll.BDP($A543&amp;" Corp","MATURITY"))</f>
        <v/>
      </c>
      <c r="M543" s="11">
        <f>IF($A543="","",IFERROR(_xll.BDP($A543&amp;" Corp","MIN_PIECE")/1000,""))</f>
        <v/>
      </c>
      <c r="N543" s="12">
        <f>IF($A543="","",_xll.BDP($A543&amp;" Corp","PX_LAST"))</f>
        <v/>
      </c>
      <c r="O543" s="12">
        <f>IF($A543="","",_xll.BDP($A543&amp;" Corp","YAS_BOND_YLD","YAS_YLD_FLAG=15"))</f>
        <v/>
      </c>
      <c r="P543" s="12">
        <f>IF($A543="","",_xll.BDP($A543&amp;" Corp","YAS_MOD_DUR"))</f>
        <v/>
      </c>
      <c r="Q543" s="13">
        <f>IF($A543="","",_xll.BDP($A543&amp;" Corp","YAS_OAS_SPRD"))</f>
        <v/>
      </c>
      <c r="R543" s="13">
        <f>IF($A543="","",_xll.BDP($A543&amp;" Corp","YAS_OAS_SPRD","SETTLE_DT",$B$2))</f>
        <v/>
      </c>
      <c r="S543" s="14">
        <f>IF($A543="","",IF(OR(NOT(ISNUMBER($Q543)),NOT(ISNUMBER($R543))),"",$Q543-$R543))</f>
        <v/>
      </c>
      <c r="T543" s="12">
        <f>IF($A543="","",_xll.BDP($A543&amp;" Corp","YAS_BOND_YLD","YAS_YLD_FLAG=15","SETTLE_DT",$B$2))</f>
        <v/>
      </c>
      <c r="U543" s="15">
        <f>IF($A543="","",IF(OR(NOT(ISNUMBER($O543)),NOT(ISNUMBER($T543))),"",$O543-$T543))</f>
        <v/>
      </c>
      <c r="V543" s="13">
        <f>IF(NOT(ISNUMBER($S543)),"",COUNTIFS($G$7:$G$850,$G543,$S$7:$S$850,"&gt;"&amp;$S543)+COUNTIFS($G$7:$G543,$G543,$S$7:$S543,$S543))</f>
        <v/>
      </c>
      <c r="W543" s="13">
        <f>IF(NOT(ISNUMBER($S543)),"",COUNTIFS($G$7:$G$850,$G543,$S$7:$S$850,"&lt;"&amp;$S543)+COUNTIFS($G$7:$G543,$G543,$S$7:$S543,$S543))</f>
        <v/>
      </c>
      <c r="X543" s="8">
        <f>IF($V543="","",$G543&amp;"|"&amp;$V543)</f>
        <v/>
      </c>
      <c r="Y543" s="8">
        <f>IF($W543="","",$G543&amp;"|"&amp;$W543)</f>
        <v/>
      </c>
    </row>
    <row r="544">
      <c r="A544" s="16" t="inlineStr">
        <is>
          <t>US87264ADE29</t>
        </is>
      </c>
      <c r="B544" s="17">
        <f>IF($A544="","",PROPER(_xll.BDP($A544&amp;" Corp","NAME")))</f>
        <v/>
      </c>
      <c r="C544" s="17">
        <f>IF($A544="","",IFERROR(INDEX(Company_desc!$B$2:$B$1144,MATCH($A544,Company_desc!$A$2:$A$1144,0)),IFERROR(INDEX(SYZ_static!$Q$2:$Q$806,MATCH($A544,SYZ_static!$A$2:$A$806,0)),"")))</f>
        <v/>
      </c>
      <c r="D544" s="17">
        <f>IF($A544="","",IFERROR(INDEX(SYZ_static!$B$2:$B$806,MATCH($A544,SYZ_static!$A$2:$A$806,0)),""))</f>
        <v/>
      </c>
      <c r="E544" s="17">
        <f>IF($A544="","",_xll.BDP($A544&amp;" Corp","INDUSTRY_SECTOR"))</f>
        <v/>
      </c>
      <c r="F544" s="17">
        <f>IF($A544="","",PROPER(_xll.BDP($A544&amp;" Corp","COUNTRY_FULL_NAME")))</f>
        <v/>
      </c>
      <c r="G544" s="17">
        <f>IF($A544="","",_xll.BDP($A544&amp;" Corp","CRNCY"))</f>
        <v/>
      </c>
      <c r="H544" s="17">
        <f>IF($A544="","",IFERROR(INDEX(SYZ_static!$T$2:$T$806,MATCH($A544,SYZ_static!$A$2:$A$806,0)),_xll.BDP($A544&amp;" Corp","RTG_SP")))</f>
        <v/>
      </c>
      <c r="I544" s="17">
        <f>IF($A544="","",IFERROR(INDEX(SYZ_static!$S$2:$S$806,MATCH($A544,SYZ_static!$A$2:$A$806,0)),""))</f>
        <v/>
      </c>
      <c r="J544" s="17">
        <f>IF($A544="","",_xll.BDP($A544&amp;" Corp","PAYMENT_RANK"))</f>
        <v/>
      </c>
      <c r="K544" s="18">
        <f>IF($A544="","",_xll.BDP($A544&amp;" Corp","CPN"))</f>
        <v/>
      </c>
      <c r="L544" s="19">
        <f>IF($A544="","",_xll.BDP($A544&amp;" Corp","MATURITY"))</f>
        <v/>
      </c>
      <c r="M544" s="20">
        <f>IF($A544="","",IFERROR(_xll.BDP($A544&amp;" Corp","MIN_PIECE")/1000,""))</f>
        <v/>
      </c>
      <c r="N544" s="21">
        <f>IF($A544="","",_xll.BDP($A544&amp;" Corp","PX_LAST"))</f>
        <v/>
      </c>
      <c r="O544" s="21">
        <f>IF($A544="","",_xll.BDP($A544&amp;" Corp","YAS_BOND_YLD","YAS_YLD_FLAG=15"))</f>
        <v/>
      </c>
      <c r="P544" s="21">
        <f>IF($A544="","",_xll.BDP($A544&amp;" Corp","YAS_MOD_DUR"))</f>
        <v/>
      </c>
      <c r="Q544" s="22">
        <f>IF($A544="","",_xll.BDP($A544&amp;" Corp","YAS_OAS_SPRD"))</f>
        <v/>
      </c>
      <c r="R544" s="22">
        <f>IF($A544="","",_xll.BDP($A544&amp;" Corp","YAS_OAS_SPRD","SETTLE_DT",$B$2))</f>
        <v/>
      </c>
      <c r="S544" s="23">
        <f>IF($A544="","",IF(OR(NOT(ISNUMBER($Q544)),NOT(ISNUMBER($R544))),"",$Q544-$R544))</f>
        <v/>
      </c>
      <c r="T544" s="21">
        <f>IF($A544="","",_xll.BDP($A544&amp;" Corp","YAS_BOND_YLD","YAS_YLD_FLAG=15","SETTLE_DT",$B$2))</f>
        <v/>
      </c>
      <c r="U544" s="24">
        <f>IF($A544="","",IF(OR(NOT(ISNUMBER($O544)),NOT(ISNUMBER($T544))),"",$O544-$T544))</f>
        <v/>
      </c>
      <c r="V544" s="22">
        <f>IF(NOT(ISNUMBER($S544)),"",COUNTIFS($G$7:$G$850,$G544,$S$7:$S$850,"&gt;"&amp;$S544)+COUNTIFS($G$7:$G544,$G544,$S$7:$S544,$S544))</f>
        <v/>
      </c>
      <c r="W544" s="22">
        <f>IF(NOT(ISNUMBER($S544)),"",COUNTIFS($G$7:$G$850,$G544,$S$7:$S$850,"&lt;"&amp;$S544)+COUNTIFS($G$7:$G544,$G544,$S$7:$S544,$S544))</f>
        <v/>
      </c>
      <c r="X544" s="17">
        <f>IF($V544="","",$G544&amp;"|"&amp;$V544)</f>
        <v/>
      </c>
      <c r="Y544" s="17">
        <f>IF($W544="","",$G544&amp;"|"&amp;$W544)</f>
        <v/>
      </c>
    </row>
    <row r="545">
      <c r="A545" s="7" t="inlineStr">
        <is>
          <t>XS2311299957</t>
        </is>
      </c>
      <c r="B545" s="8">
        <f>IF($A545="","",PROPER(_xll.BDP($A545&amp;" Corp","NAME")))</f>
        <v/>
      </c>
      <c r="C545" s="8">
        <f>IF($A545="","",IFERROR(INDEX(Company_desc!$B$2:$B$1144,MATCH($A545,Company_desc!$A$2:$A$1144,0)),IFERROR(INDEX(SYZ_static!$Q$2:$Q$806,MATCH($A545,SYZ_static!$A$2:$A$806,0)),"")))</f>
        <v/>
      </c>
      <c r="D545" s="8">
        <f>IF($A545="","",IFERROR(INDEX(SYZ_static!$B$2:$B$806,MATCH($A545,SYZ_static!$A$2:$A$806,0)),""))</f>
        <v/>
      </c>
      <c r="E545" s="8">
        <f>IF($A545="","",_xll.BDP($A545&amp;" Corp","INDUSTRY_SECTOR"))</f>
        <v/>
      </c>
      <c r="F545" s="8">
        <f>IF($A545="","",PROPER(_xll.BDP($A545&amp;" Corp","COUNTRY_FULL_NAME")))</f>
        <v/>
      </c>
      <c r="G545" s="8">
        <f>IF($A545="","",_xll.BDP($A545&amp;" Corp","CRNCY"))</f>
        <v/>
      </c>
      <c r="H545" s="8">
        <f>IF($A545="","",IFERROR(INDEX(SYZ_static!$T$2:$T$806,MATCH($A545,SYZ_static!$A$2:$A$806,0)),_xll.BDP($A545&amp;" Corp","RTG_SP")))</f>
        <v/>
      </c>
      <c r="I545" s="8">
        <f>IF($A545="","",IFERROR(INDEX(SYZ_static!$S$2:$S$806,MATCH($A545,SYZ_static!$A$2:$A$806,0)),""))</f>
        <v/>
      </c>
      <c r="J545" s="8">
        <f>IF($A545="","",_xll.BDP($A545&amp;" Corp","PAYMENT_RANK"))</f>
        <v/>
      </c>
      <c r="K545" s="9">
        <f>IF($A545="","",_xll.BDP($A545&amp;" Corp","CPN"))</f>
        <v/>
      </c>
      <c r="L545" s="10">
        <f>IF($A545="","",_xll.BDP($A545&amp;" Corp","MATURITY"))</f>
        <v/>
      </c>
      <c r="M545" s="11">
        <f>IF($A545="","",IFERROR(_xll.BDP($A545&amp;" Corp","MIN_PIECE")/1000,""))</f>
        <v/>
      </c>
      <c r="N545" s="12">
        <f>IF($A545="","",_xll.BDP($A545&amp;" Corp","PX_LAST"))</f>
        <v/>
      </c>
      <c r="O545" s="12">
        <f>IF($A545="","",_xll.BDP($A545&amp;" Corp","YAS_BOND_YLD","YAS_YLD_FLAG=15"))</f>
        <v/>
      </c>
      <c r="P545" s="12">
        <f>IF($A545="","",_xll.BDP($A545&amp;" Corp","YAS_MOD_DUR"))</f>
        <v/>
      </c>
      <c r="Q545" s="13">
        <f>IF($A545="","",_xll.BDP($A545&amp;" Corp","YAS_OAS_SPRD"))</f>
        <v/>
      </c>
      <c r="R545" s="13">
        <f>IF($A545="","",_xll.BDP($A545&amp;" Corp","YAS_OAS_SPRD","SETTLE_DT",$B$2))</f>
        <v/>
      </c>
      <c r="S545" s="14">
        <f>IF($A545="","",IF(OR(NOT(ISNUMBER($Q545)),NOT(ISNUMBER($R545))),"",$Q545-$R545))</f>
        <v/>
      </c>
      <c r="T545" s="12">
        <f>IF($A545="","",_xll.BDP($A545&amp;" Corp","YAS_BOND_YLD","YAS_YLD_FLAG=15","SETTLE_DT",$B$2))</f>
        <v/>
      </c>
      <c r="U545" s="15">
        <f>IF($A545="","",IF(OR(NOT(ISNUMBER($O545)),NOT(ISNUMBER($T545))),"",$O545-$T545))</f>
        <v/>
      </c>
      <c r="V545" s="13">
        <f>IF(NOT(ISNUMBER($S545)),"",COUNTIFS($G$7:$G$850,$G545,$S$7:$S$850,"&gt;"&amp;$S545)+COUNTIFS($G$7:$G545,$G545,$S$7:$S545,$S545))</f>
        <v/>
      </c>
      <c r="W545" s="13">
        <f>IF(NOT(ISNUMBER($S545)),"",COUNTIFS($G$7:$G$850,$G545,$S$7:$S$850,"&lt;"&amp;$S545)+COUNTIFS($G$7:$G545,$G545,$S$7:$S545,$S545))</f>
        <v/>
      </c>
      <c r="X545" s="8">
        <f>IF($V545="","",$G545&amp;"|"&amp;$V545)</f>
        <v/>
      </c>
      <c r="Y545" s="8">
        <f>IF($W545="","",$G545&amp;"|"&amp;$W545)</f>
        <v/>
      </c>
    </row>
    <row r="546">
      <c r="A546" s="16" t="inlineStr">
        <is>
          <t>XS2577134401</t>
        </is>
      </c>
      <c r="B546" s="17">
        <f>IF($A546="","",PROPER(_xll.BDP($A546&amp;" Corp","NAME")))</f>
        <v/>
      </c>
      <c r="C546" s="17">
        <f>IF($A546="","",IFERROR(INDEX(Company_desc!$B$2:$B$1144,MATCH($A546,Company_desc!$A$2:$A$1144,0)),IFERROR(INDEX(SYZ_static!$Q$2:$Q$806,MATCH($A546,SYZ_static!$A$2:$A$806,0)),"")))</f>
        <v/>
      </c>
      <c r="D546" s="17">
        <f>IF($A546="","",IFERROR(INDEX(SYZ_static!$B$2:$B$806,MATCH($A546,SYZ_static!$A$2:$A$806,0)),""))</f>
        <v/>
      </c>
      <c r="E546" s="17">
        <f>IF($A546="","",_xll.BDP($A546&amp;" Corp","INDUSTRY_SECTOR"))</f>
        <v/>
      </c>
      <c r="F546" s="17">
        <f>IF($A546="","",PROPER(_xll.BDP($A546&amp;" Corp","COUNTRY_FULL_NAME")))</f>
        <v/>
      </c>
      <c r="G546" s="17">
        <f>IF($A546="","",_xll.BDP($A546&amp;" Corp","CRNCY"))</f>
        <v/>
      </c>
      <c r="H546" s="17">
        <f>IF($A546="","",IFERROR(INDEX(SYZ_static!$T$2:$T$806,MATCH($A546,SYZ_static!$A$2:$A$806,0)),_xll.BDP($A546&amp;" Corp","RTG_SP")))</f>
        <v/>
      </c>
      <c r="I546" s="17">
        <f>IF($A546="","",IFERROR(INDEX(SYZ_static!$S$2:$S$806,MATCH($A546,SYZ_static!$A$2:$A$806,0)),""))</f>
        <v/>
      </c>
      <c r="J546" s="17">
        <f>IF($A546="","",_xll.BDP($A546&amp;" Corp","PAYMENT_RANK"))</f>
        <v/>
      </c>
      <c r="K546" s="18">
        <f>IF($A546="","",_xll.BDP($A546&amp;" Corp","CPN"))</f>
        <v/>
      </c>
      <c r="L546" s="19">
        <f>IF($A546="","",_xll.BDP($A546&amp;" Corp","MATURITY"))</f>
        <v/>
      </c>
      <c r="M546" s="20">
        <f>IF($A546="","",IFERROR(_xll.BDP($A546&amp;" Corp","MIN_PIECE")/1000,""))</f>
        <v/>
      </c>
      <c r="N546" s="21">
        <f>IF($A546="","",_xll.BDP($A546&amp;" Corp","PX_LAST"))</f>
        <v/>
      </c>
      <c r="O546" s="21">
        <f>IF($A546="","",_xll.BDP($A546&amp;" Corp","YAS_BOND_YLD","YAS_YLD_FLAG=15"))</f>
        <v/>
      </c>
      <c r="P546" s="21">
        <f>IF($A546="","",_xll.BDP($A546&amp;" Corp","YAS_MOD_DUR"))</f>
        <v/>
      </c>
      <c r="Q546" s="22">
        <f>IF($A546="","",_xll.BDP($A546&amp;" Corp","YAS_OAS_SPRD"))</f>
        <v/>
      </c>
      <c r="R546" s="22">
        <f>IF($A546="","",_xll.BDP($A546&amp;" Corp","YAS_OAS_SPRD","SETTLE_DT",$B$2))</f>
        <v/>
      </c>
      <c r="S546" s="23">
        <f>IF($A546="","",IF(OR(NOT(ISNUMBER($Q546)),NOT(ISNUMBER($R546))),"",$Q546-$R546))</f>
        <v/>
      </c>
      <c r="T546" s="21">
        <f>IF($A546="","",_xll.BDP($A546&amp;" Corp","YAS_BOND_YLD","YAS_YLD_FLAG=15","SETTLE_DT",$B$2))</f>
        <v/>
      </c>
      <c r="U546" s="24">
        <f>IF($A546="","",IF(OR(NOT(ISNUMBER($O546)),NOT(ISNUMBER($T546))),"",$O546-$T546))</f>
        <v/>
      </c>
      <c r="V546" s="22">
        <f>IF(NOT(ISNUMBER($S546)),"",COUNTIFS($G$7:$G$850,$G546,$S$7:$S$850,"&gt;"&amp;$S546)+COUNTIFS($G$7:$G546,$G546,$S$7:$S546,$S546))</f>
        <v/>
      </c>
      <c r="W546" s="22">
        <f>IF(NOT(ISNUMBER($S546)),"",COUNTIFS($G$7:$G$850,$G546,$S$7:$S$850,"&lt;"&amp;$S546)+COUNTIFS($G$7:$G546,$G546,$S$7:$S546,$S546))</f>
        <v/>
      </c>
      <c r="X546" s="17">
        <f>IF($V546="","",$G546&amp;"|"&amp;$V546)</f>
        <v/>
      </c>
      <c r="Y546" s="17">
        <f>IF($W546="","",$G546&amp;"|"&amp;$W546)</f>
        <v/>
      </c>
    </row>
    <row r="547">
      <c r="A547" s="7" t="inlineStr">
        <is>
          <t>XS2791959906</t>
        </is>
      </c>
      <c r="B547" s="8">
        <f>IF($A547="","",PROPER(_xll.BDP($A547&amp;" Corp","NAME")))</f>
        <v/>
      </c>
      <c r="C547" s="8">
        <f>IF($A547="","",IFERROR(INDEX(Company_desc!$B$2:$B$1144,MATCH($A547,Company_desc!$A$2:$A$1144,0)),IFERROR(INDEX(SYZ_static!$Q$2:$Q$806,MATCH($A547,SYZ_static!$A$2:$A$806,0)),"")))</f>
        <v/>
      </c>
      <c r="D547" s="8">
        <f>IF($A547="","",IFERROR(INDEX(SYZ_static!$B$2:$B$806,MATCH($A547,SYZ_static!$A$2:$A$806,0)),""))</f>
        <v/>
      </c>
      <c r="E547" s="8">
        <f>IF($A547="","",_xll.BDP($A547&amp;" Corp","INDUSTRY_SECTOR"))</f>
        <v/>
      </c>
      <c r="F547" s="8">
        <f>IF($A547="","",PROPER(_xll.BDP($A547&amp;" Corp","COUNTRY_FULL_NAME")))</f>
        <v/>
      </c>
      <c r="G547" s="8">
        <f>IF($A547="","",_xll.BDP($A547&amp;" Corp","CRNCY"))</f>
        <v/>
      </c>
      <c r="H547" s="8">
        <f>IF($A547="","",IFERROR(INDEX(SYZ_static!$T$2:$T$806,MATCH($A547,SYZ_static!$A$2:$A$806,0)),_xll.BDP($A547&amp;" Corp","RTG_SP")))</f>
        <v/>
      </c>
      <c r="I547" s="8">
        <f>IF($A547="","",IFERROR(INDEX(SYZ_static!$S$2:$S$806,MATCH($A547,SYZ_static!$A$2:$A$806,0)),""))</f>
        <v/>
      </c>
      <c r="J547" s="8">
        <f>IF($A547="","",_xll.BDP($A547&amp;" Corp","PAYMENT_RANK"))</f>
        <v/>
      </c>
      <c r="K547" s="9">
        <f>IF($A547="","",_xll.BDP($A547&amp;" Corp","CPN"))</f>
        <v/>
      </c>
      <c r="L547" s="10">
        <f>IF($A547="","",_xll.BDP($A547&amp;" Corp","MATURITY"))</f>
        <v/>
      </c>
      <c r="M547" s="11">
        <f>IF($A547="","",IFERROR(_xll.BDP($A547&amp;" Corp","MIN_PIECE")/1000,""))</f>
        <v/>
      </c>
      <c r="N547" s="12">
        <f>IF($A547="","",_xll.BDP($A547&amp;" Corp","PX_LAST"))</f>
        <v/>
      </c>
      <c r="O547" s="12">
        <f>IF($A547="","",_xll.BDP($A547&amp;" Corp","YAS_BOND_YLD","YAS_YLD_FLAG=15"))</f>
        <v/>
      </c>
      <c r="P547" s="12">
        <f>IF($A547="","",_xll.BDP($A547&amp;" Corp","YAS_MOD_DUR"))</f>
        <v/>
      </c>
      <c r="Q547" s="13">
        <f>IF($A547="","",_xll.BDP($A547&amp;" Corp","YAS_OAS_SPRD"))</f>
        <v/>
      </c>
      <c r="R547" s="13">
        <f>IF($A547="","",_xll.BDP($A547&amp;" Corp","YAS_OAS_SPRD","SETTLE_DT",$B$2))</f>
        <v/>
      </c>
      <c r="S547" s="14">
        <f>IF($A547="","",IF(OR(NOT(ISNUMBER($Q547)),NOT(ISNUMBER($R547))),"",$Q547-$R547))</f>
        <v/>
      </c>
      <c r="T547" s="12">
        <f>IF($A547="","",_xll.BDP($A547&amp;" Corp","YAS_BOND_YLD","YAS_YLD_FLAG=15","SETTLE_DT",$B$2))</f>
        <v/>
      </c>
      <c r="U547" s="15">
        <f>IF($A547="","",IF(OR(NOT(ISNUMBER($O547)),NOT(ISNUMBER($T547))),"",$O547-$T547))</f>
        <v/>
      </c>
      <c r="V547" s="13">
        <f>IF(NOT(ISNUMBER($S547)),"",COUNTIFS($G$7:$G$850,$G547,$S$7:$S$850,"&gt;"&amp;$S547)+COUNTIFS($G$7:$G547,$G547,$S$7:$S547,$S547))</f>
        <v/>
      </c>
      <c r="W547" s="13">
        <f>IF(NOT(ISNUMBER($S547)),"",COUNTIFS($G$7:$G$850,$G547,$S$7:$S$850,"&lt;"&amp;$S547)+COUNTIFS($G$7:$G547,$G547,$S$7:$S547,$S547))</f>
        <v/>
      </c>
      <c r="X547" s="8">
        <f>IF($V547="","",$G547&amp;"|"&amp;$V547)</f>
        <v/>
      </c>
      <c r="Y547" s="8">
        <f>IF($W547="","",$G547&amp;"|"&amp;$W547)</f>
        <v/>
      </c>
    </row>
    <row r="548">
      <c r="A548" s="16" t="inlineStr">
        <is>
          <t>US68389XCH61</t>
        </is>
      </c>
      <c r="B548" s="17">
        <f>IF($A548="","",PROPER(_xll.BDP($A548&amp;" Corp","NAME")))</f>
        <v/>
      </c>
      <c r="C548" s="17">
        <f>IF($A548="","",IFERROR(INDEX(Company_desc!$B$2:$B$1144,MATCH($A548,Company_desc!$A$2:$A$1144,0)),IFERROR(INDEX(SYZ_static!$Q$2:$Q$806,MATCH($A548,SYZ_static!$A$2:$A$806,0)),"")))</f>
        <v/>
      </c>
      <c r="D548" s="17">
        <f>IF($A548="","",IFERROR(INDEX(SYZ_static!$B$2:$B$806,MATCH($A548,SYZ_static!$A$2:$A$806,0)),""))</f>
        <v/>
      </c>
      <c r="E548" s="17">
        <f>IF($A548="","",_xll.BDP($A548&amp;" Corp","INDUSTRY_SECTOR"))</f>
        <v/>
      </c>
      <c r="F548" s="17">
        <f>IF($A548="","",PROPER(_xll.BDP($A548&amp;" Corp","COUNTRY_FULL_NAME")))</f>
        <v/>
      </c>
      <c r="G548" s="17">
        <f>IF($A548="","",_xll.BDP($A548&amp;" Corp","CRNCY"))</f>
        <v/>
      </c>
      <c r="H548" s="17">
        <f>IF($A548="","",IFERROR(INDEX(SYZ_static!$T$2:$T$806,MATCH($A548,SYZ_static!$A$2:$A$806,0)),_xll.BDP($A548&amp;" Corp","RTG_SP")))</f>
        <v/>
      </c>
      <c r="I548" s="17">
        <f>IF($A548="","",IFERROR(INDEX(SYZ_static!$S$2:$S$806,MATCH($A548,SYZ_static!$A$2:$A$806,0)),""))</f>
        <v/>
      </c>
      <c r="J548" s="17">
        <f>IF($A548="","",_xll.BDP($A548&amp;" Corp","PAYMENT_RANK"))</f>
        <v/>
      </c>
      <c r="K548" s="18">
        <f>IF($A548="","",_xll.BDP($A548&amp;" Corp","CPN"))</f>
        <v/>
      </c>
      <c r="L548" s="19">
        <f>IF($A548="","",_xll.BDP($A548&amp;" Corp","MATURITY"))</f>
        <v/>
      </c>
      <c r="M548" s="20">
        <f>IF($A548="","",IFERROR(_xll.BDP($A548&amp;" Corp","MIN_PIECE")/1000,""))</f>
        <v/>
      </c>
      <c r="N548" s="21">
        <f>IF($A548="","",_xll.BDP($A548&amp;" Corp","PX_LAST"))</f>
        <v/>
      </c>
      <c r="O548" s="21">
        <f>IF($A548="","",_xll.BDP($A548&amp;" Corp","YAS_BOND_YLD","YAS_YLD_FLAG=15"))</f>
        <v/>
      </c>
      <c r="P548" s="21">
        <f>IF($A548="","",_xll.BDP($A548&amp;" Corp","YAS_MOD_DUR"))</f>
        <v/>
      </c>
      <c r="Q548" s="22">
        <f>IF($A548="","",_xll.BDP($A548&amp;" Corp","YAS_OAS_SPRD"))</f>
        <v/>
      </c>
      <c r="R548" s="22">
        <f>IF($A548="","",_xll.BDP($A548&amp;" Corp","YAS_OAS_SPRD","SETTLE_DT",$B$2))</f>
        <v/>
      </c>
      <c r="S548" s="23">
        <f>IF($A548="","",IF(OR(NOT(ISNUMBER($Q548)),NOT(ISNUMBER($R548))),"",$Q548-$R548))</f>
        <v/>
      </c>
      <c r="T548" s="21">
        <f>IF($A548="","",_xll.BDP($A548&amp;" Corp","YAS_BOND_YLD","YAS_YLD_FLAG=15","SETTLE_DT",$B$2))</f>
        <v/>
      </c>
      <c r="U548" s="24">
        <f>IF($A548="","",IF(OR(NOT(ISNUMBER($O548)),NOT(ISNUMBER($T548))),"",$O548-$T548))</f>
        <v/>
      </c>
      <c r="V548" s="22">
        <f>IF(NOT(ISNUMBER($S548)),"",COUNTIFS($G$7:$G$850,$G548,$S$7:$S$850,"&gt;"&amp;$S548)+COUNTIFS($G$7:$G548,$G548,$S$7:$S548,$S548))</f>
        <v/>
      </c>
      <c r="W548" s="22">
        <f>IF(NOT(ISNUMBER($S548)),"",COUNTIFS($G$7:$G$850,$G548,$S$7:$S$850,"&lt;"&amp;$S548)+COUNTIFS($G$7:$G548,$G548,$S$7:$S548,$S548))</f>
        <v/>
      </c>
      <c r="X548" s="17">
        <f>IF($V548="","",$G548&amp;"|"&amp;$V548)</f>
        <v/>
      </c>
      <c r="Y548" s="17">
        <f>IF($W548="","",$G548&amp;"|"&amp;$W548)</f>
        <v/>
      </c>
    </row>
    <row r="549">
      <c r="A549" s="7" t="inlineStr">
        <is>
          <t>IT0003535157</t>
        </is>
      </c>
      <c r="B549" s="8">
        <f>IF($A549="","",PROPER(_xll.BDP($A549&amp;" Corp","NAME")))</f>
        <v/>
      </c>
      <c r="C549" s="8">
        <f>IF($A549="","",IFERROR(INDEX(Company_desc!$B$2:$B$1144,MATCH($A549,Company_desc!$A$2:$A$1144,0)),IFERROR(INDEX(SYZ_static!$Q$2:$Q$806,MATCH($A549,SYZ_static!$A$2:$A$806,0)),"")))</f>
        <v/>
      </c>
      <c r="D549" s="8">
        <f>IF($A549="","",IFERROR(INDEX(SYZ_static!$B$2:$B$806,MATCH($A549,SYZ_static!$A$2:$A$806,0)),""))</f>
        <v/>
      </c>
      <c r="E549" s="8">
        <f>IF($A549="","",_xll.BDP($A549&amp;" Corp","INDUSTRY_SECTOR"))</f>
        <v/>
      </c>
      <c r="F549" s="8">
        <f>IF($A549="","",PROPER(_xll.BDP($A549&amp;" Corp","COUNTRY_FULL_NAME")))</f>
        <v/>
      </c>
      <c r="G549" s="8">
        <f>IF($A549="","",_xll.BDP($A549&amp;" Corp","CRNCY"))</f>
        <v/>
      </c>
      <c r="H549" s="8">
        <f>IF($A549="","",IFERROR(INDEX(SYZ_static!$T$2:$T$806,MATCH($A549,SYZ_static!$A$2:$A$806,0)),_xll.BDP($A549&amp;" Corp","RTG_SP")))</f>
        <v/>
      </c>
      <c r="I549" s="8">
        <f>IF($A549="","",IFERROR(INDEX(SYZ_static!$S$2:$S$806,MATCH($A549,SYZ_static!$A$2:$A$806,0)),""))</f>
        <v/>
      </c>
      <c r="J549" s="8">
        <f>IF($A549="","",_xll.BDP($A549&amp;" Corp","PAYMENT_RANK"))</f>
        <v/>
      </c>
      <c r="K549" s="9">
        <f>IF($A549="","",_xll.BDP($A549&amp;" Corp","CPN"))</f>
        <v/>
      </c>
      <c r="L549" s="10">
        <f>IF($A549="","",_xll.BDP($A549&amp;" Corp","MATURITY"))</f>
        <v/>
      </c>
      <c r="M549" s="11">
        <f>IF($A549="","",IFERROR(_xll.BDP($A549&amp;" Corp","MIN_PIECE")/1000,""))</f>
        <v/>
      </c>
      <c r="N549" s="12">
        <f>IF($A549="","",_xll.BDP($A549&amp;" Corp","PX_LAST"))</f>
        <v/>
      </c>
      <c r="O549" s="12">
        <f>IF($A549="","",_xll.BDP($A549&amp;" Corp","YAS_BOND_YLD","YAS_YLD_FLAG=15"))</f>
        <v/>
      </c>
      <c r="P549" s="12">
        <f>IF($A549="","",_xll.BDP($A549&amp;" Corp","YAS_MOD_DUR"))</f>
        <v/>
      </c>
      <c r="Q549" s="13">
        <f>IF($A549="","",_xll.BDP($A549&amp;" Corp","YAS_OAS_SPRD"))</f>
        <v/>
      </c>
      <c r="R549" s="13">
        <f>IF($A549="","",_xll.BDP($A549&amp;" Corp","YAS_OAS_SPRD","SETTLE_DT",$B$2))</f>
        <v/>
      </c>
      <c r="S549" s="14">
        <f>IF($A549="","",IF(OR(NOT(ISNUMBER($Q549)),NOT(ISNUMBER($R549))),"",$Q549-$R549))</f>
        <v/>
      </c>
      <c r="T549" s="12">
        <f>IF($A549="","",_xll.BDP($A549&amp;" Corp","YAS_BOND_YLD","YAS_YLD_FLAG=15","SETTLE_DT",$B$2))</f>
        <v/>
      </c>
      <c r="U549" s="15">
        <f>IF($A549="","",IF(OR(NOT(ISNUMBER($O549)),NOT(ISNUMBER($T549))),"",$O549-$T549))</f>
        <v/>
      </c>
      <c r="V549" s="13">
        <f>IF(NOT(ISNUMBER($S549)),"",COUNTIFS($G$7:$G$850,$G549,$S$7:$S$850,"&gt;"&amp;$S549)+COUNTIFS($G$7:$G549,$G549,$S$7:$S549,$S549))</f>
        <v/>
      </c>
      <c r="W549" s="13">
        <f>IF(NOT(ISNUMBER($S549)),"",COUNTIFS($G$7:$G$850,$G549,$S$7:$S$850,"&lt;"&amp;$S549)+COUNTIFS($G$7:$G549,$G549,$S$7:$S549,$S549))</f>
        <v/>
      </c>
      <c r="X549" s="8">
        <f>IF($V549="","",$G549&amp;"|"&amp;$V549)</f>
        <v/>
      </c>
      <c r="Y549" s="8">
        <f>IF($W549="","",$G549&amp;"|"&amp;$W549)</f>
        <v/>
      </c>
    </row>
    <row r="550">
      <c r="A550" s="16" t="inlineStr">
        <is>
          <t>XS2911044019</t>
        </is>
      </c>
      <c r="B550" s="17">
        <f>IF($A550="","",PROPER(_xll.BDP($A550&amp;" Corp","NAME")))</f>
        <v/>
      </c>
      <c r="C550" s="17">
        <f>IF($A550="","",IFERROR(INDEX(Company_desc!$B$2:$B$1144,MATCH($A550,Company_desc!$A$2:$A$1144,0)),IFERROR(INDEX(SYZ_static!$Q$2:$Q$806,MATCH($A550,SYZ_static!$A$2:$A$806,0)),"")))</f>
        <v/>
      </c>
      <c r="D550" s="17">
        <f>IF($A550="","",IFERROR(INDEX(SYZ_static!$B$2:$B$806,MATCH($A550,SYZ_static!$A$2:$A$806,0)),""))</f>
        <v/>
      </c>
      <c r="E550" s="17">
        <f>IF($A550="","",_xll.BDP($A550&amp;" Corp","INDUSTRY_SECTOR"))</f>
        <v/>
      </c>
      <c r="F550" s="17">
        <f>IF($A550="","",PROPER(_xll.BDP($A550&amp;" Corp","COUNTRY_FULL_NAME")))</f>
        <v/>
      </c>
      <c r="G550" s="17">
        <f>IF($A550="","",_xll.BDP($A550&amp;" Corp","CRNCY"))</f>
        <v/>
      </c>
      <c r="H550" s="17">
        <f>IF($A550="","",IFERROR(INDEX(SYZ_static!$T$2:$T$806,MATCH($A550,SYZ_static!$A$2:$A$806,0)),_xll.BDP($A550&amp;" Corp","RTG_SP")))</f>
        <v/>
      </c>
      <c r="I550" s="17">
        <f>IF($A550="","",IFERROR(INDEX(SYZ_static!$S$2:$S$806,MATCH($A550,SYZ_static!$A$2:$A$806,0)),""))</f>
        <v/>
      </c>
      <c r="J550" s="17">
        <f>IF($A550="","",_xll.BDP($A550&amp;" Corp","PAYMENT_RANK"))</f>
        <v/>
      </c>
      <c r="K550" s="18">
        <f>IF($A550="","",_xll.BDP($A550&amp;" Corp","CPN"))</f>
        <v/>
      </c>
      <c r="L550" s="19">
        <f>IF($A550="","",_xll.BDP($A550&amp;" Corp","MATURITY"))</f>
        <v/>
      </c>
      <c r="M550" s="20">
        <f>IF($A550="","",IFERROR(_xll.BDP($A550&amp;" Corp","MIN_PIECE")/1000,""))</f>
        <v/>
      </c>
      <c r="N550" s="21">
        <f>IF($A550="","",_xll.BDP($A550&amp;" Corp","PX_LAST"))</f>
        <v/>
      </c>
      <c r="O550" s="21">
        <f>IF($A550="","",_xll.BDP($A550&amp;" Corp","YAS_BOND_YLD","YAS_YLD_FLAG=15"))</f>
        <v/>
      </c>
      <c r="P550" s="21">
        <f>IF($A550="","",_xll.BDP($A550&amp;" Corp","YAS_MOD_DUR"))</f>
        <v/>
      </c>
      <c r="Q550" s="22">
        <f>IF($A550="","",_xll.BDP($A550&amp;" Corp","YAS_OAS_SPRD"))</f>
        <v/>
      </c>
      <c r="R550" s="22">
        <f>IF($A550="","",_xll.BDP($A550&amp;" Corp","YAS_OAS_SPRD","SETTLE_DT",$B$2))</f>
        <v/>
      </c>
      <c r="S550" s="23">
        <f>IF($A550="","",IF(OR(NOT(ISNUMBER($Q550)),NOT(ISNUMBER($R550))),"",$Q550-$R550))</f>
        <v/>
      </c>
      <c r="T550" s="21">
        <f>IF($A550="","",_xll.BDP($A550&amp;" Corp","YAS_BOND_YLD","YAS_YLD_FLAG=15","SETTLE_DT",$B$2))</f>
        <v/>
      </c>
      <c r="U550" s="24">
        <f>IF($A550="","",IF(OR(NOT(ISNUMBER($O550)),NOT(ISNUMBER($T550))),"",$O550-$T550))</f>
        <v/>
      </c>
      <c r="V550" s="22">
        <f>IF(NOT(ISNUMBER($S550)),"",COUNTIFS($G$7:$G$850,$G550,$S$7:$S$850,"&gt;"&amp;$S550)+COUNTIFS($G$7:$G550,$G550,$S$7:$S550,$S550))</f>
        <v/>
      </c>
      <c r="W550" s="22">
        <f>IF(NOT(ISNUMBER($S550)),"",COUNTIFS($G$7:$G$850,$G550,$S$7:$S$850,"&lt;"&amp;$S550)+COUNTIFS($G$7:$G550,$G550,$S$7:$S550,$S550))</f>
        <v/>
      </c>
      <c r="X550" s="17">
        <f>IF($V550="","",$G550&amp;"|"&amp;$V550)</f>
        <v/>
      </c>
      <c r="Y550" s="17">
        <f>IF($W550="","",$G550&amp;"|"&amp;$W550)</f>
        <v/>
      </c>
    </row>
    <row r="551">
      <c r="A551" s="7" t="inlineStr">
        <is>
          <t>XS2997537357</t>
        </is>
      </c>
      <c r="B551" s="8">
        <f>IF($A551="","",PROPER(_xll.BDP($A551&amp;" Corp","NAME")))</f>
        <v/>
      </c>
      <c r="C551" s="8">
        <f>IF($A551="","",IFERROR(INDEX(Company_desc!$B$2:$B$1144,MATCH($A551,Company_desc!$A$2:$A$1144,0)),IFERROR(INDEX(SYZ_static!$Q$2:$Q$806,MATCH($A551,SYZ_static!$A$2:$A$806,0)),"")))</f>
        <v/>
      </c>
      <c r="D551" s="8">
        <f>IF($A551="","",IFERROR(INDEX(SYZ_static!$B$2:$B$806,MATCH($A551,SYZ_static!$A$2:$A$806,0)),""))</f>
        <v/>
      </c>
      <c r="E551" s="8">
        <f>IF($A551="","",_xll.BDP($A551&amp;" Corp","INDUSTRY_SECTOR"))</f>
        <v/>
      </c>
      <c r="F551" s="8">
        <f>IF($A551="","",PROPER(_xll.BDP($A551&amp;" Corp","COUNTRY_FULL_NAME")))</f>
        <v/>
      </c>
      <c r="G551" s="8">
        <f>IF($A551="","",_xll.BDP($A551&amp;" Corp","CRNCY"))</f>
        <v/>
      </c>
      <c r="H551" s="8">
        <f>IF($A551="","",IFERROR(INDEX(SYZ_static!$T$2:$T$806,MATCH($A551,SYZ_static!$A$2:$A$806,0)),_xll.BDP($A551&amp;" Corp","RTG_SP")))</f>
        <v/>
      </c>
      <c r="I551" s="8">
        <f>IF($A551="","",IFERROR(INDEX(SYZ_static!$S$2:$S$806,MATCH($A551,SYZ_static!$A$2:$A$806,0)),""))</f>
        <v/>
      </c>
      <c r="J551" s="8">
        <f>IF($A551="","",_xll.BDP($A551&amp;" Corp","PAYMENT_RANK"))</f>
        <v/>
      </c>
      <c r="K551" s="9">
        <f>IF($A551="","",_xll.BDP($A551&amp;" Corp","CPN"))</f>
        <v/>
      </c>
      <c r="L551" s="10">
        <f>IF($A551="","",_xll.BDP($A551&amp;" Corp","MATURITY"))</f>
        <v/>
      </c>
      <c r="M551" s="11">
        <f>IF($A551="","",IFERROR(_xll.BDP($A551&amp;" Corp","MIN_PIECE")/1000,""))</f>
        <v/>
      </c>
      <c r="N551" s="12">
        <f>IF($A551="","",_xll.BDP($A551&amp;" Corp","PX_LAST"))</f>
        <v/>
      </c>
      <c r="O551" s="12">
        <f>IF($A551="","",_xll.BDP($A551&amp;" Corp","YAS_BOND_YLD","YAS_YLD_FLAG=15"))</f>
        <v/>
      </c>
      <c r="P551" s="12">
        <f>IF($A551="","",_xll.BDP($A551&amp;" Corp","YAS_MOD_DUR"))</f>
        <v/>
      </c>
      <c r="Q551" s="13">
        <f>IF($A551="","",_xll.BDP($A551&amp;" Corp","YAS_OAS_SPRD"))</f>
        <v/>
      </c>
      <c r="R551" s="13">
        <f>IF($A551="","",_xll.BDP($A551&amp;" Corp","YAS_OAS_SPRD","SETTLE_DT",$B$2))</f>
        <v/>
      </c>
      <c r="S551" s="14">
        <f>IF($A551="","",IF(OR(NOT(ISNUMBER($Q551)),NOT(ISNUMBER($R551))),"",$Q551-$R551))</f>
        <v/>
      </c>
      <c r="T551" s="12">
        <f>IF($A551="","",_xll.BDP($A551&amp;" Corp","YAS_BOND_YLD","YAS_YLD_FLAG=15","SETTLE_DT",$B$2))</f>
        <v/>
      </c>
      <c r="U551" s="15">
        <f>IF($A551="","",IF(OR(NOT(ISNUMBER($O551)),NOT(ISNUMBER($T551))),"",$O551-$T551))</f>
        <v/>
      </c>
      <c r="V551" s="13">
        <f>IF(NOT(ISNUMBER($S551)),"",COUNTIFS($G$7:$G$850,$G551,$S$7:$S$850,"&gt;"&amp;$S551)+COUNTIFS($G$7:$G551,$G551,$S$7:$S551,$S551))</f>
        <v/>
      </c>
      <c r="W551" s="13">
        <f>IF(NOT(ISNUMBER($S551)),"",COUNTIFS($G$7:$G$850,$G551,$S$7:$S$850,"&lt;"&amp;$S551)+COUNTIFS($G$7:$G551,$G551,$S$7:$S551,$S551))</f>
        <v/>
      </c>
      <c r="X551" s="8">
        <f>IF($V551="","",$G551&amp;"|"&amp;$V551)</f>
        <v/>
      </c>
      <c r="Y551" s="8">
        <f>IF($W551="","",$G551&amp;"|"&amp;$W551)</f>
        <v/>
      </c>
    </row>
    <row r="552">
      <c r="A552" s="16" t="inlineStr">
        <is>
          <t>CH1264414348</t>
        </is>
      </c>
      <c r="B552" s="17">
        <f>IF($A552="","",PROPER(_xll.BDP($A552&amp;" Corp","NAME")))</f>
        <v/>
      </c>
      <c r="C552" s="17">
        <f>IF($A552="","",IFERROR(INDEX(Company_desc!$B$2:$B$1144,MATCH($A552,Company_desc!$A$2:$A$1144,0)),IFERROR(INDEX(SYZ_static!$Q$2:$Q$806,MATCH($A552,SYZ_static!$A$2:$A$806,0)),"")))</f>
        <v/>
      </c>
      <c r="D552" s="17">
        <f>IF($A552="","",IFERROR(INDEX(SYZ_static!$B$2:$B$806,MATCH($A552,SYZ_static!$A$2:$A$806,0)),""))</f>
        <v/>
      </c>
      <c r="E552" s="17">
        <f>IF($A552="","",_xll.BDP($A552&amp;" Corp","INDUSTRY_SECTOR"))</f>
        <v/>
      </c>
      <c r="F552" s="17">
        <f>IF($A552="","",PROPER(_xll.BDP($A552&amp;" Corp","COUNTRY_FULL_NAME")))</f>
        <v/>
      </c>
      <c r="G552" s="17">
        <f>IF($A552="","",_xll.BDP($A552&amp;" Corp","CRNCY"))</f>
        <v/>
      </c>
      <c r="H552" s="17">
        <f>IF($A552="","",IFERROR(INDEX(SYZ_static!$T$2:$T$806,MATCH($A552,SYZ_static!$A$2:$A$806,0)),_xll.BDP($A552&amp;" Corp","RTG_SP")))</f>
        <v/>
      </c>
      <c r="I552" s="17">
        <f>IF($A552="","",IFERROR(INDEX(SYZ_static!$S$2:$S$806,MATCH($A552,SYZ_static!$A$2:$A$806,0)),""))</f>
        <v/>
      </c>
      <c r="J552" s="17">
        <f>IF($A552="","",_xll.BDP($A552&amp;" Corp","PAYMENT_RANK"))</f>
        <v/>
      </c>
      <c r="K552" s="18">
        <f>IF($A552="","",_xll.BDP($A552&amp;" Corp","CPN"))</f>
        <v/>
      </c>
      <c r="L552" s="19">
        <f>IF($A552="","",_xll.BDP($A552&amp;" Corp","MATURITY"))</f>
        <v/>
      </c>
      <c r="M552" s="20">
        <f>IF($A552="","",IFERROR(_xll.BDP($A552&amp;" Corp","MIN_PIECE")/1000,""))</f>
        <v/>
      </c>
      <c r="N552" s="21">
        <f>IF($A552="","",_xll.BDP($A552&amp;" Corp","PX_LAST"))</f>
        <v/>
      </c>
      <c r="O552" s="21">
        <f>IF($A552="","",_xll.BDP($A552&amp;" Corp","YAS_BOND_YLD","YAS_YLD_FLAG=15"))</f>
        <v/>
      </c>
      <c r="P552" s="21">
        <f>IF($A552="","",_xll.BDP($A552&amp;" Corp","YAS_MOD_DUR"))</f>
        <v/>
      </c>
      <c r="Q552" s="22">
        <f>IF($A552="","",_xll.BDP($A552&amp;" Corp","YAS_OAS_SPRD"))</f>
        <v/>
      </c>
      <c r="R552" s="22">
        <f>IF($A552="","",_xll.BDP($A552&amp;" Corp","YAS_OAS_SPRD","SETTLE_DT",$B$2))</f>
        <v/>
      </c>
      <c r="S552" s="23">
        <f>IF($A552="","",IF(OR(NOT(ISNUMBER($Q552)),NOT(ISNUMBER($R552))),"",$Q552-$R552))</f>
        <v/>
      </c>
      <c r="T552" s="21">
        <f>IF($A552="","",_xll.BDP($A552&amp;" Corp","YAS_BOND_YLD","YAS_YLD_FLAG=15","SETTLE_DT",$B$2))</f>
        <v/>
      </c>
      <c r="U552" s="24">
        <f>IF($A552="","",IF(OR(NOT(ISNUMBER($O552)),NOT(ISNUMBER($T552))),"",$O552-$T552))</f>
        <v/>
      </c>
      <c r="V552" s="22">
        <f>IF(NOT(ISNUMBER($S552)),"",COUNTIFS($G$7:$G$850,$G552,$S$7:$S$850,"&gt;"&amp;$S552)+COUNTIFS($G$7:$G552,$G552,$S$7:$S552,$S552))</f>
        <v/>
      </c>
      <c r="W552" s="22">
        <f>IF(NOT(ISNUMBER($S552)),"",COUNTIFS($G$7:$G$850,$G552,$S$7:$S$850,"&lt;"&amp;$S552)+COUNTIFS($G$7:$G552,$G552,$S$7:$S552,$S552))</f>
        <v/>
      </c>
      <c r="X552" s="17">
        <f>IF($V552="","",$G552&amp;"|"&amp;$V552)</f>
        <v/>
      </c>
      <c r="Y552" s="17">
        <f>IF($W552="","",$G552&amp;"|"&amp;$W552)</f>
        <v/>
      </c>
    </row>
    <row r="553">
      <c r="A553" s="7" t="inlineStr">
        <is>
          <t>US459200KY61</t>
        </is>
      </c>
      <c r="B553" s="8">
        <f>IF($A553="","",PROPER(_xll.BDP($A553&amp;" Corp","NAME")))</f>
        <v/>
      </c>
      <c r="C553" s="8">
        <f>IF($A553="","",IFERROR(INDEX(Company_desc!$B$2:$B$1144,MATCH($A553,Company_desc!$A$2:$A$1144,0)),IFERROR(INDEX(SYZ_static!$Q$2:$Q$806,MATCH($A553,SYZ_static!$A$2:$A$806,0)),"")))</f>
        <v/>
      </c>
      <c r="D553" s="8">
        <f>IF($A553="","",IFERROR(INDEX(SYZ_static!$B$2:$B$806,MATCH($A553,SYZ_static!$A$2:$A$806,0)),""))</f>
        <v/>
      </c>
      <c r="E553" s="8">
        <f>IF($A553="","",_xll.BDP($A553&amp;" Corp","INDUSTRY_SECTOR"))</f>
        <v/>
      </c>
      <c r="F553" s="8">
        <f>IF($A553="","",PROPER(_xll.BDP($A553&amp;" Corp","COUNTRY_FULL_NAME")))</f>
        <v/>
      </c>
      <c r="G553" s="8">
        <f>IF($A553="","",_xll.BDP($A553&amp;" Corp","CRNCY"))</f>
        <v/>
      </c>
      <c r="H553" s="8">
        <f>IF($A553="","",IFERROR(INDEX(SYZ_static!$T$2:$T$806,MATCH($A553,SYZ_static!$A$2:$A$806,0)),_xll.BDP($A553&amp;" Corp","RTG_SP")))</f>
        <v/>
      </c>
      <c r="I553" s="8">
        <f>IF($A553="","",IFERROR(INDEX(SYZ_static!$S$2:$S$806,MATCH($A553,SYZ_static!$A$2:$A$806,0)),""))</f>
        <v/>
      </c>
      <c r="J553" s="8">
        <f>IF($A553="","",_xll.BDP($A553&amp;" Corp","PAYMENT_RANK"))</f>
        <v/>
      </c>
      <c r="K553" s="9">
        <f>IF($A553="","",_xll.BDP($A553&amp;" Corp","CPN"))</f>
        <v/>
      </c>
      <c r="L553" s="10">
        <f>IF($A553="","",_xll.BDP($A553&amp;" Corp","MATURITY"))</f>
        <v/>
      </c>
      <c r="M553" s="11">
        <f>IF($A553="","",IFERROR(_xll.BDP($A553&amp;" Corp","MIN_PIECE")/1000,""))</f>
        <v/>
      </c>
      <c r="N553" s="12">
        <f>IF($A553="","",_xll.BDP($A553&amp;" Corp","PX_LAST"))</f>
        <v/>
      </c>
      <c r="O553" s="12">
        <f>IF($A553="","",_xll.BDP($A553&amp;" Corp","YAS_BOND_YLD","YAS_YLD_FLAG=15"))</f>
        <v/>
      </c>
      <c r="P553" s="12">
        <f>IF($A553="","",_xll.BDP($A553&amp;" Corp","YAS_MOD_DUR"))</f>
        <v/>
      </c>
      <c r="Q553" s="13">
        <f>IF($A553="","",_xll.BDP($A553&amp;" Corp","YAS_OAS_SPRD"))</f>
        <v/>
      </c>
      <c r="R553" s="13">
        <f>IF($A553="","",_xll.BDP($A553&amp;" Corp","YAS_OAS_SPRD","SETTLE_DT",$B$2))</f>
        <v/>
      </c>
      <c r="S553" s="14">
        <f>IF($A553="","",IF(OR(NOT(ISNUMBER($Q553)),NOT(ISNUMBER($R553))),"",$Q553-$R553))</f>
        <v/>
      </c>
      <c r="T553" s="12">
        <f>IF($A553="","",_xll.BDP($A553&amp;" Corp","YAS_BOND_YLD","YAS_YLD_FLAG=15","SETTLE_DT",$B$2))</f>
        <v/>
      </c>
      <c r="U553" s="15">
        <f>IF($A553="","",IF(OR(NOT(ISNUMBER($O553)),NOT(ISNUMBER($T553))),"",$O553-$T553))</f>
        <v/>
      </c>
      <c r="V553" s="13">
        <f>IF(NOT(ISNUMBER($S553)),"",COUNTIFS($G$7:$G$850,$G553,$S$7:$S$850,"&gt;"&amp;$S553)+COUNTIFS($G$7:$G553,$G553,$S$7:$S553,$S553))</f>
        <v/>
      </c>
      <c r="W553" s="13">
        <f>IF(NOT(ISNUMBER($S553)),"",COUNTIFS($G$7:$G$850,$G553,$S$7:$S$850,"&lt;"&amp;$S553)+COUNTIFS($G$7:$G553,$G553,$S$7:$S553,$S553))</f>
        <v/>
      </c>
      <c r="X553" s="8">
        <f>IF($V553="","",$G553&amp;"|"&amp;$V553)</f>
        <v/>
      </c>
      <c r="Y553" s="8">
        <f>IF($W553="","",$G553&amp;"|"&amp;$W553)</f>
        <v/>
      </c>
    </row>
    <row r="554">
      <c r="A554" s="16" t="inlineStr">
        <is>
          <t>FR0013419736</t>
        </is>
      </c>
      <c r="B554" s="17">
        <f>IF($A554="","",PROPER(_xll.BDP($A554&amp;" Corp","NAME")))</f>
        <v/>
      </c>
      <c r="C554" s="17">
        <f>IF($A554="","",IFERROR(INDEX(Company_desc!$B$2:$B$1144,MATCH($A554,Company_desc!$A$2:$A$1144,0)),IFERROR(INDEX(SYZ_static!$Q$2:$Q$806,MATCH($A554,SYZ_static!$A$2:$A$806,0)),"")))</f>
        <v/>
      </c>
      <c r="D554" s="17">
        <f>IF($A554="","",IFERROR(INDEX(SYZ_static!$B$2:$B$806,MATCH($A554,SYZ_static!$A$2:$A$806,0)),""))</f>
        <v/>
      </c>
      <c r="E554" s="17">
        <f>IF($A554="","",_xll.BDP($A554&amp;" Corp","INDUSTRY_SECTOR"))</f>
        <v/>
      </c>
      <c r="F554" s="17">
        <f>IF($A554="","",PROPER(_xll.BDP($A554&amp;" Corp","COUNTRY_FULL_NAME")))</f>
        <v/>
      </c>
      <c r="G554" s="17">
        <f>IF($A554="","",_xll.BDP($A554&amp;" Corp","CRNCY"))</f>
        <v/>
      </c>
      <c r="H554" s="17">
        <f>IF($A554="","",IFERROR(INDEX(SYZ_static!$T$2:$T$806,MATCH($A554,SYZ_static!$A$2:$A$806,0)),_xll.BDP($A554&amp;" Corp","RTG_SP")))</f>
        <v/>
      </c>
      <c r="I554" s="17">
        <f>IF($A554="","",IFERROR(INDEX(SYZ_static!$S$2:$S$806,MATCH($A554,SYZ_static!$A$2:$A$806,0)),""))</f>
        <v/>
      </c>
      <c r="J554" s="17">
        <f>IF($A554="","",_xll.BDP($A554&amp;" Corp","PAYMENT_RANK"))</f>
        <v/>
      </c>
      <c r="K554" s="18">
        <f>IF($A554="","",_xll.BDP($A554&amp;" Corp","CPN"))</f>
        <v/>
      </c>
      <c r="L554" s="19">
        <f>IF($A554="","",_xll.BDP($A554&amp;" Corp","MATURITY"))</f>
        <v/>
      </c>
      <c r="M554" s="20">
        <f>IF($A554="","",IFERROR(_xll.BDP($A554&amp;" Corp","MIN_PIECE")/1000,""))</f>
        <v/>
      </c>
      <c r="N554" s="21">
        <f>IF($A554="","",_xll.BDP($A554&amp;" Corp","PX_LAST"))</f>
        <v/>
      </c>
      <c r="O554" s="21">
        <f>IF($A554="","",_xll.BDP($A554&amp;" Corp","YAS_BOND_YLD","YAS_YLD_FLAG=15"))</f>
        <v/>
      </c>
      <c r="P554" s="21">
        <f>IF($A554="","",_xll.BDP($A554&amp;" Corp","YAS_MOD_DUR"))</f>
        <v/>
      </c>
      <c r="Q554" s="22">
        <f>IF($A554="","",_xll.BDP($A554&amp;" Corp","YAS_OAS_SPRD"))</f>
        <v/>
      </c>
      <c r="R554" s="22">
        <f>IF($A554="","",_xll.BDP($A554&amp;" Corp","YAS_OAS_SPRD","SETTLE_DT",$B$2))</f>
        <v/>
      </c>
      <c r="S554" s="23">
        <f>IF($A554="","",IF(OR(NOT(ISNUMBER($Q554)),NOT(ISNUMBER($R554))),"",$Q554-$R554))</f>
        <v/>
      </c>
      <c r="T554" s="21">
        <f>IF($A554="","",_xll.BDP($A554&amp;" Corp","YAS_BOND_YLD","YAS_YLD_FLAG=15","SETTLE_DT",$B$2))</f>
        <v/>
      </c>
      <c r="U554" s="24">
        <f>IF($A554="","",IF(OR(NOT(ISNUMBER($O554)),NOT(ISNUMBER($T554))),"",$O554-$T554))</f>
        <v/>
      </c>
      <c r="V554" s="22">
        <f>IF(NOT(ISNUMBER($S554)),"",COUNTIFS($G$7:$G$850,$G554,$S$7:$S$850,"&gt;"&amp;$S554)+COUNTIFS($G$7:$G554,$G554,$S$7:$S554,$S554))</f>
        <v/>
      </c>
      <c r="W554" s="22">
        <f>IF(NOT(ISNUMBER($S554)),"",COUNTIFS($G$7:$G$850,$G554,$S$7:$S$850,"&lt;"&amp;$S554)+COUNTIFS($G$7:$G554,$G554,$S$7:$S554,$S554))</f>
        <v/>
      </c>
      <c r="X554" s="17">
        <f>IF($V554="","",$G554&amp;"|"&amp;$V554)</f>
        <v/>
      </c>
      <c r="Y554" s="17">
        <f>IF($W554="","",$G554&amp;"|"&amp;$W554)</f>
        <v/>
      </c>
    </row>
    <row r="555">
      <c r="A555" s="7" t="inlineStr">
        <is>
          <t>FR0014006CS9</t>
        </is>
      </c>
      <c r="B555" s="8">
        <f>IF($A555="","",PROPER(_xll.BDP($A555&amp;" Corp","NAME")))</f>
        <v/>
      </c>
      <c r="C555" s="8">
        <f>IF($A555="","",IFERROR(INDEX(Company_desc!$B$2:$B$1144,MATCH($A555,Company_desc!$A$2:$A$1144,0)),IFERROR(INDEX(SYZ_static!$Q$2:$Q$806,MATCH($A555,SYZ_static!$A$2:$A$806,0)),"")))</f>
        <v/>
      </c>
      <c r="D555" s="8">
        <f>IF($A555="","",IFERROR(INDEX(SYZ_static!$B$2:$B$806,MATCH($A555,SYZ_static!$A$2:$A$806,0)),""))</f>
        <v/>
      </c>
      <c r="E555" s="8">
        <f>IF($A555="","",_xll.BDP($A555&amp;" Corp","INDUSTRY_SECTOR"))</f>
        <v/>
      </c>
      <c r="F555" s="8">
        <f>IF($A555="","",PROPER(_xll.BDP($A555&amp;" Corp","COUNTRY_FULL_NAME")))</f>
        <v/>
      </c>
      <c r="G555" s="8">
        <f>IF($A555="","",_xll.BDP($A555&amp;" Corp","CRNCY"))</f>
        <v/>
      </c>
      <c r="H555" s="8">
        <f>IF($A555="","",IFERROR(INDEX(SYZ_static!$T$2:$T$806,MATCH($A555,SYZ_static!$A$2:$A$806,0)),_xll.BDP($A555&amp;" Corp","RTG_SP")))</f>
        <v/>
      </c>
      <c r="I555" s="8">
        <f>IF($A555="","",IFERROR(INDEX(SYZ_static!$S$2:$S$806,MATCH($A555,SYZ_static!$A$2:$A$806,0)),""))</f>
        <v/>
      </c>
      <c r="J555" s="8">
        <f>IF($A555="","",_xll.BDP($A555&amp;" Corp","PAYMENT_RANK"))</f>
        <v/>
      </c>
      <c r="K555" s="9">
        <f>IF($A555="","",_xll.BDP($A555&amp;" Corp","CPN"))</f>
        <v/>
      </c>
      <c r="L555" s="10">
        <f>IF($A555="","",_xll.BDP($A555&amp;" Corp","MATURITY"))</f>
        <v/>
      </c>
      <c r="M555" s="11">
        <f>IF($A555="","",IFERROR(_xll.BDP($A555&amp;" Corp","MIN_PIECE")/1000,""))</f>
        <v/>
      </c>
      <c r="N555" s="12">
        <f>IF($A555="","",_xll.BDP($A555&amp;" Corp","PX_LAST"))</f>
        <v/>
      </c>
      <c r="O555" s="12">
        <f>IF($A555="","",_xll.BDP($A555&amp;" Corp","YAS_BOND_YLD","YAS_YLD_FLAG=15"))</f>
        <v/>
      </c>
      <c r="P555" s="12">
        <f>IF($A555="","",_xll.BDP($A555&amp;" Corp","YAS_MOD_DUR"))</f>
        <v/>
      </c>
      <c r="Q555" s="13">
        <f>IF($A555="","",_xll.BDP($A555&amp;" Corp","YAS_OAS_SPRD"))</f>
        <v/>
      </c>
      <c r="R555" s="13">
        <f>IF($A555="","",_xll.BDP($A555&amp;" Corp","YAS_OAS_SPRD","SETTLE_DT",$B$2))</f>
        <v/>
      </c>
      <c r="S555" s="14">
        <f>IF($A555="","",IF(OR(NOT(ISNUMBER($Q555)),NOT(ISNUMBER($R555))),"",$Q555-$R555))</f>
        <v/>
      </c>
      <c r="T555" s="12">
        <f>IF($A555="","",_xll.BDP($A555&amp;" Corp","YAS_BOND_YLD","YAS_YLD_FLAG=15","SETTLE_DT",$B$2))</f>
        <v/>
      </c>
      <c r="U555" s="15">
        <f>IF($A555="","",IF(OR(NOT(ISNUMBER($O555)),NOT(ISNUMBER($T555))),"",$O555-$T555))</f>
        <v/>
      </c>
      <c r="V555" s="13">
        <f>IF(NOT(ISNUMBER($S555)),"",COUNTIFS($G$7:$G$850,$G555,$S$7:$S$850,"&gt;"&amp;$S555)+COUNTIFS($G$7:$G555,$G555,$S$7:$S555,$S555))</f>
        <v/>
      </c>
      <c r="W555" s="13">
        <f>IF(NOT(ISNUMBER($S555)),"",COUNTIFS($G$7:$G$850,$G555,$S$7:$S$850,"&lt;"&amp;$S555)+COUNTIFS($G$7:$G555,$G555,$S$7:$S555,$S555))</f>
        <v/>
      </c>
      <c r="X555" s="8">
        <f>IF($V555="","",$G555&amp;"|"&amp;$V555)</f>
        <v/>
      </c>
      <c r="Y555" s="8">
        <f>IF($W555="","",$G555&amp;"|"&amp;$W555)</f>
        <v/>
      </c>
    </row>
    <row r="556">
      <c r="A556" s="16" t="inlineStr">
        <is>
          <t>XS1681521081</t>
        </is>
      </c>
      <c r="B556" s="17">
        <f>IF($A556="","",PROPER(_xll.BDP($A556&amp;" Corp","NAME")))</f>
        <v/>
      </c>
      <c r="C556" s="17">
        <f>IF($A556="","",IFERROR(INDEX(Company_desc!$B$2:$B$1144,MATCH($A556,Company_desc!$A$2:$A$1144,0)),IFERROR(INDEX(SYZ_static!$Q$2:$Q$806,MATCH($A556,SYZ_static!$A$2:$A$806,0)),"")))</f>
        <v/>
      </c>
      <c r="D556" s="17">
        <f>IF($A556="","",IFERROR(INDEX(SYZ_static!$B$2:$B$806,MATCH($A556,SYZ_static!$A$2:$A$806,0)),""))</f>
        <v/>
      </c>
      <c r="E556" s="17">
        <f>IF($A556="","",_xll.BDP($A556&amp;" Corp","INDUSTRY_SECTOR"))</f>
        <v/>
      </c>
      <c r="F556" s="17">
        <f>IF($A556="","",PROPER(_xll.BDP($A556&amp;" Corp","COUNTRY_FULL_NAME")))</f>
        <v/>
      </c>
      <c r="G556" s="17">
        <f>IF($A556="","",_xll.BDP($A556&amp;" Corp","CRNCY"))</f>
        <v/>
      </c>
      <c r="H556" s="17">
        <f>IF($A556="","",IFERROR(INDEX(SYZ_static!$T$2:$T$806,MATCH($A556,SYZ_static!$A$2:$A$806,0)),_xll.BDP($A556&amp;" Corp","RTG_SP")))</f>
        <v/>
      </c>
      <c r="I556" s="17">
        <f>IF($A556="","",IFERROR(INDEX(SYZ_static!$S$2:$S$806,MATCH($A556,SYZ_static!$A$2:$A$806,0)),""))</f>
        <v/>
      </c>
      <c r="J556" s="17">
        <f>IF($A556="","",_xll.BDP($A556&amp;" Corp","PAYMENT_RANK"))</f>
        <v/>
      </c>
      <c r="K556" s="18">
        <f>IF($A556="","",_xll.BDP($A556&amp;" Corp","CPN"))</f>
        <v/>
      </c>
      <c r="L556" s="19">
        <f>IF($A556="","",_xll.BDP($A556&amp;" Corp","MATURITY"))</f>
        <v/>
      </c>
      <c r="M556" s="20">
        <f>IF($A556="","",IFERROR(_xll.BDP($A556&amp;" Corp","MIN_PIECE")/1000,""))</f>
        <v/>
      </c>
      <c r="N556" s="21">
        <f>IF($A556="","",_xll.BDP($A556&amp;" Corp","PX_LAST"))</f>
        <v/>
      </c>
      <c r="O556" s="21">
        <f>IF($A556="","",_xll.BDP($A556&amp;" Corp","YAS_BOND_YLD","YAS_YLD_FLAG=15"))</f>
        <v/>
      </c>
      <c r="P556" s="21">
        <f>IF($A556="","",_xll.BDP($A556&amp;" Corp","YAS_MOD_DUR"))</f>
        <v/>
      </c>
      <c r="Q556" s="22">
        <f>IF($A556="","",_xll.BDP($A556&amp;" Corp","YAS_OAS_SPRD"))</f>
        <v/>
      </c>
      <c r="R556" s="22">
        <f>IF($A556="","",_xll.BDP($A556&amp;" Corp","YAS_OAS_SPRD","SETTLE_DT",$B$2))</f>
        <v/>
      </c>
      <c r="S556" s="23">
        <f>IF($A556="","",IF(OR(NOT(ISNUMBER($Q556)),NOT(ISNUMBER($R556))),"",$Q556-$R556))</f>
        <v/>
      </c>
      <c r="T556" s="21">
        <f>IF($A556="","",_xll.BDP($A556&amp;" Corp","YAS_BOND_YLD","YAS_YLD_FLAG=15","SETTLE_DT",$B$2))</f>
        <v/>
      </c>
      <c r="U556" s="24">
        <f>IF($A556="","",IF(OR(NOT(ISNUMBER($O556)),NOT(ISNUMBER($T556))),"",$O556-$T556))</f>
        <v/>
      </c>
      <c r="V556" s="22">
        <f>IF(NOT(ISNUMBER($S556)),"",COUNTIFS($G$7:$G$850,$G556,$S$7:$S$850,"&gt;"&amp;$S556)+COUNTIFS($G$7:$G556,$G556,$S$7:$S556,$S556))</f>
        <v/>
      </c>
      <c r="W556" s="22">
        <f>IF(NOT(ISNUMBER($S556)),"",COUNTIFS($G$7:$G$850,$G556,$S$7:$S$850,"&lt;"&amp;$S556)+COUNTIFS($G$7:$G556,$G556,$S$7:$S556,$S556))</f>
        <v/>
      </c>
      <c r="X556" s="17">
        <f>IF($V556="","",$G556&amp;"|"&amp;$V556)</f>
        <v/>
      </c>
      <c r="Y556" s="17">
        <f>IF($W556="","",$G556&amp;"|"&amp;$W556)</f>
        <v/>
      </c>
    </row>
    <row r="557">
      <c r="A557" s="7" t="inlineStr">
        <is>
          <t>XS2823302026</t>
        </is>
      </c>
      <c r="B557" s="8">
        <f>IF($A557="","",PROPER(_xll.BDP($A557&amp;" Corp","NAME")))</f>
        <v/>
      </c>
      <c r="C557" s="8">
        <f>IF($A557="","",IFERROR(INDEX(Company_desc!$B$2:$B$1144,MATCH($A557,Company_desc!$A$2:$A$1144,0)),IFERROR(INDEX(SYZ_static!$Q$2:$Q$806,MATCH($A557,SYZ_static!$A$2:$A$806,0)),"")))</f>
        <v/>
      </c>
      <c r="D557" s="8">
        <f>IF($A557="","",IFERROR(INDEX(SYZ_static!$B$2:$B$806,MATCH($A557,SYZ_static!$A$2:$A$806,0)),""))</f>
        <v/>
      </c>
      <c r="E557" s="8">
        <f>IF($A557="","",_xll.BDP($A557&amp;" Corp","INDUSTRY_SECTOR"))</f>
        <v/>
      </c>
      <c r="F557" s="8">
        <f>IF($A557="","",PROPER(_xll.BDP($A557&amp;" Corp","COUNTRY_FULL_NAME")))</f>
        <v/>
      </c>
      <c r="G557" s="8">
        <f>IF($A557="","",_xll.BDP($A557&amp;" Corp","CRNCY"))</f>
        <v/>
      </c>
      <c r="H557" s="8">
        <f>IF($A557="","",IFERROR(INDEX(SYZ_static!$T$2:$T$806,MATCH($A557,SYZ_static!$A$2:$A$806,0)),_xll.BDP($A557&amp;" Corp","RTG_SP")))</f>
        <v/>
      </c>
      <c r="I557" s="8">
        <f>IF($A557="","",IFERROR(INDEX(SYZ_static!$S$2:$S$806,MATCH($A557,SYZ_static!$A$2:$A$806,0)),""))</f>
        <v/>
      </c>
      <c r="J557" s="8">
        <f>IF($A557="","",_xll.BDP($A557&amp;" Corp","PAYMENT_RANK"))</f>
        <v/>
      </c>
      <c r="K557" s="9">
        <f>IF($A557="","",_xll.BDP($A557&amp;" Corp","CPN"))</f>
        <v/>
      </c>
      <c r="L557" s="10">
        <f>IF($A557="","",_xll.BDP($A557&amp;" Corp","MATURITY"))</f>
        <v/>
      </c>
      <c r="M557" s="11">
        <f>IF($A557="","",IFERROR(_xll.BDP($A557&amp;" Corp","MIN_PIECE")/1000,""))</f>
        <v/>
      </c>
      <c r="N557" s="12">
        <f>IF($A557="","",_xll.BDP($A557&amp;" Corp","PX_LAST"))</f>
        <v/>
      </c>
      <c r="O557" s="12">
        <f>IF($A557="","",_xll.BDP($A557&amp;" Corp","YAS_BOND_YLD","YAS_YLD_FLAG=15"))</f>
        <v/>
      </c>
      <c r="P557" s="12">
        <f>IF($A557="","",_xll.BDP($A557&amp;" Corp","YAS_MOD_DUR"))</f>
        <v/>
      </c>
      <c r="Q557" s="13">
        <f>IF($A557="","",_xll.BDP($A557&amp;" Corp","YAS_OAS_SPRD"))</f>
        <v/>
      </c>
      <c r="R557" s="13">
        <f>IF($A557="","",_xll.BDP($A557&amp;" Corp","YAS_OAS_SPRD","SETTLE_DT",$B$2))</f>
        <v/>
      </c>
      <c r="S557" s="14">
        <f>IF($A557="","",IF(OR(NOT(ISNUMBER($Q557)),NOT(ISNUMBER($R557))),"",$Q557-$R557))</f>
        <v/>
      </c>
      <c r="T557" s="12">
        <f>IF($A557="","",_xll.BDP($A557&amp;" Corp","YAS_BOND_YLD","YAS_YLD_FLAG=15","SETTLE_DT",$B$2))</f>
        <v/>
      </c>
      <c r="U557" s="15">
        <f>IF($A557="","",IF(OR(NOT(ISNUMBER($O557)),NOT(ISNUMBER($T557))),"",$O557-$T557))</f>
        <v/>
      </c>
      <c r="V557" s="13">
        <f>IF(NOT(ISNUMBER($S557)),"",COUNTIFS($G$7:$G$850,$G557,$S$7:$S$850,"&gt;"&amp;$S557)+COUNTIFS($G$7:$G557,$G557,$S$7:$S557,$S557))</f>
        <v/>
      </c>
      <c r="W557" s="13">
        <f>IF(NOT(ISNUMBER($S557)),"",COUNTIFS($G$7:$G$850,$G557,$S$7:$S$850,"&lt;"&amp;$S557)+COUNTIFS($G$7:$G557,$G557,$S$7:$S557,$S557))</f>
        <v/>
      </c>
      <c r="X557" s="8">
        <f>IF($V557="","",$G557&amp;"|"&amp;$V557)</f>
        <v/>
      </c>
      <c r="Y557" s="8">
        <f>IF($W557="","",$G557&amp;"|"&amp;$W557)</f>
        <v/>
      </c>
    </row>
    <row r="558">
      <c r="A558" s="16" t="inlineStr">
        <is>
          <t>USG91139AD00</t>
        </is>
      </c>
      <c r="B558" s="17">
        <f>IF($A558="","",PROPER(_xll.BDP($A558&amp;" Corp","NAME")))</f>
        <v/>
      </c>
      <c r="C558" s="17">
        <f>IF($A558="","",IFERROR(INDEX(Company_desc!$B$2:$B$1144,MATCH($A558,Company_desc!$A$2:$A$1144,0)),IFERROR(INDEX(SYZ_static!$Q$2:$Q$806,MATCH($A558,SYZ_static!$A$2:$A$806,0)),"")))</f>
        <v/>
      </c>
      <c r="D558" s="17">
        <f>IF($A558="","",IFERROR(INDEX(SYZ_static!$B$2:$B$806,MATCH($A558,SYZ_static!$A$2:$A$806,0)),""))</f>
        <v/>
      </c>
      <c r="E558" s="17">
        <f>IF($A558="","",_xll.BDP($A558&amp;" Corp","INDUSTRY_SECTOR"))</f>
        <v/>
      </c>
      <c r="F558" s="17">
        <f>IF($A558="","",PROPER(_xll.BDP($A558&amp;" Corp","COUNTRY_FULL_NAME")))</f>
        <v/>
      </c>
      <c r="G558" s="17">
        <f>IF($A558="","",_xll.BDP($A558&amp;" Corp","CRNCY"))</f>
        <v/>
      </c>
      <c r="H558" s="17">
        <f>IF($A558="","",IFERROR(INDEX(SYZ_static!$T$2:$T$806,MATCH($A558,SYZ_static!$A$2:$A$806,0)),_xll.BDP($A558&amp;" Corp","RTG_SP")))</f>
        <v/>
      </c>
      <c r="I558" s="17">
        <f>IF($A558="","",IFERROR(INDEX(SYZ_static!$S$2:$S$806,MATCH($A558,SYZ_static!$A$2:$A$806,0)),""))</f>
        <v/>
      </c>
      <c r="J558" s="17">
        <f>IF($A558="","",_xll.BDP($A558&amp;" Corp","PAYMENT_RANK"))</f>
        <v/>
      </c>
      <c r="K558" s="18">
        <f>IF($A558="","",_xll.BDP($A558&amp;" Corp","CPN"))</f>
        <v/>
      </c>
      <c r="L558" s="19">
        <f>IF($A558="","",_xll.BDP($A558&amp;" Corp","MATURITY"))</f>
        <v/>
      </c>
      <c r="M558" s="20">
        <f>IF($A558="","",IFERROR(_xll.BDP($A558&amp;" Corp","MIN_PIECE")/1000,""))</f>
        <v/>
      </c>
      <c r="N558" s="21">
        <f>IF($A558="","",_xll.BDP($A558&amp;" Corp","PX_LAST"))</f>
        <v/>
      </c>
      <c r="O558" s="21">
        <f>IF($A558="","",_xll.BDP($A558&amp;" Corp","YAS_BOND_YLD","YAS_YLD_FLAG=15"))</f>
        <v/>
      </c>
      <c r="P558" s="21">
        <f>IF($A558="","",_xll.BDP($A558&amp;" Corp","YAS_MOD_DUR"))</f>
        <v/>
      </c>
      <c r="Q558" s="22">
        <f>IF($A558="","",_xll.BDP($A558&amp;" Corp","YAS_OAS_SPRD"))</f>
        <v/>
      </c>
      <c r="R558" s="22">
        <f>IF($A558="","",_xll.BDP($A558&amp;" Corp","YAS_OAS_SPRD","SETTLE_DT",$B$2))</f>
        <v/>
      </c>
      <c r="S558" s="23">
        <f>IF($A558="","",IF(OR(NOT(ISNUMBER($Q558)),NOT(ISNUMBER($R558))),"",$Q558-$R558))</f>
        <v/>
      </c>
      <c r="T558" s="21">
        <f>IF($A558="","",_xll.BDP($A558&amp;" Corp","YAS_BOND_YLD","YAS_YLD_FLAG=15","SETTLE_DT",$B$2))</f>
        <v/>
      </c>
      <c r="U558" s="24">
        <f>IF($A558="","",IF(OR(NOT(ISNUMBER($O558)),NOT(ISNUMBER($T558))),"",$O558-$T558))</f>
        <v/>
      </c>
      <c r="V558" s="22">
        <f>IF(NOT(ISNUMBER($S558)),"",COUNTIFS($G$7:$G$850,$G558,$S$7:$S$850,"&gt;"&amp;$S558)+COUNTIFS($G$7:$G558,$G558,$S$7:$S558,$S558))</f>
        <v/>
      </c>
      <c r="W558" s="22">
        <f>IF(NOT(ISNUMBER($S558)),"",COUNTIFS($G$7:$G$850,$G558,$S$7:$S$850,"&lt;"&amp;$S558)+COUNTIFS($G$7:$G558,$G558,$S$7:$S558,$S558))</f>
        <v/>
      </c>
      <c r="X558" s="17">
        <f>IF($V558="","",$G558&amp;"|"&amp;$V558)</f>
        <v/>
      </c>
      <c r="Y558" s="17">
        <f>IF($W558="","",$G558&amp;"|"&amp;$W558)</f>
        <v/>
      </c>
    </row>
    <row r="559">
      <c r="A559" s="7" t="inlineStr">
        <is>
          <t>XS2862984510</t>
        </is>
      </c>
      <c r="B559" s="8">
        <f>IF($A559="","",PROPER(_xll.BDP($A559&amp;" Corp","NAME")))</f>
        <v/>
      </c>
      <c r="C559" s="8">
        <f>IF($A559="","",IFERROR(INDEX(Company_desc!$B$2:$B$1144,MATCH($A559,Company_desc!$A$2:$A$1144,0)),IFERROR(INDEX(SYZ_static!$Q$2:$Q$806,MATCH($A559,SYZ_static!$A$2:$A$806,0)),"")))</f>
        <v/>
      </c>
      <c r="D559" s="8">
        <f>IF($A559="","",IFERROR(INDEX(SYZ_static!$B$2:$B$806,MATCH($A559,SYZ_static!$A$2:$A$806,0)),""))</f>
        <v/>
      </c>
      <c r="E559" s="8">
        <f>IF($A559="","",_xll.BDP($A559&amp;" Corp","INDUSTRY_SECTOR"))</f>
        <v/>
      </c>
      <c r="F559" s="8">
        <f>IF($A559="","",PROPER(_xll.BDP($A559&amp;" Corp","COUNTRY_FULL_NAME")))</f>
        <v/>
      </c>
      <c r="G559" s="8">
        <f>IF($A559="","",_xll.BDP($A559&amp;" Corp","CRNCY"))</f>
        <v/>
      </c>
      <c r="H559" s="8">
        <f>IF($A559="","",IFERROR(INDEX(SYZ_static!$T$2:$T$806,MATCH($A559,SYZ_static!$A$2:$A$806,0)),_xll.BDP($A559&amp;" Corp","RTG_SP")))</f>
        <v/>
      </c>
      <c r="I559" s="8">
        <f>IF($A559="","",IFERROR(INDEX(SYZ_static!$S$2:$S$806,MATCH($A559,SYZ_static!$A$2:$A$806,0)),""))</f>
        <v/>
      </c>
      <c r="J559" s="8">
        <f>IF($A559="","",_xll.BDP($A559&amp;" Corp","PAYMENT_RANK"))</f>
        <v/>
      </c>
      <c r="K559" s="9">
        <f>IF($A559="","",_xll.BDP($A559&amp;" Corp","CPN"))</f>
        <v/>
      </c>
      <c r="L559" s="10">
        <f>IF($A559="","",_xll.BDP($A559&amp;" Corp","MATURITY"))</f>
        <v/>
      </c>
      <c r="M559" s="11">
        <f>IF($A559="","",IFERROR(_xll.BDP($A559&amp;" Corp","MIN_PIECE")/1000,""))</f>
        <v/>
      </c>
      <c r="N559" s="12">
        <f>IF($A559="","",_xll.BDP($A559&amp;" Corp","PX_LAST"))</f>
        <v/>
      </c>
      <c r="O559" s="12">
        <f>IF($A559="","",_xll.BDP($A559&amp;" Corp","YAS_BOND_YLD","YAS_YLD_FLAG=15"))</f>
        <v/>
      </c>
      <c r="P559" s="12">
        <f>IF($A559="","",_xll.BDP($A559&amp;" Corp","YAS_MOD_DUR"))</f>
        <v/>
      </c>
      <c r="Q559" s="13">
        <f>IF($A559="","",_xll.BDP($A559&amp;" Corp","YAS_OAS_SPRD"))</f>
        <v/>
      </c>
      <c r="R559" s="13">
        <f>IF($A559="","",_xll.BDP($A559&amp;" Corp","YAS_OAS_SPRD","SETTLE_DT",$B$2))</f>
        <v/>
      </c>
      <c r="S559" s="14">
        <f>IF($A559="","",IF(OR(NOT(ISNUMBER($Q559)),NOT(ISNUMBER($R559))),"",$Q559-$R559))</f>
        <v/>
      </c>
      <c r="T559" s="12">
        <f>IF($A559="","",_xll.BDP($A559&amp;" Corp","YAS_BOND_YLD","YAS_YLD_FLAG=15","SETTLE_DT",$B$2))</f>
        <v/>
      </c>
      <c r="U559" s="15">
        <f>IF($A559="","",IF(OR(NOT(ISNUMBER($O559)),NOT(ISNUMBER($T559))),"",$O559-$T559))</f>
        <v/>
      </c>
      <c r="V559" s="13">
        <f>IF(NOT(ISNUMBER($S559)),"",COUNTIFS($G$7:$G$850,$G559,$S$7:$S$850,"&gt;"&amp;$S559)+COUNTIFS($G$7:$G559,$G559,$S$7:$S559,$S559))</f>
        <v/>
      </c>
      <c r="W559" s="13">
        <f>IF(NOT(ISNUMBER($S559)),"",COUNTIFS($G$7:$G$850,$G559,$S$7:$S$850,"&lt;"&amp;$S559)+COUNTIFS($G$7:$G559,$G559,$S$7:$S559,$S559))</f>
        <v/>
      </c>
      <c r="X559" s="8">
        <f>IF($V559="","",$G559&amp;"|"&amp;$V559)</f>
        <v/>
      </c>
      <c r="Y559" s="8">
        <f>IF($W559="","",$G559&amp;"|"&amp;$W559)</f>
        <v/>
      </c>
    </row>
    <row r="560">
      <c r="A560" s="16" t="inlineStr">
        <is>
          <t>US105756BX78</t>
        </is>
      </c>
      <c r="B560" s="17">
        <f>IF($A560="","",PROPER(_xll.BDP($A560&amp;" Corp","NAME")))</f>
        <v/>
      </c>
      <c r="C560" s="17">
        <f>IF($A560="","",IFERROR(INDEX(Company_desc!$B$2:$B$1144,MATCH($A560,Company_desc!$A$2:$A$1144,0)),IFERROR(INDEX(SYZ_static!$Q$2:$Q$806,MATCH($A560,SYZ_static!$A$2:$A$806,0)),"")))</f>
        <v/>
      </c>
      <c r="D560" s="17">
        <f>IF($A560="","",IFERROR(INDEX(SYZ_static!$B$2:$B$806,MATCH($A560,SYZ_static!$A$2:$A$806,0)),""))</f>
        <v/>
      </c>
      <c r="E560" s="17">
        <f>IF($A560="","",_xll.BDP($A560&amp;" Corp","INDUSTRY_SECTOR"))</f>
        <v/>
      </c>
      <c r="F560" s="17">
        <f>IF($A560="","",PROPER(_xll.BDP($A560&amp;" Corp","COUNTRY_FULL_NAME")))</f>
        <v/>
      </c>
      <c r="G560" s="17">
        <f>IF($A560="","",_xll.BDP($A560&amp;" Corp","CRNCY"))</f>
        <v/>
      </c>
      <c r="H560" s="17">
        <f>IF($A560="","",IFERROR(INDEX(SYZ_static!$T$2:$T$806,MATCH($A560,SYZ_static!$A$2:$A$806,0)),_xll.BDP($A560&amp;" Corp","RTG_SP")))</f>
        <v/>
      </c>
      <c r="I560" s="17">
        <f>IF($A560="","",IFERROR(INDEX(SYZ_static!$S$2:$S$806,MATCH($A560,SYZ_static!$A$2:$A$806,0)),""))</f>
        <v/>
      </c>
      <c r="J560" s="17">
        <f>IF($A560="","",_xll.BDP($A560&amp;" Corp","PAYMENT_RANK"))</f>
        <v/>
      </c>
      <c r="K560" s="18">
        <f>IF($A560="","",_xll.BDP($A560&amp;" Corp","CPN"))</f>
        <v/>
      </c>
      <c r="L560" s="19">
        <f>IF($A560="","",_xll.BDP($A560&amp;" Corp","MATURITY"))</f>
        <v/>
      </c>
      <c r="M560" s="20">
        <f>IF($A560="","",IFERROR(_xll.BDP($A560&amp;" Corp","MIN_PIECE")/1000,""))</f>
        <v/>
      </c>
      <c r="N560" s="21">
        <f>IF($A560="","",_xll.BDP($A560&amp;" Corp","PX_LAST"))</f>
        <v/>
      </c>
      <c r="O560" s="21">
        <f>IF($A560="","",_xll.BDP($A560&amp;" Corp","YAS_BOND_YLD","YAS_YLD_FLAG=15"))</f>
        <v/>
      </c>
      <c r="P560" s="21">
        <f>IF($A560="","",_xll.BDP($A560&amp;" Corp","YAS_MOD_DUR"))</f>
        <v/>
      </c>
      <c r="Q560" s="22">
        <f>IF($A560="","",_xll.BDP($A560&amp;" Corp","YAS_OAS_SPRD"))</f>
        <v/>
      </c>
      <c r="R560" s="22">
        <f>IF($A560="","",_xll.BDP($A560&amp;" Corp","YAS_OAS_SPRD","SETTLE_DT",$B$2))</f>
        <v/>
      </c>
      <c r="S560" s="23">
        <f>IF($A560="","",IF(OR(NOT(ISNUMBER($Q560)),NOT(ISNUMBER($R560))),"",$Q560-$R560))</f>
        <v/>
      </c>
      <c r="T560" s="21">
        <f>IF($A560="","",_xll.BDP($A560&amp;" Corp","YAS_BOND_YLD","YAS_YLD_FLAG=15","SETTLE_DT",$B$2))</f>
        <v/>
      </c>
      <c r="U560" s="24">
        <f>IF($A560="","",IF(OR(NOT(ISNUMBER($O560)),NOT(ISNUMBER($T560))),"",$O560-$T560))</f>
        <v/>
      </c>
      <c r="V560" s="22">
        <f>IF(NOT(ISNUMBER($S560)),"",COUNTIFS($G$7:$G$850,$G560,$S$7:$S$850,"&gt;"&amp;$S560)+COUNTIFS($G$7:$G560,$G560,$S$7:$S560,$S560))</f>
        <v/>
      </c>
      <c r="W560" s="22">
        <f>IF(NOT(ISNUMBER($S560)),"",COUNTIFS($G$7:$G$850,$G560,$S$7:$S$850,"&lt;"&amp;$S560)+COUNTIFS($G$7:$G560,$G560,$S$7:$S560,$S560))</f>
        <v/>
      </c>
      <c r="X560" s="17">
        <f>IF($V560="","",$G560&amp;"|"&amp;$V560)</f>
        <v/>
      </c>
      <c r="Y560" s="17">
        <f>IF($W560="","",$G560&amp;"|"&amp;$W560)</f>
        <v/>
      </c>
    </row>
    <row r="561">
      <c r="A561" s="7" t="inlineStr">
        <is>
          <t>CH1242301278</t>
        </is>
      </c>
      <c r="B561" s="8">
        <f>IF($A561="","",PROPER(_xll.BDP($A561&amp;" Corp","NAME")))</f>
        <v/>
      </c>
      <c r="C561" s="8">
        <f>IF($A561="","",IFERROR(INDEX(Company_desc!$B$2:$B$1144,MATCH($A561,Company_desc!$A$2:$A$1144,0)),IFERROR(INDEX(SYZ_static!$Q$2:$Q$806,MATCH($A561,SYZ_static!$A$2:$A$806,0)),"")))</f>
        <v/>
      </c>
      <c r="D561" s="8">
        <f>IF($A561="","",IFERROR(INDEX(SYZ_static!$B$2:$B$806,MATCH($A561,SYZ_static!$A$2:$A$806,0)),""))</f>
        <v/>
      </c>
      <c r="E561" s="8">
        <f>IF($A561="","",_xll.BDP($A561&amp;" Corp","INDUSTRY_SECTOR"))</f>
        <v/>
      </c>
      <c r="F561" s="8">
        <f>IF($A561="","",PROPER(_xll.BDP($A561&amp;" Corp","COUNTRY_FULL_NAME")))</f>
        <v/>
      </c>
      <c r="G561" s="8">
        <f>IF($A561="","",_xll.BDP($A561&amp;" Corp","CRNCY"))</f>
        <v/>
      </c>
      <c r="H561" s="8">
        <f>IF($A561="","",IFERROR(INDEX(SYZ_static!$T$2:$T$806,MATCH($A561,SYZ_static!$A$2:$A$806,0)),_xll.BDP($A561&amp;" Corp","RTG_SP")))</f>
        <v/>
      </c>
      <c r="I561" s="8">
        <f>IF($A561="","",IFERROR(INDEX(SYZ_static!$S$2:$S$806,MATCH($A561,SYZ_static!$A$2:$A$806,0)),""))</f>
        <v/>
      </c>
      <c r="J561" s="8">
        <f>IF($A561="","",_xll.BDP($A561&amp;" Corp","PAYMENT_RANK"))</f>
        <v/>
      </c>
      <c r="K561" s="9">
        <f>IF($A561="","",_xll.BDP($A561&amp;" Corp","CPN"))</f>
        <v/>
      </c>
      <c r="L561" s="10">
        <f>IF($A561="","",_xll.BDP($A561&amp;" Corp","MATURITY"))</f>
        <v/>
      </c>
      <c r="M561" s="11">
        <f>IF($A561="","",IFERROR(_xll.BDP($A561&amp;" Corp","MIN_PIECE")/1000,""))</f>
        <v/>
      </c>
      <c r="N561" s="12">
        <f>IF($A561="","",_xll.BDP($A561&amp;" Corp","PX_LAST"))</f>
        <v/>
      </c>
      <c r="O561" s="12">
        <f>IF($A561="","",_xll.BDP($A561&amp;" Corp","YAS_BOND_YLD","YAS_YLD_FLAG=15"))</f>
        <v/>
      </c>
      <c r="P561" s="12">
        <f>IF($A561="","",_xll.BDP($A561&amp;" Corp","YAS_MOD_DUR"))</f>
        <v/>
      </c>
      <c r="Q561" s="13">
        <f>IF($A561="","",_xll.BDP($A561&amp;" Corp","YAS_OAS_SPRD"))</f>
        <v/>
      </c>
      <c r="R561" s="13">
        <f>IF($A561="","",_xll.BDP($A561&amp;" Corp","YAS_OAS_SPRD","SETTLE_DT",$B$2))</f>
        <v/>
      </c>
      <c r="S561" s="14">
        <f>IF($A561="","",IF(OR(NOT(ISNUMBER($Q561)),NOT(ISNUMBER($R561))),"",$Q561-$R561))</f>
        <v/>
      </c>
      <c r="T561" s="12">
        <f>IF($A561="","",_xll.BDP($A561&amp;" Corp","YAS_BOND_YLD","YAS_YLD_FLAG=15","SETTLE_DT",$B$2))</f>
        <v/>
      </c>
      <c r="U561" s="15">
        <f>IF($A561="","",IF(OR(NOT(ISNUMBER($O561)),NOT(ISNUMBER($T561))),"",$O561-$T561))</f>
        <v/>
      </c>
      <c r="V561" s="13">
        <f>IF(NOT(ISNUMBER($S561)),"",COUNTIFS($G$7:$G$850,$G561,$S$7:$S$850,"&gt;"&amp;$S561)+COUNTIFS($G$7:$G561,$G561,$S$7:$S561,$S561))</f>
        <v/>
      </c>
      <c r="W561" s="13">
        <f>IF(NOT(ISNUMBER($S561)),"",COUNTIFS($G$7:$G$850,$G561,$S$7:$S$850,"&lt;"&amp;$S561)+COUNTIFS($G$7:$G561,$G561,$S$7:$S561,$S561))</f>
        <v/>
      </c>
      <c r="X561" s="8">
        <f>IF($V561="","",$G561&amp;"|"&amp;$V561)</f>
        <v/>
      </c>
      <c r="Y561" s="8">
        <f>IF($W561="","",$G561&amp;"|"&amp;$W561)</f>
        <v/>
      </c>
    </row>
    <row r="562">
      <c r="A562" s="16" t="inlineStr">
        <is>
          <t>XS2357494322</t>
        </is>
      </c>
      <c r="B562" s="17">
        <f>IF($A562="","",PROPER(_xll.BDP($A562&amp;" Corp","NAME")))</f>
        <v/>
      </c>
      <c r="C562" s="17">
        <f>IF($A562="","",IFERROR(INDEX(Company_desc!$B$2:$B$1144,MATCH($A562,Company_desc!$A$2:$A$1144,0)),IFERROR(INDEX(SYZ_static!$Q$2:$Q$806,MATCH($A562,SYZ_static!$A$2:$A$806,0)),"")))</f>
        <v/>
      </c>
      <c r="D562" s="17">
        <f>IF($A562="","",IFERROR(INDEX(SYZ_static!$B$2:$B$806,MATCH($A562,SYZ_static!$A$2:$A$806,0)),""))</f>
        <v/>
      </c>
      <c r="E562" s="17">
        <f>IF($A562="","",_xll.BDP($A562&amp;" Corp","INDUSTRY_SECTOR"))</f>
        <v/>
      </c>
      <c r="F562" s="17">
        <f>IF($A562="","",PROPER(_xll.BDP($A562&amp;" Corp","COUNTRY_FULL_NAME")))</f>
        <v/>
      </c>
      <c r="G562" s="17">
        <f>IF($A562="","",_xll.BDP($A562&amp;" Corp","CRNCY"))</f>
        <v/>
      </c>
      <c r="H562" s="17">
        <f>IF($A562="","",IFERROR(INDEX(SYZ_static!$T$2:$T$806,MATCH($A562,SYZ_static!$A$2:$A$806,0)),_xll.BDP($A562&amp;" Corp","RTG_SP")))</f>
        <v/>
      </c>
      <c r="I562" s="17">
        <f>IF($A562="","",IFERROR(INDEX(SYZ_static!$S$2:$S$806,MATCH($A562,SYZ_static!$A$2:$A$806,0)),""))</f>
        <v/>
      </c>
      <c r="J562" s="17">
        <f>IF($A562="","",_xll.BDP($A562&amp;" Corp","PAYMENT_RANK"))</f>
        <v/>
      </c>
      <c r="K562" s="18">
        <f>IF($A562="","",_xll.BDP($A562&amp;" Corp","CPN"))</f>
        <v/>
      </c>
      <c r="L562" s="19">
        <f>IF($A562="","",_xll.BDP($A562&amp;" Corp","MATURITY"))</f>
        <v/>
      </c>
      <c r="M562" s="20">
        <f>IF($A562="","",IFERROR(_xll.BDP($A562&amp;" Corp","MIN_PIECE")/1000,""))</f>
        <v/>
      </c>
      <c r="N562" s="21">
        <f>IF($A562="","",_xll.BDP($A562&amp;" Corp","PX_LAST"))</f>
        <v/>
      </c>
      <c r="O562" s="21">
        <f>IF($A562="","",_xll.BDP($A562&amp;" Corp","YAS_BOND_YLD","YAS_YLD_FLAG=15"))</f>
        <v/>
      </c>
      <c r="P562" s="21">
        <f>IF($A562="","",_xll.BDP($A562&amp;" Corp","YAS_MOD_DUR"))</f>
        <v/>
      </c>
      <c r="Q562" s="22">
        <f>IF($A562="","",_xll.BDP($A562&amp;" Corp","YAS_OAS_SPRD"))</f>
        <v/>
      </c>
      <c r="R562" s="22">
        <f>IF($A562="","",_xll.BDP($A562&amp;" Corp","YAS_OAS_SPRD","SETTLE_DT",$B$2))</f>
        <v/>
      </c>
      <c r="S562" s="23">
        <f>IF($A562="","",IF(OR(NOT(ISNUMBER($Q562)),NOT(ISNUMBER($R562))),"",$Q562-$R562))</f>
        <v/>
      </c>
      <c r="T562" s="21">
        <f>IF($A562="","",_xll.BDP($A562&amp;" Corp","YAS_BOND_YLD","YAS_YLD_FLAG=15","SETTLE_DT",$B$2))</f>
        <v/>
      </c>
      <c r="U562" s="24">
        <f>IF($A562="","",IF(OR(NOT(ISNUMBER($O562)),NOT(ISNUMBER($T562))),"",$O562-$T562))</f>
        <v/>
      </c>
      <c r="V562" s="22">
        <f>IF(NOT(ISNUMBER($S562)),"",COUNTIFS($G$7:$G$850,$G562,$S$7:$S$850,"&gt;"&amp;$S562)+COUNTIFS($G$7:$G562,$G562,$S$7:$S562,$S562))</f>
        <v/>
      </c>
      <c r="W562" s="22">
        <f>IF(NOT(ISNUMBER($S562)),"",COUNTIFS($G$7:$G$850,$G562,$S$7:$S$850,"&lt;"&amp;$S562)+COUNTIFS($G$7:$G562,$G562,$S$7:$S562,$S562))</f>
        <v/>
      </c>
      <c r="X562" s="17">
        <f>IF($V562="","",$G562&amp;"|"&amp;$V562)</f>
        <v/>
      </c>
      <c r="Y562" s="17">
        <f>IF($W562="","",$G562&amp;"|"&amp;$W562)</f>
        <v/>
      </c>
    </row>
    <row r="563">
      <c r="A563" s="7" t="inlineStr">
        <is>
          <t>US718172DN66</t>
        </is>
      </c>
      <c r="B563" s="8">
        <f>IF($A563="","",PROPER(_xll.BDP($A563&amp;" Corp","NAME")))</f>
        <v/>
      </c>
      <c r="C563" s="8">
        <f>IF($A563="","",IFERROR(INDEX(Company_desc!$B$2:$B$1144,MATCH($A563,Company_desc!$A$2:$A$1144,0)),IFERROR(INDEX(SYZ_static!$Q$2:$Q$806,MATCH($A563,SYZ_static!$A$2:$A$806,0)),"")))</f>
        <v/>
      </c>
      <c r="D563" s="8">
        <f>IF($A563="","",IFERROR(INDEX(SYZ_static!$B$2:$B$806,MATCH($A563,SYZ_static!$A$2:$A$806,0)),""))</f>
        <v/>
      </c>
      <c r="E563" s="8">
        <f>IF($A563="","",_xll.BDP($A563&amp;" Corp","INDUSTRY_SECTOR"))</f>
        <v/>
      </c>
      <c r="F563" s="8">
        <f>IF($A563="","",PROPER(_xll.BDP($A563&amp;" Corp","COUNTRY_FULL_NAME")))</f>
        <v/>
      </c>
      <c r="G563" s="8">
        <f>IF($A563="","",_xll.BDP($A563&amp;" Corp","CRNCY"))</f>
        <v/>
      </c>
      <c r="H563" s="8">
        <f>IF($A563="","",IFERROR(INDEX(SYZ_static!$T$2:$T$806,MATCH($A563,SYZ_static!$A$2:$A$806,0)),_xll.BDP($A563&amp;" Corp","RTG_SP")))</f>
        <v/>
      </c>
      <c r="I563" s="8">
        <f>IF($A563="","",IFERROR(INDEX(SYZ_static!$S$2:$S$806,MATCH($A563,SYZ_static!$A$2:$A$806,0)),""))</f>
        <v/>
      </c>
      <c r="J563" s="8">
        <f>IF($A563="","",_xll.BDP($A563&amp;" Corp","PAYMENT_RANK"))</f>
        <v/>
      </c>
      <c r="K563" s="9">
        <f>IF($A563="","",_xll.BDP($A563&amp;" Corp","CPN"))</f>
        <v/>
      </c>
      <c r="L563" s="10">
        <f>IF($A563="","",_xll.BDP($A563&amp;" Corp","MATURITY"))</f>
        <v/>
      </c>
      <c r="M563" s="11">
        <f>IF($A563="","",IFERROR(_xll.BDP($A563&amp;" Corp","MIN_PIECE")/1000,""))</f>
        <v/>
      </c>
      <c r="N563" s="12">
        <f>IF($A563="","",_xll.BDP($A563&amp;" Corp","PX_LAST"))</f>
        <v/>
      </c>
      <c r="O563" s="12">
        <f>IF($A563="","",_xll.BDP($A563&amp;" Corp","YAS_BOND_YLD","YAS_YLD_FLAG=15"))</f>
        <v/>
      </c>
      <c r="P563" s="12">
        <f>IF($A563="","",_xll.BDP($A563&amp;" Corp","YAS_MOD_DUR"))</f>
        <v/>
      </c>
      <c r="Q563" s="13">
        <f>IF($A563="","",_xll.BDP($A563&amp;" Corp","YAS_OAS_SPRD"))</f>
        <v/>
      </c>
      <c r="R563" s="13">
        <f>IF($A563="","",_xll.BDP($A563&amp;" Corp","YAS_OAS_SPRD","SETTLE_DT",$B$2))</f>
        <v/>
      </c>
      <c r="S563" s="14">
        <f>IF($A563="","",IF(OR(NOT(ISNUMBER($Q563)),NOT(ISNUMBER($R563))),"",$Q563-$R563))</f>
        <v/>
      </c>
      <c r="T563" s="12">
        <f>IF($A563="","",_xll.BDP($A563&amp;" Corp","YAS_BOND_YLD","YAS_YLD_FLAG=15","SETTLE_DT",$B$2))</f>
        <v/>
      </c>
      <c r="U563" s="15">
        <f>IF($A563="","",IF(OR(NOT(ISNUMBER($O563)),NOT(ISNUMBER($T563))),"",$O563-$T563))</f>
        <v/>
      </c>
      <c r="V563" s="13">
        <f>IF(NOT(ISNUMBER($S563)),"",COUNTIFS($G$7:$G$850,$G563,$S$7:$S$850,"&gt;"&amp;$S563)+COUNTIFS($G$7:$G563,$G563,$S$7:$S563,$S563))</f>
        <v/>
      </c>
      <c r="W563" s="13">
        <f>IF(NOT(ISNUMBER($S563)),"",COUNTIFS($G$7:$G$850,$G563,$S$7:$S$850,"&lt;"&amp;$S563)+COUNTIFS($G$7:$G563,$G563,$S$7:$S563,$S563))</f>
        <v/>
      </c>
      <c r="X563" s="8">
        <f>IF($V563="","",$G563&amp;"|"&amp;$V563)</f>
        <v/>
      </c>
      <c r="Y563" s="8">
        <f>IF($W563="","",$G563&amp;"|"&amp;$W563)</f>
        <v/>
      </c>
    </row>
    <row r="564">
      <c r="A564" s="16" t="inlineStr">
        <is>
          <t>XS2154419118</t>
        </is>
      </c>
      <c r="B564" s="17">
        <f>IF($A564="","",PROPER(_xll.BDP($A564&amp;" Corp","NAME")))</f>
        <v/>
      </c>
      <c r="C564" s="17">
        <f>IF($A564="","",IFERROR(INDEX(Company_desc!$B$2:$B$1144,MATCH($A564,Company_desc!$A$2:$A$1144,0)),IFERROR(INDEX(SYZ_static!$Q$2:$Q$806,MATCH($A564,SYZ_static!$A$2:$A$806,0)),"")))</f>
        <v/>
      </c>
      <c r="D564" s="17">
        <f>IF($A564="","",IFERROR(INDEX(SYZ_static!$B$2:$B$806,MATCH($A564,SYZ_static!$A$2:$A$806,0)),""))</f>
        <v/>
      </c>
      <c r="E564" s="17">
        <f>IF($A564="","",_xll.BDP($A564&amp;" Corp","INDUSTRY_SECTOR"))</f>
        <v/>
      </c>
      <c r="F564" s="17">
        <f>IF($A564="","",PROPER(_xll.BDP($A564&amp;" Corp","COUNTRY_FULL_NAME")))</f>
        <v/>
      </c>
      <c r="G564" s="17">
        <f>IF($A564="","",_xll.BDP($A564&amp;" Corp","CRNCY"))</f>
        <v/>
      </c>
      <c r="H564" s="17">
        <f>IF($A564="","",IFERROR(INDEX(SYZ_static!$T$2:$T$806,MATCH($A564,SYZ_static!$A$2:$A$806,0)),_xll.BDP($A564&amp;" Corp","RTG_SP")))</f>
        <v/>
      </c>
      <c r="I564" s="17">
        <f>IF($A564="","",IFERROR(INDEX(SYZ_static!$S$2:$S$806,MATCH($A564,SYZ_static!$A$2:$A$806,0)),""))</f>
        <v/>
      </c>
      <c r="J564" s="17">
        <f>IF($A564="","",_xll.BDP($A564&amp;" Corp","PAYMENT_RANK"))</f>
        <v/>
      </c>
      <c r="K564" s="18">
        <f>IF($A564="","",_xll.BDP($A564&amp;" Corp","CPN"))</f>
        <v/>
      </c>
      <c r="L564" s="19">
        <f>IF($A564="","",_xll.BDP($A564&amp;" Corp","MATURITY"))</f>
        <v/>
      </c>
      <c r="M564" s="20">
        <f>IF($A564="","",IFERROR(_xll.BDP($A564&amp;" Corp","MIN_PIECE")/1000,""))</f>
        <v/>
      </c>
      <c r="N564" s="21">
        <f>IF($A564="","",_xll.BDP($A564&amp;" Corp","PX_LAST"))</f>
        <v/>
      </c>
      <c r="O564" s="21">
        <f>IF($A564="","",_xll.BDP($A564&amp;" Corp","YAS_BOND_YLD","YAS_YLD_FLAG=15"))</f>
        <v/>
      </c>
      <c r="P564" s="21">
        <f>IF($A564="","",_xll.BDP($A564&amp;" Corp","YAS_MOD_DUR"))</f>
        <v/>
      </c>
      <c r="Q564" s="22">
        <f>IF($A564="","",_xll.BDP($A564&amp;" Corp","YAS_OAS_SPRD"))</f>
        <v/>
      </c>
      <c r="R564" s="22">
        <f>IF($A564="","",_xll.BDP($A564&amp;" Corp","YAS_OAS_SPRD","SETTLE_DT",$B$2))</f>
        <v/>
      </c>
      <c r="S564" s="23">
        <f>IF($A564="","",IF(OR(NOT(ISNUMBER($Q564)),NOT(ISNUMBER($R564))),"",$Q564-$R564))</f>
        <v/>
      </c>
      <c r="T564" s="21">
        <f>IF($A564="","",_xll.BDP($A564&amp;" Corp","YAS_BOND_YLD","YAS_YLD_FLAG=15","SETTLE_DT",$B$2))</f>
        <v/>
      </c>
      <c r="U564" s="24">
        <f>IF($A564="","",IF(OR(NOT(ISNUMBER($O564)),NOT(ISNUMBER($T564))),"",$O564-$T564))</f>
        <v/>
      </c>
      <c r="V564" s="22">
        <f>IF(NOT(ISNUMBER($S564)),"",COUNTIFS($G$7:$G$850,$G564,$S$7:$S$850,"&gt;"&amp;$S564)+COUNTIFS($G$7:$G564,$G564,$S$7:$S564,$S564))</f>
        <v/>
      </c>
      <c r="W564" s="22">
        <f>IF(NOT(ISNUMBER($S564)),"",COUNTIFS($G$7:$G$850,$G564,$S$7:$S$850,"&lt;"&amp;$S564)+COUNTIFS($G$7:$G564,$G564,$S$7:$S564,$S564))</f>
        <v/>
      </c>
      <c r="X564" s="17">
        <f>IF($V564="","",$G564&amp;"|"&amp;$V564)</f>
        <v/>
      </c>
      <c r="Y564" s="17">
        <f>IF($W564="","",$G564&amp;"|"&amp;$W564)</f>
        <v/>
      </c>
    </row>
    <row r="565">
      <c r="A565" s="7" t="inlineStr">
        <is>
          <t>US87264ADL61</t>
        </is>
      </c>
      <c r="B565" s="8">
        <f>IF($A565="","",PROPER(_xll.BDP($A565&amp;" Corp","NAME")))</f>
        <v/>
      </c>
      <c r="C565" s="8">
        <f>IF($A565="","",IFERROR(INDEX(Company_desc!$B$2:$B$1144,MATCH($A565,Company_desc!$A$2:$A$1144,0)),IFERROR(INDEX(SYZ_static!$Q$2:$Q$806,MATCH($A565,SYZ_static!$A$2:$A$806,0)),"")))</f>
        <v/>
      </c>
      <c r="D565" s="8">
        <f>IF($A565="","",IFERROR(INDEX(SYZ_static!$B$2:$B$806,MATCH($A565,SYZ_static!$A$2:$A$806,0)),""))</f>
        <v/>
      </c>
      <c r="E565" s="8">
        <f>IF($A565="","",_xll.BDP($A565&amp;" Corp","INDUSTRY_SECTOR"))</f>
        <v/>
      </c>
      <c r="F565" s="8">
        <f>IF($A565="","",PROPER(_xll.BDP($A565&amp;" Corp","COUNTRY_FULL_NAME")))</f>
        <v/>
      </c>
      <c r="G565" s="8">
        <f>IF($A565="","",_xll.BDP($A565&amp;" Corp","CRNCY"))</f>
        <v/>
      </c>
      <c r="H565" s="8">
        <f>IF($A565="","",IFERROR(INDEX(SYZ_static!$T$2:$T$806,MATCH($A565,SYZ_static!$A$2:$A$806,0)),_xll.BDP($A565&amp;" Corp","RTG_SP")))</f>
        <v/>
      </c>
      <c r="I565" s="8">
        <f>IF($A565="","",IFERROR(INDEX(SYZ_static!$S$2:$S$806,MATCH($A565,SYZ_static!$A$2:$A$806,0)),""))</f>
        <v/>
      </c>
      <c r="J565" s="8">
        <f>IF($A565="","",_xll.BDP($A565&amp;" Corp","PAYMENT_RANK"))</f>
        <v/>
      </c>
      <c r="K565" s="9">
        <f>IF($A565="","",_xll.BDP($A565&amp;" Corp","CPN"))</f>
        <v/>
      </c>
      <c r="L565" s="10">
        <f>IF($A565="","",_xll.BDP($A565&amp;" Corp","MATURITY"))</f>
        <v/>
      </c>
      <c r="M565" s="11">
        <f>IF($A565="","",IFERROR(_xll.BDP($A565&amp;" Corp","MIN_PIECE")/1000,""))</f>
        <v/>
      </c>
      <c r="N565" s="12">
        <f>IF($A565="","",_xll.BDP($A565&amp;" Corp","PX_LAST"))</f>
        <v/>
      </c>
      <c r="O565" s="12">
        <f>IF($A565="","",_xll.BDP($A565&amp;" Corp","YAS_BOND_YLD","YAS_YLD_FLAG=15"))</f>
        <v/>
      </c>
      <c r="P565" s="12">
        <f>IF($A565="","",_xll.BDP($A565&amp;" Corp","YAS_MOD_DUR"))</f>
        <v/>
      </c>
      <c r="Q565" s="13">
        <f>IF($A565="","",_xll.BDP($A565&amp;" Corp","YAS_OAS_SPRD"))</f>
        <v/>
      </c>
      <c r="R565" s="13">
        <f>IF($A565="","",_xll.BDP($A565&amp;" Corp","YAS_OAS_SPRD","SETTLE_DT",$B$2))</f>
        <v/>
      </c>
      <c r="S565" s="14">
        <f>IF($A565="","",IF(OR(NOT(ISNUMBER($Q565)),NOT(ISNUMBER($R565))),"",$Q565-$R565))</f>
        <v/>
      </c>
      <c r="T565" s="12">
        <f>IF($A565="","",_xll.BDP($A565&amp;" Corp","YAS_BOND_YLD","YAS_YLD_FLAG=15","SETTLE_DT",$B$2))</f>
        <v/>
      </c>
      <c r="U565" s="15">
        <f>IF($A565="","",IF(OR(NOT(ISNUMBER($O565)),NOT(ISNUMBER($T565))),"",$O565-$T565))</f>
        <v/>
      </c>
      <c r="V565" s="13">
        <f>IF(NOT(ISNUMBER($S565)),"",COUNTIFS($G$7:$G$850,$G565,$S$7:$S$850,"&gt;"&amp;$S565)+COUNTIFS($G$7:$G565,$G565,$S$7:$S565,$S565))</f>
        <v/>
      </c>
      <c r="W565" s="13">
        <f>IF(NOT(ISNUMBER($S565)),"",COUNTIFS($G$7:$G$850,$G565,$S$7:$S$850,"&lt;"&amp;$S565)+COUNTIFS($G$7:$G565,$G565,$S$7:$S565,$S565))</f>
        <v/>
      </c>
      <c r="X565" s="8">
        <f>IF($V565="","",$G565&amp;"|"&amp;$V565)</f>
        <v/>
      </c>
      <c r="Y565" s="8">
        <f>IF($W565="","",$G565&amp;"|"&amp;$W565)</f>
        <v/>
      </c>
    </row>
    <row r="566">
      <c r="A566" s="16" t="inlineStr">
        <is>
          <t>XS2942478822</t>
        </is>
      </c>
      <c r="B566" s="17">
        <f>IF($A566="","",PROPER(_xll.BDP($A566&amp;" Corp","NAME")))</f>
        <v/>
      </c>
      <c r="C566" s="17">
        <f>IF($A566="","",IFERROR(INDEX(Company_desc!$B$2:$B$1144,MATCH($A566,Company_desc!$A$2:$A$1144,0)),IFERROR(INDEX(SYZ_static!$Q$2:$Q$806,MATCH($A566,SYZ_static!$A$2:$A$806,0)),"")))</f>
        <v/>
      </c>
      <c r="D566" s="17">
        <f>IF($A566="","",IFERROR(INDEX(SYZ_static!$B$2:$B$806,MATCH($A566,SYZ_static!$A$2:$A$806,0)),""))</f>
        <v/>
      </c>
      <c r="E566" s="17">
        <f>IF($A566="","",_xll.BDP($A566&amp;" Corp","INDUSTRY_SECTOR"))</f>
        <v/>
      </c>
      <c r="F566" s="17">
        <f>IF($A566="","",PROPER(_xll.BDP($A566&amp;" Corp","COUNTRY_FULL_NAME")))</f>
        <v/>
      </c>
      <c r="G566" s="17">
        <f>IF($A566="","",_xll.BDP($A566&amp;" Corp","CRNCY"))</f>
        <v/>
      </c>
      <c r="H566" s="17">
        <f>IF($A566="","",IFERROR(INDEX(SYZ_static!$T$2:$T$806,MATCH($A566,SYZ_static!$A$2:$A$806,0)),_xll.BDP($A566&amp;" Corp","RTG_SP")))</f>
        <v/>
      </c>
      <c r="I566" s="17">
        <f>IF($A566="","",IFERROR(INDEX(SYZ_static!$S$2:$S$806,MATCH($A566,SYZ_static!$A$2:$A$806,0)),""))</f>
        <v/>
      </c>
      <c r="J566" s="17">
        <f>IF($A566="","",_xll.BDP($A566&amp;" Corp","PAYMENT_RANK"))</f>
        <v/>
      </c>
      <c r="K566" s="18">
        <f>IF($A566="","",_xll.BDP($A566&amp;" Corp","CPN"))</f>
        <v/>
      </c>
      <c r="L566" s="19">
        <f>IF($A566="","",_xll.BDP($A566&amp;" Corp","MATURITY"))</f>
        <v/>
      </c>
      <c r="M566" s="20">
        <f>IF($A566="","",IFERROR(_xll.BDP($A566&amp;" Corp","MIN_PIECE")/1000,""))</f>
        <v/>
      </c>
      <c r="N566" s="21">
        <f>IF($A566="","",_xll.BDP($A566&amp;" Corp","PX_LAST"))</f>
        <v/>
      </c>
      <c r="O566" s="21">
        <f>IF($A566="","",_xll.BDP($A566&amp;" Corp","YAS_BOND_YLD","YAS_YLD_FLAG=15"))</f>
        <v/>
      </c>
      <c r="P566" s="21">
        <f>IF($A566="","",_xll.BDP($A566&amp;" Corp","YAS_MOD_DUR"))</f>
        <v/>
      </c>
      <c r="Q566" s="22">
        <f>IF($A566="","",_xll.BDP($A566&amp;" Corp","YAS_OAS_SPRD"))</f>
        <v/>
      </c>
      <c r="R566" s="22">
        <f>IF($A566="","",_xll.BDP($A566&amp;" Corp","YAS_OAS_SPRD","SETTLE_DT",$B$2))</f>
        <v/>
      </c>
      <c r="S566" s="23">
        <f>IF($A566="","",IF(OR(NOT(ISNUMBER($Q566)),NOT(ISNUMBER($R566))),"",$Q566-$R566))</f>
        <v/>
      </c>
      <c r="T566" s="21">
        <f>IF($A566="","",_xll.BDP($A566&amp;" Corp","YAS_BOND_YLD","YAS_YLD_FLAG=15","SETTLE_DT",$B$2))</f>
        <v/>
      </c>
      <c r="U566" s="24">
        <f>IF($A566="","",IF(OR(NOT(ISNUMBER($O566)),NOT(ISNUMBER($T566))),"",$O566-$T566))</f>
        <v/>
      </c>
      <c r="V566" s="22">
        <f>IF(NOT(ISNUMBER($S566)),"",COUNTIFS($G$7:$G$850,$G566,$S$7:$S$850,"&gt;"&amp;$S566)+COUNTIFS($G$7:$G566,$G566,$S$7:$S566,$S566))</f>
        <v/>
      </c>
      <c r="W566" s="22">
        <f>IF(NOT(ISNUMBER($S566)),"",COUNTIFS($G$7:$G$850,$G566,$S$7:$S$850,"&lt;"&amp;$S566)+COUNTIFS($G$7:$G566,$G566,$S$7:$S566,$S566))</f>
        <v/>
      </c>
      <c r="X566" s="17">
        <f>IF($V566="","",$G566&amp;"|"&amp;$V566)</f>
        <v/>
      </c>
      <c r="Y566" s="17">
        <f>IF($W566="","",$G566&amp;"|"&amp;$W566)</f>
        <v/>
      </c>
    </row>
    <row r="567">
      <c r="A567" s="7" t="inlineStr">
        <is>
          <t>FR0013417128</t>
        </is>
      </c>
      <c r="B567" s="8">
        <f>IF($A567="","",PROPER(_xll.BDP($A567&amp;" Corp","NAME")))</f>
        <v/>
      </c>
      <c r="C567" s="8">
        <f>IF($A567="","",IFERROR(INDEX(Company_desc!$B$2:$B$1144,MATCH($A567,Company_desc!$A$2:$A$1144,0)),IFERROR(INDEX(SYZ_static!$Q$2:$Q$806,MATCH($A567,SYZ_static!$A$2:$A$806,0)),"")))</f>
        <v/>
      </c>
      <c r="D567" s="8">
        <f>IF($A567="","",IFERROR(INDEX(SYZ_static!$B$2:$B$806,MATCH($A567,SYZ_static!$A$2:$A$806,0)),""))</f>
        <v/>
      </c>
      <c r="E567" s="8">
        <f>IF($A567="","",_xll.BDP($A567&amp;" Corp","INDUSTRY_SECTOR"))</f>
        <v/>
      </c>
      <c r="F567" s="8">
        <f>IF($A567="","",PROPER(_xll.BDP($A567&amp;" Corp","COUNTRY_FULL_NAME")))</f>
        <v/>
      </c>
      <c r="G567" s="8">
        <f>IF($A567="","",_xll.BDP($A567&amp;" Corp","CRNCY"))</f>
        <v/>
      </c>
      <c r="H567" s="8">
        <f>IF($A567="","",IFERROR(INDEX(SYZ_static!$T$2:$T$806,MATCH($A567,SYZ_static!$A$2:$A$806,0)),_xll.BDP($A567&amp;" Corp","RTG_SP")))</f>
        <v/>
      </c>
      <c r="I567" s="8">
        <f>IF($A567="","",IFERROR(INDEX(SYZ_static!$S$2:$S$806,MATCH($A567,SYZ_static!$A$2:$A$806,0)),""))</f>
        <v/>
      </c>
      <c r="J567" s="8">
        <f>IF($A567="","",_xll.BDP($A567&amp;" Corp","PAYMENT_RANK"))</f>
        <v/>
      </c>
      <c r="K567" s="9">
        <f>IF($A567="","",_xll.BDP($A567&amp;" Corp","CPN"))</f>
        <v/>
      </c>
      <c r="L567" s="10">
        <f>IF($A567="","",_xll.BDP($A567&amp;" Corp","MATURITY"))</f>
        <v/>
      </c>
      <c r="M567" s="11">
        <f>IF($A567="","",IFERROR(_xll.BDP($A567&amp;" Corp","MIN_PIECE")/1000,""))</f>
        <v/>
      </c>
      <c r="N567" s="12">
        <f>IF($A567="","",_xll.BDP($A567&amp;" Corp","PX_LAST"))</f>
        <v/>
      </c>
      <c r="O567" s="12">
        <f>IF($A567="","",_xll.BDP($A567&amp;" Corp","YAS_BOND_YLD","YAS_YLD_FLAG=15"))</f>
        <v/>
      </c>
      <c r="P567" s="12">
        <f>IF($A567="","",_xll.BDP($A567&amp;" Corp","YAS_MOD_DUR"))</f>
        <v/>
      </c>
      <c r="Q567" s="13">
        <f>IF($A567="","",_xll.BDP($A567&amp;" Corp","YAS_OAS_SPRD"))</f>
        <v/>
      </c>
      <c r="R567" s="13">
        <f>IF($A567="","",_xll.BDP($A567&amp;" Corp","YAS_OAS_SPRD","SETTLE_DT",$B$2))</f>
        <v/>
      </c>
      <c r="S567" s="14">
        <f>IF($A567="","",IF(OR(NOT(ISNUMBER($Q567)),NOT(ISNUMBER($R567))),"",$Q567-$R567))</f>
        <v/>
      </c>
      <c r="T567" s="12">
        <f>IF($A567="","",_xll.BDP($A567&amp;" Corp","YAS_BOND_YLD","YAS_YLD_FLAG=15","SETTLE_DT",$B$2))</f>
        <v/>
      </c>
      <c r="U567" s="15">
        <f>IF($A567="","",IF(OR(NOT(ISNUMBER($O567)),NOT(ISNUMBER($T567))),"",$O567-$T567))</f>
        <v/>
      </c>
      <c r="V567" s="13">
        <f>IF(NOT(ISNUMBER($S567)),"",COUNTIFS($G$7:$G$850,$G567,$S$7:$S$850,"&gt;"&amp;$S567)+COUNTIFS($G$7:$G567,$G567,$S$7:$S567,$S567))</f>
        <v/>
      </c>
      <c r="W567" s="13">
        <f>IF(NOT(ISNUMBER($S567)),"",COUNTIFS($G$7:$G$850,$G567,$S$7:$S$850,"&lt;"&amp;$S567)+COUNTIFS($G$7:$G567,$G567,$S$7:$S567,$S567))</f>
        <v/>
      </c>
      <c r="X567" s="8">
        <f>IF($V567="","",$G567&amp;"|"&amp;$V567)</f>
        <v/>
      </c>
      <c r="Y567" s="8">
        <f>IF($W567="","",$G567&amp;"|"&amp;$W567)</f>
        <v/>
      </c>
    </row>
    <row r="568">
      <c r="A568" s="16" t="inlineStr">
        <is>
          <t>XS1567174286</t>
        </is>
      </c>
      <c r="B568" s="17">
        <f>IF($A568="","",PROPER(_xll.BDP($A568&amp;" Corp","NAME")))</f>
        <v/>
      </c>
      <c r="C568" s="17">
        <f>IF($A568="","",IFERROR(INDEX(Company_desc!$B$2:$B$1144,MATCH($A568,Company_desc!$A$2:$A$1144,0)),IFERROR(INDEX(SYZ_static!$Q$2:$Q$806,MATCH($A568,SYZ_static!$A$2:$A$806,0)),"")))</f>
        <v/>
      </c>
      <c r="D568" s="17">
        <f>IF($A568="","",IFERROR(INDEX(SYZ_static!$B$2:$B$806,MATCH($A568,SYZ_static!$A$2:$A$806,0)),""))</f>
        <v/>
      </c>
      <c r="E568" s="17">
        <f>IF($A568="","",_xll.BDP($A568&amp;" Corp","INDUSTRY_SECTOR"))</f>
        <v/>
      </c>
      <c r="F568" s="17">
        <f>IF($A568="","",PROPER(_xll.BDP($A568&amp;" Corp","COUNTRY_FULL_NAME")))</f>
        <v/>
      </c>
      <c r="G568" s="17">
        <f>IF($A568="","",_xll.BDP($A568&amp;" Corp","CRNCY"))</f>
        <v/>
      </c>
      <c r="H568" s="17">
        <f>IF($A568="","",IFERROR(INDEX(SYZ_static!$T$2:$T$806,MATCH($A568,SYZ_static!$A$2:$A$806,0)),_xll.BDP($A568&amp;" Corp","RTG_SP")))</f>
        <v/>
      </c>
      <c r="I568" s="17">
        <f>IF($A568="","",IFERROR(INDEX(SYZ_static!$S$2:$S$806,MATCH($A568,SYZ_static!$A$2:$A$806,0)),""))</f>
        <v/>
      </c>
      <c r="J568" s="17">
        <f>IF($A568="","",_xll.BDP($A568&amp;" Corp","PAYMENT_RANK"))</f>
        <v/>
      </c>
      <c r="K568" s="18">
        <f>IF($A568="","",_xll.BDP($A568&amp;" Corp","CPN"))</f>
        <v/>
      </c>
      <c r="L568" s="19">
        <f>IF($A568="","",_xll.BDP($A568&amp;" Corp","MATURITY"))</f>
        <v/>
      </c>
      <c r="M568" s="20">
        <f>IF($A568="","",IFERROR(_xll.BDP($A568&amp;" Corp","MIN_PIECE")/1000,""))</f>
        <v/>
      </c>
      <c r="N568" s="21">
        <f>IF($A568="","",_xll.BDP($A568&amp;" Corp","PX_LAST"))</f>
        <v/>
      </c>
      <c r="O568" s="21">
        <f>IF($A568="","",_xll.BDP($A568&amp;" Corp","YAS_BOND_YLD","YAS_YLD_FLAG=15"))</f>
        <v/>
      </c>
      <c r="P568" s="21">
        <f>IF($A568="","",_xll.BDP($A568&amp;" Corp","YAS_MOD_DUR"))</f>
        <v/>
      </c>
      <c r="Q568" s="22">
        <f>IF($A568="","",_xll.BDP($A568&amp;" Corp","YAS_OAS_SPRD"))</f>
        <v/>
      </c>
      <c r="R568" s="22">
        <f>IF($A568="","",_xll.BDP($A568&amp;" Corp","YAS_OAS_SPRD","SETTLE_DT",$B$2))</f>
        <v/>
      </c>
      <c r="S568" s="23">
        <f>IF($A568="","",IF(OR(NOT(ISNUMBER($Q568)),NOT(ISNUMBER($R568))),"",$Q568-$R568))</f>
        <v/>
      </c>
      <c r="T568" s="21">
        <f>IF($A568="","",_xll.BDP($A568&amp;" Corp","YAS_BOND_YLD","YAS_YLD_FLAG=15","SETTLE_DT",$B$2))</f>
        <v/>
      </c>
      <c r="U568" s="24">
        <f>IF($A568="","",IF(OR(NOT(ISNUMBER($O568)),NOT(ISNUMBER($T568))),"",$O568-$T568))</f>
        <v/>
      </c>
      <c r="V568" s="22">
        <f>IF(NOT(ISNUMBER($S568)),"",COUNTIFS($G$7:$G$850,$G568,$S$7:$S$850,"&gt;"&amp;$S568)+COUNTIFS($G$7:$G568,$G568,$S$7:$S568,$S568))</f>
        <v/>
      </c>
      <c r="W568" s="22">
        <f>IF(NOT(ISNUMBER($S568)),"",COUNTIFS($G$7:$G$850,$G568,$S$7:$S$850,"&lt;"&amp;$S568)+COUNTIFS($G$7:$G568,$G568,$S$7:$S568,$S568))</f>
        <v/>
      </c>
      <c r="X568" s="17">
        <f>IF($V568="","",$G568&amp;"|"&amp;$V568)</f>
        <v/>
      </c>
      <c r="Y568" s="17">
        <f>IF($W568="","",$G568&amp;"|"&amp;$W568)</f>
        <v/>
      </c>
    </row>
    <row r="569">
      <c r="A569" s="7" t="inlineStr">
        <is>
          <t>USU1300RAL60</t>
        </is>
      </c>
      <c r="B569" s="8">
        <f>IF($A569="","",PROPER(_xll.BDP($A569&amp;" Corp","NAME")))</f>
        <v/>
      </c>
      <c r="C569" s="8">
        <f>IF($A569="","",IFERROR(INDEX(Company_desc!$B$2:$B$1144,MATCH($A569,Company_desc!$A$2:$A$1144,0)),IFERROR(INDEX(SYZ_static!$Q$2:$Q$806,MATCH($A569,SYZ_static!$A$2:$A$806,0)),"")))</f>
        <v/>
      </c>
      <c r="D569" s="8">
        <f>IF($A569="","",IFERROR(INDEX(SYZ_static!$B$2:$B$806,MATCH($A569,SYZ_static!$A$2:$A$806,0)),""))</f>
        <v/>
      </c>
      <c r="E569" s="8">
        <f>IF($A569="","",_xll.BDP($A569&amp;" Corp","INDUSTRY_SECTOR"))</f>
        <v/>
      </c>
      <c r="F569" s="8">
        <f>IF($A569="","",PROPER(_xll.BDP($A569&amp;" Corp","COUNTRY_FULL_NAME")))</f>
        <v/>
      </c>
      <c r="G569" s="8">
        <f>IF($A569="","",_xll.BDP($A569&amp;" Corp","CRNCY"))</f>
        <v/>
      </c>
      <c r="H569" s="8">
        <f>IF($A569="","",IFERROR(INDEX(SYZ_static!$T$2:$T$806,MATCH($A569,SYZ_static!$A$2:$A$806,0)),_xll.BDP($A569&amp;" Corp","RTG_SP")))</f>
        <v/>
      </c>
      <c r="I569" s="8">
        <f>IF($A569="","",IFERROR(INDEX(SYZ_static!$S$2:$S$806,MATCH($A569,SYZ_static!$A$2:$A$806,0)),""))</f>
        <v/>
      </c>
      <c r="J569" s="8">
        <f>IF($A569="","",_xll.BDP($A569&amp;" Corp","PAYMENT_RANK"))</f>
        <v/>
      </c>
      <c r="K569" s="9">
        <f>IF($A569="","",_xll.BDP($A569&amp;" Corp","CPN"))</f>
        <v/>
      </c>
      <c r="L569" s="10">
        <f>IF($A569="","",_xll.BDP($A569&amp;" Corp","MATURITY"))</f>
        <v/>
      </c>
      <c r="M569" s="11">
        <f>IF($A569="","",IFERROR(_xll.BDP($A569&amp;" Corp","MIN_PIECE")/1000,""))</f>
        <v/>
      </c>
      <c r="N569" s="12">
        <f>IF($A569="","",_xll.BDP($A569&amp;" Corp","PX_LAST"))</f>
        <v/>
      </c>
      <c r="O569" s="12">
        <f>IF($A569="","",_xll.BDP($A569&amp;" Corp","YAS_BOND_YLD","YAS_YLD_FLAG=15"))</f>
        <v/>
      </c>
      <c r="P569" s="12">
        <f>IF($A569="","",_xll.BDP($A569&amp;" Corp","YAS_MOD_DUR"))</f>
        <v/>
      </c>
      <c r="Q569" s="13">
        <f>IF($A569="","",_xll.BDP($A569&amp;" Corp","YAS_OAS_SPRD"))</f>
        <v/>
      </c>
      <c r="R569" s="13">
        <f>IF($A569="","",_xll.BDP($A569&amp;" Corp","YAS_OAS_SPRD","SETTLE_DT",$B$2))</f>
        <v/>
      </c>
      <c r="S569" s="14">
        <f>IF($A569="","",IF(OR(NOT(ISNUMBER($Q569)),NOT(ISNUMBER($R569))),"",$Q569-$R569))</f>
        <v/>
      </c>
      <c r="T569" s="12">
        <f>IF($A569="","",_xll.BDP($A569&amp;" Corp","YAS_BOND_YLD","YAS_YLD_FLAG=15","SETTLE_DT",$B$2))</f>
        <v/>
      </c>
      <c r="U569" s="15">
        <f>IF($A569="","",IF(OR(NOT(ISNUMBER($O569)),NOT(ISNUMBER($T569))),"",$O569-$T569))</f>
        <v/>
      </c>
      <c r="V569" s="13">
        <f>IF(NOT(ISNUMBER($S569)),"",COUNTIFS($G$7:$G$850,$G569,$S$7:$S$850,"&gt;"&amp;$S569)+COUNTIFS($G$7:$G569,$G569,$S$7:$S569,$S569))</f>
        <v/>
      </c>
      <c r="W569" s="13">
        <f>IF(NOT(ISNUMBER($S569)),"",COUNTIFS($G$7:$G$850,$G569,$S$7:$S$850,"&lt;"&amp;$S569)+COUNTIFS($G$7:$G569,$G569,$S$7:$S569,$S569))</f>
        <v/>
      </c>
      <c r="X569" s="8">
        <f>IF($V569="","",$G569&amp;"|"&amp;$V569)</f>
        <v/>
      </c>
      <c r="Y569" s="8">
        <f>IF($W569="","",$G569&amp;"|"&amp;$W569)</f>
        <v/>
      </c>
    </row>
    <row r="570">
      <c r="A570" s="16" t="inlineStr">
        <is>
          <t>US05584KAN81</t>
        </is>
      </c>
      <c r="B570" s="17">
        <f>IF($A570="","",PROPER(_xll.BDP($A570&amp;" Corp","NAME")))</f>
        <v/>
      </c>
      <c r="C570" s="17">
        <f>IF($A570="","",IFERROR(INDEX(Company_desc!$B$2:$B$1144,MATCH($A570,Company_desc!$A$2:$A$1144,0)),IFERROR(INDEX(SYZ_static!$Q$2:$Q$806,MATCH($A570,SYZ_static!$A$2:$A$806,0)),"")))</f>
        <v/>
      </c>
      <c r="D570" s="17">
        <f>IF($A570="","",IFERROR(INDEX(SYZ_static!$B$2:$B$806,MATCH($A570,SYZ_static!$A$2:$A$806,0)),""))</f>
        <v/>
      </c>
      <c r="E570" s="17">
        <f>IF($A570="","",_xll.BDP($A570&amp;" Corp","INDUSTRY_SECTOR"))</f>
        <v/>
      </c>
      <c r="F570" s="17">
        <f>IF($A570="","",PROPER(_xll.BDP($A570&amp;" Corp","COUNTRY_FULL_NAME")))</f>
        <v/>
      </c>
      <c r="G570" s="17">
        <f>IF($A570="","",_xll.BDP($A570&amp;" Corp","CRNCY"))</f>
        <v/>
      </c>
      <c r="H570" s="17">
        <f>IF($A570="","",IFERROR(INDEX(SYZ_static!$T$2:$T$806,MATCH($A570,SYZ_static!$A$2:$A$806,0)),_xll.BDP($A570&amp;" Corp","RTG_SP")))</f>
        <v/>
      </c>
      <c r="I570" s="17">
        <f>IF($A570="","",IFERROR(INDEX(SYZ_static!$S$2:$S$806,MATCH($A570,SYZ_static!$A$2:$A$806,0)),""))</f>
        <v/>
      </c>
      <c r="J570" s="17">
        <f>IF($A570="","",_xll.BDP($A570&amp;" Corp","PAYMENT_RANK"))</f>
        <v/>
      </c>
      <c r="K570" s="18">
        <f>IF($A570="","",_xll.BDP($A570&amp;" Corp","CPN"))</f>
        <v/>
      </c>
      <c r="L570" s="19">
        <f>IF($A570="","",_xll.BDP($A570&amp;" Corp","MATURITY"))</f>
        <v/>
      </c>
      <c r="M570" s="20">
        <f>IF($A570="","",IFERROR(_xll.BDP($A570&amp;" Corp","MIN_PIECE")/1000,""))</f>
        <v/>
      </c>
      <c r="N570" s="21">
        <f>IF($A570="","",_xll.BDP($A570&amp;" Corp","PX_LAST"))</f>
        <v/>
      </c>
      <c r="O570" s="21">
        <f>IF($A570="","",_xll.BDP($A570&amp;" Corp","YAS_BOND_YLD","YAS_YLD_FLAG=15"))</f>
        <v/>
      </c>
      <c r="P570" s="21">
        <f>IF($A570="","",_xll.BDP($A570&amp;" Corp","YAS_MOD_DUR"))</f>
        <v/>
      </c>
      <c r="Q570" s="22">
        <f>IF($A570="","",_xll.BDP($A570&amp;" Corp","YAS_OAS_SPRD"))</f>
        <v/>
      </c>
      <c r="R570" s="22">
        <f>IF($A570="","",_xll.BDP($A570&amp;" Corp","YAS_OAS_SPRD","SETTLE_DT",$B$2))</f>
        <v/>
      </c>
      <c r="S570" s="23">
        <f>IF($A570="","",IF(OR(NOT(ISNUMBER($Q570)),NOT(ISNUMBER($R570))),"",$Q570-$R570))</f>
        <v/>
      </c>
      <c r="T570" s="21">
        <f>IF($A570="","",_xll.BDP($A570&amp;" Corp","YAS_BOND_YLD","YAS_YLD_FLAG=15","SETTLE_DT",$B$2))</f>
        <v/>
      </c>
      <c r="U570" s="24">
        <f>IF($A570="","",IF(OR(NOT(ISNUMBER($O570)),NOT(ISNUMBER($T570))),"",$O570-$T570))</f>
        <v/>
      </c>
      <c r="V570" s="22">
        <f>IF(NOT(ISNUMBER($S570)),"",COUNTIFS($G$7:$G$850,$G570,$S$7:$S$850,"&gt;"&amp;$S570)+COUNTIFS($G$7:$G570,$G570,$S$7:$S570,$S570))</f>
        <v/>
      </c>
      <c r="W570" s="22">
        <f>IF(NOT(ISNUMBER($S570)),"",COUNTIFS($G$7:$G$850,$G570,$S$7:$S$850,"&lt;"&amp;$S570)+COUNTIFS($G$7:$G570,$G570,$S$7:$S570,$S570))</f>
        <v/>
      </c>
      <c r="X570" s="17">
        <f>IF($V570="","",$G570&amp;"|"&amp;$V570)</f>
        <v/>
      </c>
      <c r="Y570" s="17">
        <f>IF($W570="","",$G570&amp;"|"&amp;$W570)</f>
        <v/>
      </c>
    </row>
    <row r="571">
      <c r="A571" s="7" t="inlineStr">
        <is>
          <t>XS2482887879</t>
        </is>
      </c>
      <c r="B571" s="8">
        <f>IF($A571="","",PROPER(_xll.BDP($A571&amp;" Corp","NAME")))</f>
        <v/>
      </c>
      <c r="C571" s="8">
        <f>IF($A571="","",IFERROR(INDEX(Company_desc!$B$2:$B$1144,MATCH($A571,Company_desc!$A$2:$A$1144,0)),IFERROR(INDEX(SYZ_static!$Q$2:$Q$806,MATCH($A571,SYZ_static!$A$2:$A$806,0)),"")))</f>
        <v/>
      </c>
      <c r="D571" s="8">
        <f>IF($A571="","",IFERROR(INDEX(SYZ_static!$B$2:$B$806,MATCH($A571,SYZ_static!$A$2:$A$806,0)),""))</f>
        <v/>
      </c>
      <c r="E571" s="8">
        <f>IF($A571="","",_xll.BDP($A571&amp;" Corp","INDUSTRY_SECTOR"))</f>
        <v/>
      </c>
      <c r="F571" s="8">
        <f>IF($A571="","",PROPER(_xll.BDP($A571&amp;" Corp","COUNTRY_FULL_NAME")))</f>
        <v/>
      </c>
      <c r="G571" s="8">
        <f>IF($A571="","",_xll.BDP($A571&amp;" Corp","CRNCY"))</f>
        <v/>
      </c>
      <c r="H571" s="8">
        <f>IF($A571="","",IFERROR(INDEX(SYZ_static!$T$2:$T$806,MATCH($A571,SYZ_static!$A$2:$A$806,0)),_xll.BDP($A571&amp;" Corp","RTG_SP")))</f>
        <v/>
      </c>
      <c r="I571" s="8">
        <f>IF($A571="","",IFERROR(INDEX(SYZ_static!$S$2:$S$806,MATCH($A571,SYZ_static!$A$2:$A$806,0)),""))</f>
        <v/>
      </c>
      <c r="J571" s="8">
        <f>IF($A571="","",_xll.BDP($A571&amp;" Corp","PAYMENT_RANK"))</f>
        <v/>
      </c>
      <c r="K571" s="9">
        <f>IF($A571="","",_xll.BDP($A571&amp;" Corp","CPN"))</f>
        <v/>
      </c>
      <c r="L571" s="10">
        <f>IF($A571="","",_xll.BDP($A571&amp;" Corp","MATURITY"))</f>
        <v/>
      </c>
      <c r="M571" s="11">
        <f>IF($A571="","",IFERROR(_xll.BDP($A571&amp;" Corp","MIN_PIECE")/1000,""))</f>
        <v/>
      </c>
      <c r="N571" s="12">
        <f>IF($A571="","",_xll.BDP($A571&amp;" Corp","PX_LAST"))</f>
        <v/>
      </c>
      <c r="O571" s="12">
        <f>IF($A571="","",_xll.BDP($A571&amp;" Corp","YAS_BOND_YLD","YAS_YLD_FLAG=15"))</f>
        <v/>
      </c>
      <c r="P571" s="12">
        <f>IF($A571="","",_xll.BDP($A571&amp;" Corp","YAS_MOD_DUR"))</f>
        <v/>
      </c>
      <c r="Q571" s="13">
        <f>IF($A571="","",_xll.BDP($A571&amp;" Corp","YAS_OAS_SPRD"))</f>
        <v/>
      </c>
      <c r="R571" s="13">
        <f>IF($A571="","",_xll.BDP($A571&amp;" Corp","YAS_OAS_SPRD","SETTLE_DT",$B$2))</f>
        <v/>
      </c>
      <c r="S571" s="14">
        <f>IF($A571="","",IF(OR(NOT(ISNUMBER($Q571)),NOT(ISNUMBER($R571))),"",$Q571-$R571))</f>
        <v/>
      </c>
      <c r="T571" s="12">
        <f>IF($A571="","",_xll.BDP($A571&amp;" Corp","YAS_BOND_YLD","YAS_YLD_FLAG=15","SETTLE_DT",$B$2))</f>
        <v/>
      </c>
      <c r="U571" s="15">
        <f>IF($A571="","",IF(OR(NOT(ISNUMBER($O571)),NOT(ISNUMBER($T571))),"",$O571-$T571))</f>
        <v/>
      </c>
      <c r="V571" s="13">
        <f>IF(NOT(ISNUMBER($S571)),"",COUNTIFS($G$7:$G$850,$G571,$S$7:$S$850,"&gt;"&amp;$S571)+COUNTIFS($G$7:$G571,$G571,$S$7:$S571,$S571))</f>
        <v/>
      </c>
      <c r="W571" s="13">
        <f>IF(NOT(ISNUMBER($S571)),"",COUNTIFS($G$7:$G$850,$G571,$S$7:$S$850,"&lt;"&amp;$S571)+COUNTIFS($G$7:$G571,$G571,$S$7:$S571,$S571))</f>
        <v/>
      </c>
      <c r="X571" s="8">
        <f>IF($V571="","",$G571&amp;"|"&amp;$V571)</f>
        <v/>
      </c>
      <c r="Y571" s="8">
        <f>IF($W571="","",$G571&amp;"|"&amp;$W571)</f>
        <v/>
      </c>
    </row>
    <row r="572">
      <c r="A572" s="16" t="inlineStr">
        <is>
          <t>USP2000TAA36</t>
        </is>
      </c>
      <c r="B572" s="17">
        <f>IF($A572="","",PROPER(_xll.BDP($A572&amp;" Corp","NAME")))</f>
        <v/>
      </c>
      <c r="C572" s="17">
        <f>IF($A572="","",IFERROR(INDEX(Company_desc!$B$2:$B$1144,MATCH($A572,Company_desc!$A$2:$A$1144,0)),IFERROR(INDEX(SYZ_static!$Q$2:$Q$806,MATCH($A572,SYZ_static!$A$2:$A$806,0)),"")))</f>
        <v/>
      </c>
      <c r="D572" s="17">
        <f>IF($A572="","",IFERROR(INDEX(SYZ_static!$B$2:$B$806,MATCH($A572,SYZ_static!$A$2:$A$806,0)),""))</f>
        <v/>
      </c>
      <c r="E572" s="17">
        <f>IF($A572="","",_xll.BDP($A572&amp;" Corp","INDUSTRY_SECTOR"))</f>
        <v/>
      </c>
      <c r="F572" s="17">
        <f>IF($A572="","",PROPER(_xll.BDP($A572&amp;" Corp","COUNTRY_FULL_NAME")))</f>
        <v/>
      </c>
      <c r="G572" s="17">
        <f>IF($A572="","",_xll.BDP($A572&amp;" Corp","CRNCY"))</f>
        <v/>
      </c>
      <c r="H572" s="17">
        <f>IF($A572="","",IFERROR(INDEX(SYZ_static!$T$2:$T$806,MATCH($A572,SYZ_static!$A$2:$A$806,0)),_xll.BDP($A572&amp;" Corp","RTG_SP")))</f>
        <v/>
      </c>
      <c r="I572" s="17">
        <f>IF($A572="","",IFERROR(INDEX(SYZ_static!$S$2:$S$806,MATCH($A572,SYZ_static!$A$2:$A$806,0)),""))</f>
        <v/>
      </c>
      <c r="J572" s="17">
        <f>IF($A572="","",_xll.BDP($A572&amp;" Corp","PAYMENT_RANK"))</f>
        <v/>
      </c>
      <c r="K572" s="18">
        <f>IF($A572="","",_xll.BDP($A572&amp;" Corp","CPN"))</f>
        <v/>
      </c>
      <c r="L572" s="19">
        <f>IF($A572="","",_xll.BDP($A572&amp;" Corp","MATURITY"))</f>
        <v/>
      </c>
      <c r="M572" s="20">
        <f>IF($A572="","",IFERROR(_xll.BDP($A572&amp;" Corp","MIN_PIECE")/1000,""))</f>
        <v/>
      </c>
      <c r="N572" s="21">
        <f>IF($A572="","",_xll.BDP($A572&amp;" Corp","PX_LAST"))</f>
        <v/>
      </c>
      <c r="O572" s="21">
        <f>IF($A572="","",_xll.BDP($A572&amp;" Corp","YAS_BOND_YLD","YAS_YLD_FLAG=15"))</f>
        <v/>
      </c>
      <c r="P572" s="21">
        <f>IF($A572="","",_xll.BDP($A572&amp;" Corp","YAS_MOD_DUR"))</f>
        <v/>
      </c>
      <c r="Q572" s="22">
        <f>IF($A572="","",_xll.BDP($A572&amp;" Corp","YAS_OAS_SPRD"))</f>
        <v/>
      </c>
      <c r="R572" s="22">
        <f>IF($A572="","",_xll.BDP($A572&amp;" Corp","YAS_OAS_SPRD","SETTLE_DT",$B$2))</f>
        <v/>
      </c>
      <c r="S572" s="23">
        <f>IF($A572="","",IF(OR(NOT(ISNUMBER($Q572)),NOT(ISNUMBER($R572))),"",$Q572-$R572))</f>
        <v/>
      </c>
      <c r="T572" s="21">
        <f>IF($A572="","",_xll.BDP($A572&amp;" Corp","YAS_BOND_YLD","YAS_YLD_FLAG=15","SETTLE_DT",$B$2))</f>
        <v/>
      </c>
      <c r="U572" s="24">
        <f>IF($A572="","",IF(OR(NOT(ISNUMBER($O572)),NOT(ISNUMBER($T572))),"",$O572-$T572))</f>
        <v/>
      </c>
      <c r="V572" s="22">
        <f>IF(NOT(ISNUMBER($S572)),"",COUNTIFS($G$7:$G$850,$G572,$S$7:$S$850,"&gt;"&amp;$S572)+COUNTIFS($G$7:$G572,$G572,$S$7:$S572,$S572))</f>
        <v/>
      </c>
      <c r="W572" s="22">
        <f>IF(NOT(ISNUMBER($S572)),"",COUNTIFS($G$7:$G$850,$G572,$S$7:$S$850,"&lt;"&amp;$S572)+COUNTIFS($G$7:$G572,$G572,$S$7:$S572,$S572))</f>
        <v/>
      </c>
      <c r="X572" s="17">
        <f>IF($V572="","",$G572&amp;"|"&amp;$V572)</f>
        <v/>
      </c>
      <c r="Y572" s="17">
        <f>IF($W572="","",$G572&amp;"|"&amp;$W572)</f>
        <v/>
      </c>
    </row>
    <row r="573">
      <c r="A573" s="7" t="inlineStr">
        <is>
          <t>US05526DBJ37</t>
        </is>
      </c>
      <c r="B573" s="8">
        <f>IF($A573="","",PROPER(_xll.BDP($A573&amp;" Corp","NAME")))</f>
        <v/>
      </c>
      <c r="C573" s="8">
        <f>IF($A573="","",IFERROR(INDEX(Company_desc!$B$2:$B$1144,MATCH($A573,Company_desc!$A$2:$A$1144,0)),IFERROR(INDEX(SYZ_static!$Q$2:$Q$806,MATCH($A573,SYZ_static!$A$2:$A$806,0)),"")))</f>
        <v/>
      </c>
      <c r="D573" s="8">
        <f>IF($A573="","",IFERROR(INDEX(SYZ_static!$B$2:$B$806,MATCH($A573,SYZ_static!$A$2:$A$806,0)),""))</f>
        <v/>
      </c>
      <c r="E573" s="8">
        <f>IF($A573="","",_xll.BDP($A573&amp;" Corp","INDUSTRY_SECTOR"))</f>
        <v/>
      </c>
      <c r="F573" s="8">
        <f>IF($A573="","",PROPER(_xll.BDP($A573&amp;" Corp","COUNTRY_FULL_NAME")))</f>
        <v/>
      </c>
      <c r="G573" s="8">
        <f>IF($A573="","",_xll.BDP($A573&amp;" Corp","CRNCY"))</f>
        <v/>
      </c>
      <c r="H573" s="8">
        <f>IF($A573="","",IFERROR(INDEX(SYZ_static!$T$2:$T$806,MATCH($A573,SYZ_static!$A$2:$A$806,0)),_xll.BDP($A573&amp;" Corp","RTG_SP")))</f>
        <v/>
      </c>
      <c r="I573" s="8">
        <f>IF($A573="","",IFERROR(INDEX(SYZ_static!$S$2:$S$806,MATCH($A573,SYZ_static!$A$2:$A$806,0)),""))</f>
        <v/>
      </c>
      <c r="J573" s="8">
        <f>IF($A573="","",_xll.BDP($A573&amp;" Corp","PAYMENT_RANK"))</f>
        <v/>
      </c>
      <c r="K573" s="9">
        <f>IF($A573="","",_xll.BDP($A573&amp;" Corp","CPN"))</f>
        <v/>
      </c>
      <c r="L573" s="10">
        <f>IF($A573="","",_xll.BDP($A573&amp;" Corp","MATURITY"))</f>
        <v/>
      </c>
      <c r="M573" s="11">
        <f>IF($A573="","",IFERROR(_xll.BDP($A573&amp;" Corp","MIN_PIECE")/1000,""))</f>
        <v/>
      </c>
      <c r="N573" s="12">
        <f>IF($A573="","",_xll.BDP($A573&amp;" Corp","PX_LAST"))</f>
        <v/>
      </c>
      <c r="O573" s="12">
        <f>IF($A573="","",_xll.BDP($A573&amp;" Corp","YAS_BOND_YLD","YAS_YLD_FLAG=15"))</f>
        <v/>
      </c>
      <c r="P573" s="12">
        <f>IF($A573="","",_xll.BDP($A573&amp;" Corp","YAS_MOD_DUR"))</f>
        <v/>
      </c>
      <c r="Q573" s="13">
        <f>IF($A573="","",_xll.BDP($A573&amp;" Corp","YAS_OAS_SPRD"))</f>
        <v/>
      </c>
      <c r="R573" s="13">
        <f>IF($A573="","",_xll.BDP($A573&amp;" Corp","YAS_OAS_SPRD","SETTLE_DT",$B$2))</f>
        <v/>
      </c>
      <c r="S573" s="14">
        <f>IF($A573="","",IF(OR(NOT(ISNUMBER($Q573)),NOT(ISNUMBER($R573))),"",$Q573-$R573))</f>
        <v/>
      </c>
      <c r="T573" s="12">
        <f>IF($A573="","",_xll.BDP($A573&amp;" Corp","YAS_BOND_YLD","YAS_YLD_FLAG=15","SETTLE_DT",$B$2))</f>
        <v/>
      </c>
      <c r="U573" s="15">
        <f>IF($A573="","",IF(OR(NOT(ISNUMBER($O573)),NOT(ISNUMBER($T573))),"",$O573-$T573))</f>
        <v/>
      </c>
      <c r="V573" s="13">
        <f>IF(NOT(ISNUMBER($S573)),"",COUNTIFS($G$7:$G$850,$G573,$S$7:$S$850,"&gt;"&amp;$S573)+COUNTIFS($G$7:$G573,$G573,$S$7:$S573,$S573))</f>
        <v/>
      </c>
      <c r="W573" s="13">
        <f>IF(NOT(ISNUMBER($S573)),"",COUNTIFS($G$7:$G$850,$G573,$S$7:$S$850,"&lt;"&amp;$S573)+COUNTIFS($G$7:$G573,$G573,$S$7:$S573,$S573))</f>
        <v/>
      </c>
      <c r="X573" s="8">
        <f>IF($V573="","",$G573&amp;"|"&amp;$V573)</f>
        <v/>
      </c>
      <c r="Y573" s="8">
        <f>IF($W573="","",$G573&amp;"|"&amp;$W573)</f>
        <v/>
      </c>
    </row>
    <row r="574">
      <c r="A574" s="16" t="inlineStr">
        <is>
          <t>XS2133071774</t>
        </is>
      </c>
      <c r="B574" s="17">
        <f>IF($A574="","",PROPER(_xll.BDP($A574&amp;" Corp","NAME")))</f>
        <v/>
      </c>
      <c r="C574" s="17">
        <f>IF($A574="","",IFERROR(INDEX(Company_desc!$B$2:$B$1144,MATCH($A574,Company_desc!$A$2:$A$1144,0)),IFERROR(INDEX(SYZ_static!$Q$2:$Q$806,MATCH($A574,SYZ_static!$A$2:$A$806,0)),"")))</f>
        <v/>
      </c>
      <c r="D574" s="17">
        <f>IF($A574="","",IFERROR(INDEX(SYZ_static!$B$2:$B$806,MATCH($A574,SYZ_static!$A$2:$A$806,0)),""))</f>
        <v/>
      </c>
      <c r="E574" s="17">
        <f>IF($A574="","",_xll.BDP($A574&amp;" Corp","INDUSTRY_SECTOR"))</f>
        <v/>
      </c>
      <c r="F574" s="17">
        <f>IF($A574="","",PROPER(_xll.BDP($A574&amp;" Corp","COUNTRY_FULL_NAME")))</f>
        <v/>
      </c>
      <c r="G574" s="17">
        <f>IF($A574="","",_xll.BDP($A574&amp;" Corp","CRNCY"))</f>
        <v/>
      </c>
      <c r="H574" s="17">
        <f>IF($A574="","",IFERROR(INDEX(SYZ_static!$T$2:$T$806,MATCH($A574,SYZ_static!$A$2:$A$806,0)),_xll.BDP($A574&amp;" Corp","RTG_SP")))</f>
        <v/>
      </c>
      <c r="I574" s="17">
        <f>IF($A574="","",IFERROR(INDEX(SYZ_static!$S$2:$S$806,MATCH($A574,SYZ_static!$A$2:$A$806,0)),""))</f>
        <v/>
      </c>
      <c r="J574" s="17">
        <f>IF($A574="","",_xll.BDP($A574&amp;" Corp","PAYMENT_RANK"))</f>
        <v/>
      </c>
      <c r="K574" s="18">
        <f>IF($A574="","",_xll.BDP($A574&amp;" Corp","CPN"))</f>
        <v/>
      </c>
      <c r="L574" s="19">
        <f>IF($A574="","",_xll.BDP($A574&amp;" Corp","MATURITY"))</f>
        <v/>
      </c>
      <c r="M574" s="20">
        <f>IF($A574="","",IFERROR(_xll.BDP($A574&amp;" Corp","MIN_PIECE")/1000,""))</f>
        <v/>
      </c>
      <c r="N574" s="21">
        <f>IF($A574="","",_xll.BDP($A574&amp;" Corp","PX_LAST"))</f>
        <v/>
      </c>
      <c r="O574" s="21">
        <f>IF($A574="","",_xll.BDP($A574&amp;" Corp","YAS_BOND_YLD","YAS_YLD_FLAG=15"))</f>
        <v/>
      </c>
      <c r="P574" s="21">
        <f>IF($A574="","",_xll.BDP($A574&amp;" Corp","YAS_MOD_DUR"))</f>
        <v/>
      </c>
      <c r="Q574" s="22">
        <f>IF($A574="","",_xll.BDP($A574&amp;" Corp","YAS_OAS_SPRD"))</f>
        <v/>
      </c>
      <c r="R574" s="22">
        <f>IF($A574="","",_xll.BDP($A574&amp;" Corp","YAS_OAS_SPRD","SETTLE_DT",$B$2))</f>
        <v/>
      </c>
      <c r="S574" s="23">
        <f>IF($A574="","",IF(OR(NOT(ISNUMBER($Q574)),NOT(ISNUMBER($R574))),"",$Q574-$R574))</f>
        <v/>
      </c>
      <c r="T574" s="21">
        <f>IF($A574="","",_xll.BDP($A574&amp;" Corp","YAS_BOND_YLD","YAS_YLD_FLAG=15","SETTLE_DT",$B$2))</f>
        <v/>
      </c>
      <c r="U574" s="24">
        <f>IF($A574="","",IF(OR(NOT(ISNUMBER($O574)),NOT(ISNUMBER($T574))),"",$O574-$T574))</f>
        <v/>
      </c>
      <c r="V574" s="22">
        <f>IF(NOT(ISNUMBER($S574)),"",COUNTIFS($G$7:$G$850,$G574,$S$7:$S$850,"&gt;"&amp;$S574)+COUNTIFS($G$7:$G574,$G574,$S$7:$S574,$S574))</f>
        <v/>
      </c>
      <c r="W574" s="22">
        <f>IF(NOT(ISNUMBER($S574)),"",COUNTIFS($G$7:$G$850,$G574,$S$7:$S$850,"&lt;"&amp;$S574)+COUNTIFS($G$7:$G574,$G574,$S$7:$S574,$S574))</f>
        <v/>
      </c>
      <c r="X574" s="17">
        <f>IF($V574="","",$G574&amp;"|"&amp;$V574)</f>
        <v/>
      </c>
      <c r="Y574" s="17">
        <f>IF($W574="","",$G574&amp;"|"&amp;$W574)</f>
        <v/>
      </c>
    </row>
    <row r="575">
      <c r="A575" s="7" t="inlineStr">
        <is>
          <t>XS2447602793</t>
        </is>
      </c>
      <c r="B575" s="8">
        <f>IF($A575="","",PROPER(_xll.BDP($A575&amp;" Corp","NAME")))</f>
        <v/>
      </c>
      <c r="C575" s="8">
        <f>IF($A575="","",IFERROR(INDEX(Company_desc!$B$2:$B$1144,MATCH($A575,Company_desc!$A$2:$A$1144,0)),IFERROR(INDEX(SYZ_static!$Q$2:$Q$806,MATCH($A575,SYZ_static!$A$2:$A$806,0)),"")))</f>
        <v/>
      </c>
      <c r="D575" s="8">
        <f>IF($A575="","",IFERROR(INDEX(SYZ_static!$B$2:$B$806,MATCH($A575,SYZ_static!$A$2:$A$806,0)),""))</f>
        <v/>
      </c>
      <c r="E575" s="8">
        <f>IF($A575="","",_xll.BDP($A575&amp;" Corp","INDUSTRY_SECTOR"))</f>
        <v/>
      </c>
      <c r="F575" s="8">
        <f>IF($A575="","",PROPER(_xll.BDP($A575&amp;" Corp","COUNTRY_FULL_NAME")))</f>
        <v/>
      </c>
      <c r="G575" s="8">
        <f>IF($A575="","",_xll.BDP($A575&amp;" Corp","CRNCY"))</f>
        <v/>
      </c>
      <c r="H575" s="8">
        <f>IF($A575="","",IFERROR(INDEX(SYZ_static!$T$2:$T$806,MATCH($A575,SYZ_static!$A$2:$A$806,0)),_xll.BDP($A575&amp;" Corp","RTG_SP")))</f>
        <v/>
      </c>
      <c r="I575" s="8">
        <f>IF($A575="","",IFERROR(INDEX(SYZ_static!$S$2:$S$806,MATCH($A575,SYZ_static!$A$2:$A$806,0)),""))</f>
        <v/>
      </c>
      <c r="J575" s="8">
        <f>IF($A575="","",_xll.BDP($A575&amp;" Corp","PAYMENT_RANK"))</f>
        <v/>
      </c>
      <c r="K575" s="9">
        <f>IF($A575="","",_xll.BDP($A575&amp;" Corp","CPN"))</f>
        <v/>
      </c>
      <c r="L575" s="10">
        <f>IF($A575="","",_xll.BDP($A575&amp;" Corp","MATURITY"))</f>
        <v/>
      </c>
      <c r="M575" s="11">
        <f>IF($A575="","",IFERROR(_xll.BDP($A575&amp;" Corp","MIN_PIECE")/1000,""))</f>
        <v/>
      </c>
      <c r="N575" s="12">
        <f>IF($A575="","",_xll.BDP($A575&amp;" Corp","PX_LAST"))</f>
        <v/>
      </c>
      <c r="O575" s="12">
        <f>IF($A575="","",_xll.BDP($A575&amp;" Corp","YAS_BOND_YLD","YAS_YLD_FLAG=15"))</f>
        <v/>
      </c>
      <c r="P575" s="12">
        <f>IF($A575="","",_xll.BDP($A575&amp;" Corp","YAS_MOD_DUR"))</f>
        <v/>
      </c>
      <c r="Q575" s="13">
        <f>IF($A575="","",_xll.BDP($A575&amp;" Corp","YAS_OAS_SPRD"))</f>
        <v/>
      </c>
      <c r="R575" s="13">
        <f>IF($A575="","",_xll.BDP($A575&amp;" Corp","YAS_OAS_SPRD","SETTLE_DT",$B$2))</f>
        <v/>
      </c>
      <c r="S575" s="14">
        <f>IF($A575="","",IF(OR(NOT(ISNUMBER($Q575)),NOT(ISNUMBER($R575))),"",$Q575-$R575))</f>
        <v/>
      </c>
      <c r="T575" s="12">
        <f>IF($A575="","",_xll.BDP($A575&amp;" Corp","YAS_BOND_YLD","YAS_YLD_FLAG=15","SETTLE_DT",$B$2))</f>
        <v/>
      </c>
      <c r="U575" s="15">
        <f>IF($A575="","",IF(OR(NOT(ISNUMBER($O575)),NOT(ISNUMBER($T575))),"",$O575-$T575))</f>
        <v/>
      </c>
      <c r="V575" s="13">
        <f>IF(NOT(ISNUMBER($S575)),"",COUNTIFS($G$7:$G$850,$G575,$S$7:$S$850,"&gt;"&amp;$S575)+COUNTIFS($G$7:$G575,$G575,$S$7:$S575,$S575))</f>
        <v/>
      </c>
      <c r="W575" s="13">
        <f>IF(NOT(ISNUMBER($S575)),"",COUNTIFS($G$7:$G$850,$G575,$S$7:$S$850,"&lt;"&amp;$S575)+COUNTIFS($G$7:$G575,$G575,$S$7:$S575,$S575))</f>
        <v/>
      </c>
      <c r="X575" s="8">
        <f>IF($V575="","",$G575&amp;"|"&amp;$V575)</f>
        <v/>
      </c>
      <c r="Y575" s="8">
        <f>IF($W575="","",$G575&amp;"|"&amp;$W575)</f>
        <v/>
      </c>
    </row>
    <row r="576">
      <c r="A576" s="16" t="inlineStr">
        <is>
          <t>US91159HJA95</t>
        </is>
      </c>
      <c r="B576" s="17">
        <f>IF($A576="","",PROPER(_xll.BDP($A576&amp;" Corp","NAME")))</f>
        <v/>
      </c>
      <c r="C576" s="17">
        <f>IF($A576="","",IFERROR(INDEX(Company_desc!$B$2:$B$1144,MATCH($A576,Company_desc!$A$2:$A$1144,0)),IFERROR(INDEX(SYZ_static!$Q$2:$Q$806,MATCH($A576,SYZ_static!$A$2:$A$806,0)),"")))</f>
        <v/>
      </c>
      <c r="D576" s="17">
        <f>IF($A576="","",IFERROR(INDEX(SYZ_static!$B$2:$B$806,MATCH($A576,SYZ_static!$A$2:$A$806,0)),""))</f>
        <v/>
      </c>
      <c r="E576" s="17">
        <f>IF($A576="","",_xll.BDP($A576&amp;" Corp","INDUSTRY_SECTOR"))</f>
        <v/>
      </c>
      <c r="F576" s="17">
        <f>IF($A576="","",PROPER(_xll.BDP($A576&amp;" Corp","COUNTRY_FULL_NAME")))</f>
        <v/>
      </c>
      <c r="G576" s="17">
        <f>IF($A576="","",_xll.BDP($A576&amp;" Corp","CRNCY"))</f>
        <v/>
      </c>
      <c r="H576" s="17">
        <f>IF($A576="","",IFERROR(INDEX(SYZ_static!$T$2:$T$806,MATCH($A576,SYZ_static!$A$2:$A$806,0)),_xll.BDP($A576&amp;" Corp","RTG_SP")))</f>
        <v/>
      </c>
      <c r="I576" s="17">
        <f>IF($A576="","",IFERROR(INDEX(SYZ_static!$S$2:$S$806,MATCH($A576,SYZ_static!$A$2:$A$806,0)),""))</f>
        <v/>
      </c>
      <c r="J576" s="17">
        <f>IF($A576="","",_xll.BDP($A576&amp;" Corp","PAYMENT_RANK"))</f>
        <v/>
      </c>
      <c r="K576" s="18">
        <f>IF($A576="","",_xll.BDP($A576&amp;" Corp","CPN"))</f>
        <v/>
      </c>
      <c r="L576" s="19">
        <f>IF($A576="","",_xll.BDP($A576&amp;" Corp","MATURITY"))</f>
        <v/>
      </c>
      <c r="M576" s="20">
        <f>IF($A576="","",IFERROR(_xll.BDP($A576&amp;" Corp","MIN_PIECE")/1000,""))</f>
        <v/>
      </c>
      <c r="N576" s="21">
        <f>IF($A576="","",_xll.BDP($A576&amp;" Corp","PX_LAST"))</f>
        <v/>
      </c>
      <c r="O576" s="21">
        <f>IF($A576="","",_xll.BDP($A576&amp;" Corp","YAS_BOND_YLD","YAS_YLD_FLAG=15"))</f>
        <v/>
      </c>
      <c r="P576" s="21">
        <f>IF($A576="","",_xll.BDP($A576&amp;" Corp","YAS_MOD_DUR"))</f>
        <v/>
      </c>
      <c r="Q576" s="22">
        <f>IF($A576="","",_xll.BDP($A576&amp;" Corp","YAS_OAS_SPRD"))</f>
        <v/>
      </c>
      <c r="R576" s="22">
        <f>IF($A576="","",_xll.BDP($A576&amp;" Corp","YAS_OAS_SPRD","SETTLE_DT",$B$2))</f>
        <v/>
      </c>
      <c r="S576" s="23">
        <f>IF($A576="","",IF(OR(NOT(ISNUMBER($Q576)),NOT(ISNUMBER($R576))),"",$Q576-$R576))</f>
        <v/>
      </c>
      <c r="T576" s="21">
        <f>IF($A576="","",_xll.BDP($A576&amp;" Corp","YAS_BOND_YLD","YAS_YLD_FLAG=15","SETTLE_DT",$B$2))</f>
        <v/>
      </c>
      <c r="U576" s="24">
        <f>IF($A576="","",IF(OR(NOT(ISNUMBER($O576)),NOT(ISNUMBER($T576))),"",$O576-$T576))</f>
        <v/>
      </c>
      <c r="V576" s="22">
        <f>IF(NOT(ISNUMBER($S576)),"",COUNTIFS($G$7:$G$850,$G576,$S$7:$S$850,"&gt;"&amp;$S576)+COUNTIFS($G$7:$G576,$G576,$S$7:$S576,$S576))</f>
        <v/>
      </c>
      <c r="W576" s="22">
        <f>IF(NOT(ISNUMBER($S576)),"",COUNTIFS($G$7:$G$850,$G576,$S$7:$S$850,"&lt;"&amp;$S576)+COUNTIFS($G$7:$G576,$G576,$S$7:$S576,$S576))</f>
        <v/>
      </c>
      <c r="X576" s="17">
        <f>IF($V576="","",$G576&amp;"|"&amp;$V576)</f>
        <v/>
      </c>
      <c r="Y576" s="17">
        <f>IF($W576="","",$G576&amp;"|"&amp;$W576)</f>
        <v/>
      </c>
    </row>
    <row r="577">
      <c r="A577" s="7" t="inlineStr">
        <is>
          <t>XS1840618059</t>
        </is>
      </c>
      <c r="B577" s="8">
        <f>IF($A577="","",PROPER(_xll.BDP($A577&amp;" Corp","NAME")))</f>
        <v/>
      </c>
      <c r="C577" s="8">
        <f>IF($A577="","",IFERROR(INDEX(Company_desc!$B$2:$B$1144,MATCH($A577,Company_desc!$A$2:$A$1144,0)),IFERROR(INDEX(SYZ_static!$Q$2:$Q$806,MATCH($A577,SYZ_static!$A$2:$A$806,0)),"")))</f>
        <v/>
      </c>
      <c r="D577" s="8">
        <f>IF($A577="","",IFERROR(INDEX(SYZ_static!$B$2:$B$806,MATCH($A577,SYZ_static!$A$2:$A$806,0)),""))</f>
        <v/>
      </c>
      <c r="E577" s="8">
        <f>IF($A577="","",_xll.BDP($A577&amp;" Corp","INDUSTRY_SECTOR"))</f>
        <v/>
      </c>
      <c r="F577" s="8">
        <f>IF($A577="","",PROPER(_xll.BDP($A577&amp;" Corp","COUNTRY_FULL_NAME")))</f>
        <v/>
      </c>
      <c r="G577" s="8">
        <f>IF($A577="","",_xll.BDP($A577&amp;" Corp","CRNCY"))</f>
        <v/>
      </c>
      <c r="H577" s="8">
        <f>IF($A577="","",IFERROR(INDEX(SYZ_static!$T$2:$T$806,MATCH($A577,SYZ_static!$A$2:$A$806,0)),_xll.BDP($A577&amp;" Corp","RTG_SP")))</f>
        <v/>
      </c>
      <c r="I577" s="8">
        <f>IF($A577="","",IFERROR(INDEX(SYZ_static!$S$2:$S$806,MATCH($A577,SYZ_static!$A$2:$A$806,0)),""))</f>
        <v/>
      </c>
      <c r="J577" s="8">
        <f>IF($A577="","",_xll.BDP($A577&amp;" Corp","PAYMENT_RANK"))</f>
        <v/>
      </c>
      <c r="K577" s="9">
        <f>IF($A577="","",_xll.BDP($A577&amp;" Corp","CPN"))</f>
        <v/>
      </c>
      <c r="L577" s="10">
        <f>IF($A577="","",_xll.BDP($A577&amp;" Corp","MATURITY"))</f>
        <v/>
      </c>
      <c r="M577" s="11">
        <f>IF($A577="","",IFERROR(_xll.BDP($A577&amp;" Corp","MIN_PIECE")/1000,""))</f>
        <v/>
      </c>
      <c r="N577" s="12">
        <f>IF($A577="","",_xll.BDP($A577&amp;" Corp","PX_LAST"))</f>
        <v/>
      </c>
      <c r="O577" s="12">
        <f>IF($A577="","",_xll.BDP($A577&amp;" Corp","YAS_BOND_YLD","YAS_YLD_FLAG=15"))</f>
        <v/>
      </c>
      <c r="P577" s="12">
        <f>IF($A577="","",_xll.BDP($A577&amp;" Corp","YAS_MOD_DUR"))</f>
        <v/>
      </c>
      <c r="Q577" s="13">
        <f>IF($A577="","",_xll.BDP($A577&amp;" Corp","YAS_OAS_SPRD"))</f>
        <v/>
      </c>
      <c r="R577" s="13">
        <f>IF($A577="","",_xll.BDP($A577&amp;" Corp","YAS_OAS_SPRD","SETTLE_DT",$B$2))</f>
        <v/>
      </c>
      <c r="S577" s="14">
        <f>IF($A577="","",IF(OR(NOT(ISNUMBER($Q577)),NOT(ISNUMBER($R577))),"",$Q577-$R577))</f>
        <v/>
      </c>
      <c r="T577" s="12">
        <f>IF($A577="","",_xll.BDP($A577&amp;" Corp","YAS_BOND_YLD","YAS_YLD_FLAG=15","SETTLE_DT",$B$2))</f>
        <v/>
      </c>
      <c r="U577" s="15">
        <f>IF($A577="","",IF(OR(NOT(ISNUMBER($O577)),NOT(ISNUMBER($T577))),"",$O577-$T577))</f>
        <v/>
      </c>
      <c r="V577" s="13">
        <f>IF(NOT(ISNUMBER($S577)),"",COUNTIFS($G$7:$G$850,$G577,$S$7:$S$850,"&gt;"&amp;$S577)+COUNTIFS($G$7:$G577,$G577,$S$7:$S577,$S577))</f>
        <v/>
      </c>
      <c r="W577" s="13">
        <f>IF(NOT(ISNUMBER($S577)),"",COUNTIFS($G$7:$G$850,$G577,$S$7:$S$850,"&lt;"&amp;$S577)+COUNTIFS($G$7:$G577,$G577,$S$7:$S577,$S577))</f>
        <v/>
      </c>
      <c r="X577" s="8">
        <f>IF($V577="","",$G577&amp;"|"&amp;$V577)</f>
        <v/>
      </c>
      <c r="Y577" s="8">
        <f>IF($W577="","",$G577&amp;"|"&amp;$W577)</f>
        <v/>
      </c>
    </row>
    <row r="578">
      <c r="A578" s="16" t="inlineStr">
        <is>
          <t>XS2856698126</t>
        </is>
      </c>
      <c r="B578" s="17">
        <f>IF($A578="","",PROPER(_xll.BDP($A578&amp;" Corp","NAME")))</f>
        <v/>
      </c>
      <c r="C578" s="17">
        <f>IF($A578="","",IFERROR(INDEX(Company_desc!$B$2:$B$1144,MATCH($A578,Company_desc!$A$2:$A$1144,0)),IFERROR(INDEX(SYZ_static!$Q$2:$Q$806,MATCH($A578,SYZ_static!$A$2:$A$806,0)),"")))</f>
        <v/>
      </c>
      <c r="D578" s="17">
        <f>IF($A578="","",IFERROR(INDEX(SYZ_static!$B$2:$B$806,MATCH($A578,SYZ_static!$A$2:$A$806,0)),""))</f>
        <v/>
      </c>
      <c r="E578" s="17">
        <f>IF($A578="","",_xll.BDP($A578&amp;" Corp","INDUSTRY_SECTOR"))</f>
        <v/>
      </c>
      <c r="F578" s="17">
        <f>IF($A578="","",PROPER(_xll.BDP($A578&amp;" Corp","COUNTRY_FULL_NAME")))</f>
        <v/>
      </c>
      <c r="G578" s="17">
        <f>IF($A578="","",_xll.BDP($A578&amp;" Corp","CRNCY"))</f>
        <v/>
      </c>
      <c r="H578" s="17">
        <f>IF($A578="","",IFERROR(INDEX(SYZ_static!$T$2:$T$806,MATCH($A578,SYZ_static!$A$2:$A$806,0)),_xll.BDP($A578&amp;" Corp","RTG_SP")))</f>
        <v/>
      </c>
      <c r="I578" s="17">
        <f>IF($A578="","",IFERROR(INDEX(SYZ_static!$S$2:$S$806,MATCH($A578,SYZ_static!$A$2:$A$806,0)),""))</f>
        <v/>
      </c>
      <c r="J578" s="17">
        <f>IF($A578="","",_xll.BDP($A578&amp;" Corp","PAYMENT_RANK"))</f>
        <v/>
      </c>
      <c r="K578" s="18">
        <f>IF($A578="","",_xll.BDP($A578&amp;" Corp","CPN"))</f>
        <v/>
      </c>
      <c r="L578" s="19">
        <f>IF($A578="","",_xll.BDP($A578&amp;" Corp","MATURITY"))</f>
        <v/>
      </c>
      <c r="M578" s="20">
        <f>IF($A578="","",IFERROR(_xll.BDP($A578&amp;" Corp","MIN_PIECE")/1000,""))</f>
        <v/>
      </c>
      <c r="N578" s="21">
        <f>IF($A578="","",_xll.BDP($A578&amp;" Corp","PX_LAST"))</f>
        <v/>
      </c>
      <c r="O578" s="21">
        <f>IF($A578="","",_xll.BDP($A578&amp;" Corp","YAS_BOND_YLD","YAS_YLD_FLAG=15"))</f>
        <v/>
      </c>
      <c r="P578" s="21">
        <f>IF($A578="","",_xll.BDP($A578&amp;" Corp","YAS_MOD_DUR"))</f>
        <v/>
      </c>
      <c r="Q578" s="22">
        <f>IF($A578="","",_xll.BDP($A578&amp;" Corp","YAS_OAS_SPRD"))</f>
        <v/>
      </c>
      <c r="R578" s="22">
        <f>IF($A578="","",_xll.BDP($A578&amp;" Corp","YAS_OAS_SPRD","SETTLE_DT",$B$2))</f>
        <v/>
      </c>
      <c r="S578" s="23">
        <f>IF($A578="","",IF(OR(NOT(ISNUMBER($Q578)),NOT(ISNUMBER($R578))),"",$Q578-$R578))</f>
        <v/>
      </c>
      <c r="T578" s="21">
        <f>IF($A578="","",_xll.BDP($A578&amp;" Corp","YAS_BOND_YLD","YAS_YLD_FLAG=15","SETTLE_DT",$B$2))</f>
        <v/>
      </c>
      <c r="U578" s="24">
        <f>IF($A578="","",IF(OR(NOT(ISNUMBER($O578)),NOT(ISNUMBER($T578))),"",$O578-$T578))</f>
        <v/>
      </c>
      <c r="V578" s="22">
        <f>IF(NOT(ISNUMBER($S578)),"",COUNTIFS($G$7:$G$850,$G578,$S$7:$S$850,"&gt;"&amp;$S578)+COUNTIFS($G$7:$G578,$G578,$S$7:$S578,$S578))</f>
        <v/>
      </c>
      <c r="W578" s="22">
        <f>IF(NOT(ISNUMBER($S578)),"",COUNTIFS($G$7:$G$850,$G578,$S$7:$S$850,"&lt;"&amp;$S578)+COUNTIFS($G$7:$G578,$G578,$S$7:$S578,$S578))</f>
        <v/>
      </c>
      <c r="X578" s="17">
        <f>IF($V578="","",$G578&amp;"|"&amp;$V578)</f>
        <v/>
      </c>
      <c r="Y578" s="17">
        <f>IF($W578="","",$G578&amp;"|"&amp;$W578)</f>
        <v/>
      </c>
    </row>
    <row r="579">
      <c r="A579" s="7" t="inlineStr">
        <is>
          <t>US58013MFV19</t>
        </is>
      </c>
      <c r="B579" s="8">
        <f>IF($A579="","",PROPER(_xll.BDP($A579&amp;" Corp","NAME")))</f>
        <v/>
      </c>
      <c r="C579" s="8">
        <f>IF($A579="","",IFERROR(INDEX(Company_desc!$B$2:$B$1144,MATCH($A579,Company_desc!$A$2:$A$1144,0)),IFERROR(INDEX(SYZ_static!$Q$2:$Q$806,MATCH($A579,SYZ_static!$A$2:$A$806,0)),"")))</f>
        <v/>
      </c>
      <c r="D579" s="8">
        <f>IF($A579="","",IFERROR(INDEX(SYZ_static!$B$2:$B$806,MATCH($A579,SYZ_static!$A$2:$A$806,0)),""))</f>
        <v/>
      </c>
      <c r="E579" s="8">
        <f>IF($A579="","",_xll.BDP($A579&amp;" Corp","INDUSTRY_SECTOR"))</f>
        <v/>
      </c>
      <c r="F579" s="8">
        <f>IF($A579="","",PROPER(_xll.BDP($A579&amp;" Corp","COUNTRY_FULL_NAME")))</f>
        <v/>
      </c>
      <c r="G579" s="8">
        <f>IF($A579="","",_xll.BDP($A579&amp;" Corp","CRNCY"))</f>
        <v/>
      </c>
      <c r="H579" s="8">
        <f>IF($A579="","",IFERROR(INDEX(SYZ_static!$T$2:$T$806,MATCH($A579,SYZ_static!$A$2:$A$806,0)),_xll.BDP($A579&amp;" Corp","RTG_SP")))</f>
        <v/>
      </c>
      <c r="I579" s="8">
        <f>IF($A579="","",IFERROR(INDEX(SYZ_static!$S$2:$S$806,MATCH($A579,SYZ_static!$A$2:$A$806,0)),""))</f>
        <v/>
      </c>
      <c r="J579" s="8">
        <f>IF($A579="","",_xll.BDP($A579&amp;" Corp","PAYMENT_RANK"))</f>
        <v/>
      </c>
      <c r="K579" s="9">
        <f>IF($A579="","",_xll.BDP($A579&amp;" Corp","CPN"))</f>
        <v/>
      </c>
      <c r="L579" s="10">
        <f>IF($A579="","",_xll.BDP($A579&amp;" Corp","MATURITY"))</f>
        <v/>
      </c>
      <c r="M579" s="11">
        <f>IF($A579="","",IFERROR(_xll.BDP($A579&amp;" Corp","MIN_PIECE")/1000,""))</f>
        <v/>
      </c>
      <c r="N579" s="12">
        <f>IF($A579="","",_xll.BDP($A579&amp;" Corp","PX_LAST"))</f>
        <v/>
      </c>
      <c r="O579" s="12">
        <f>IF($A579="","",_xll.BDP($A579&amp;" Corp","YAS_BOND_YLD","YAS_YLD_FLAG=15"))</f>
        <v/>
      </c>
      <c r="P579" s="12">
        <f>IF($A579="","",_xll.BDP($A579&amp;" Corp","YAS_MOD_DUR"))</f>
        <v/>
      </c>
      <c r="Q579" s="13">
        <f>IF($A579="","",_xll.BDP($A579&amp;" Corp","YAS_OAS_SPRD"))</f>
        <v/>
      </c>
      <c r="R579" s="13">
        <f>IF($A579="","",_xll.BDP($A579&amp;" Corp","YAS_OAS_SPRD","SETTLE_DT",$B$2))</f>
        <v/>
      </c>
      <c r="S579" s="14">
        <f>IF($A579="","",IF(OR(NOT(ISNUMBER($Q579)),NOT(ISNUMBER($R579))),"",$Q579-$R579))</f>
        <v/>
      </c>
      <c r="T579" s="12">
        <f>IF($A579="","",_xll.BDP($A579&amp;" Corp","YAS_BOND_YLD","YAS_YLD_FLAG=15","SETTLE_DT",$B$2))</f>
        <v/>
      </c>
      <c r="U579" s="15">
        <f>IF($A579="","",IF(OR(NOT(ISNUMBER($O579)),NOT(ISNUMBER($T579))),"",$O579-$T579))</f>
        <v/>
      </c>
      <c r="V579" s="13">
        <f>IF(NOT(ISNUMBER($S579)),"",COUNTIFS($G$7:$G$850,$G579,$S$7:$S$850,"&gt;"&amp;$S579)+COUNTIFS($G$7:$G579,$G579,$S$7:$S579,$S579))</f>
        <v/>
      </c>
      <c r="W579" s="13">
        <f>IF(NOT(ISNUMBER($S579)),"",COUNTIFS($G$7:$G$850,$G579,$S$7:$S$850,"&lt;"&amp;$S579)+COUNTIFS($G$7:$G579,$G579,$S$7:$S579,$S579))</f>
        <v/>
      </c>
      <c r="X579" s="8">
        <f>IF($V579="","",$G579&amp;"|"&amp;$V579)</f>
        <v/>
      </c>
      <c r="Y579" s="8">
        <f>IF($W579="","",$G579&amp;"|"&amp;$W579)</f>
        <v/>
      </c>
    </row>
    <row r="580">
      <c r="A580" s="16" t="inlineStr">
        <is>
          <t>XS2575155671</t>
        </is>
      </c>
      <c r="B580" s="17">
        <f>IF($A580="","",PROPER(_xll.BDP($A580&amp;" Corp","NAME")))</f>
        <v/>
      </c>
      <c r="C580" s="17">
        <f>IF($A580="","",IFERROR(INDEX(Company_desc!$B$2:$B$1144,MATCH($A580,Company_desc!$A$2:$A$1144,0)),IFERROR(INDEX(SYZ_static!$Q$2:$Q$806,MATCH($A580,SYZ_static!$A$2:$A$806,0)),"")))</f>
        <v/>
      </c>
      <c r="D580" s="17">
        <f>IF($A580="","",IFERROR(INDEX(SYZ_static!$B$2:$B$806,MATCH($A580,SYZ_static!$A$2:$A$806,0)),""))</f>
        <v/>
      </c>
      <c r="E580" s="17">
        <f>IF($A580="","",_xll.BDP($A580&amp;" Corp","INDUSTRY_SECTOR"))</f>
        <v/>
      </c>
      <c r="F580" s="17">
        <f>IF($A580="","",PROPER(_xll.BDP($A580&amp;" Corp","COUNTRY_FULL_NAME")))</f>
        <v/>
      </c>
      <c r="G580" s="17">
        <f>IF($A580="","",_xll.BDP($A580&amp;" Corp","CRNCY"))</f>
        <v/>
      </c>
      <c r="H580" s="17">
        <f>IF($A580="","",IFERROR(INDEX(SYZ_static!$T$2:$T$806,MATCH($A580,SYZ_static!$A$2:$A$806,0)),_xll.BDP($A580&amp;" Corp","RTG_SP")))</f>
        <v/>
      </c>
      <c r="I580" s="17">
        <f>IF($A580="","",IFERROR(INDEX(SYZ_static!$S$2:$S$806,MATCH($A580,SYZ_static!$A$2:$A$806,0)),""))</f>
        <v/>
      </c>
      <c r="J580" s="17">
        <f>IF($A580="","",_xll.BDP($A580&amp;" Corp","PAYMENT_RANK"))</f>
        <v/>
      </c>
      <c r="K580" s="18">
        <f>IF($A580="","",_xll.BDP($A580&amp;" Corp","CPN"))</f>
        <v/>
      </c>
      <c r="L580" s="19">
        <f>IF($A580="","",_xll.BDP($A580&amp;" Corp","MATURITY"))</f>
        <v/>
      </c>
      <c r="M580" s="20">
        <f>IF($A580="","",IFERROR(_xll.BDP($A580&amp;" Corp","MIN_PIECE")/1000,""))</f>
        <v/>
      </c>
      <c r="N580" s="21">
        <f>IF($A580="","",_xll.BDP($A580&amp;" Corp","PX_LAST"))</f>
        <v/>
      </c>
      <c r="O580" s="21">
        <f>IF($A580="","",_xll.BDP($A580&amp;" Corp","YAS_BOND_YLD","YAS_YLD_FLAG=15"))</f>
        <v/>
      </c>
      <c r="P580" s="21">
        <f>IF($A580="","",_xll.BDP($A580&amp;" Corp","YAS_MOD_DUR"))</f>
        <v/>
      </c>
      <c r="Q580" s="22">
        <f>IF($A580="","",_xll.BDP($A580&amp;" Corp","YAS_OAS_SPRD"))</f>
        <v/>
      </c>
      <c r="R580" s="22">
        <f>IF($A580="","",_xll.BDP($A580&amp;" Corp","YAS_OAS_SPRD","SETTLE_DT",$B$2))</f>
        <v/>
      </c>
      <c r="S580" s="23">
        <f>IF($A580="","",IF(OR(NOT(ISNUMBER($Q580)),NOT(ISNUMBER($R580))),"",$Q580-$R580))</f>
        <v/>
      </c>
      <c r="T580" s="21">
        <f>IF($A580="","",_xll.BDP($A580&amp;" Corp","YAS_BOND_YLD","YAS_YLD_FLAG=15","SETTLE_DT",$B$2))</f>
        <v/>
      </c>
      <c r="U580" s="24">
        <f>IF($A580="","",IF(OR(NOT(ISNUMBER($O580)),NOT(ISNUMBER($T580))),"",$O580-$T580))</f>
        <v/>
      </c>
      <c r="V580" s="22">
        <f>IF(NOT(ISNUMBER($S580)),"",COUNTIFS($G$7:$G$850,$G580,$S$7:$S$850,"&gt;"&amp;$S580)+COUNTIFS($G$7:$G580,$G580,$S$7:$S580,$S580))</f>
        <v/>
      </c>
      <c r="W580" s="22">
        <f>IF(NOT(ISNUMBER($S580)),"",COUNTIFS($G$7:$G$850,$G580,$S$7:$S$850,"&lt;"&amp;$S580)+COUNTIFS($G$7:$G580,$G580,$S$7:$S580,$S580))</f>
        <v/>
      </c>
      <c r="X580" s="17">
        <f>IF($V580="","",$G580&amp;"|"&amp;$V580)</f>
        <v/>
      </c>
      <c r="Y580" s="17">
        <f>IF($W580="","",$G580&amp;"|"&amp;$W580)</f>
        <v/>
      </c>
    </row>
    <row r="581">
      <c r="A581" s="7" t="inlineStr">
        <is>
          <t>US88579YBJ91</t>
        </is>
      </c>
      <c r="B581" s="8">
        <f>IF($A581="","",PROPER(_xll.BDP($A581&amp;" Corp","NAME")))</f>
        <v/>
      </c>
      <c r="C581" s="8">
        <f>IF($A581="","",IFERROR(INDEX(Company_desc!$B$2:$B$1144,MATCH($A581,Company_desc!$A$2:$A$1144,0)),IFERROR(INDEX(SYZ_static!$Q$2:$Q$806,MATCH($A581,SYZ_static!$A$2:$A$806,0)),"")))</f>
        <v/>
      </c>
      <c r="D581" s="8">
        <f>IF($A581="","",IFERROR(INDEX(SYZ_static!$B$2:$B$806,MATCH($A581,SYZ_static!$A$2:$A$806,0)),""))</f>
        <v/>
      </c>
      <c r="E581" s="8">
        <f>IF($A581="","",_xll.BDP($A581&amp;" Corp","INDUSTRY_SECTOR"))</f>
        <v/>
      </c>
      <c r="F581" s="8">
        <f>IF($A581="","",PROPER(_xll.BDP($A581&amp;" Corp","COUNTRY_FULL_NAME")))</f>
        <v/>
      </c>
      <c r="G581" s="8">
        <f>IF($A581="","",_xll.BDP($A581&amp;" Corp","CRNCY"))</f>
        <v/>
      </c>
      <c r="H581" s="8">
        <f>IF($A581="","",IFERROR(INDEX(SYZ_static!$T$2:$T$806,MATCH($A581,SYZ_static!$A$2:$A$806,0)),_xll.BDP($A581&amp;" Corp","RTG_SP")))</f>
        <v/>
      </c>
      <c r="I581" s="8">
        <f>IF($A581="","",IFERROR(INDEX(SYZ_static!$S$2:$S$806,MATCH($A581,SYZ_static!$A$2:$A$806,0)),""))</f>
        <v/>
      </c>
      <c r="J581" s="8">
        <f>IF($A581="","",_xll.BDP($A581&amp;" Corp","PAYMENT_RANK"))</f>
        <v/>
      </c>
      <c r="K581" s="9">
        <f>IF($A581="","",_xll.BDP($A581&amp;" Corp","CPN"))</f>
        <v/>
      </c>
      <c r="L581" s="10">
        <f>IF($A581="","",_xll.BDP($A581&amp;" Corp","MATURITY"))</f>
        <v/>
      </c>
      <c r="M581" s="11">
        <f>IF($A581="","",IFERROR(_xll.BDP($A581&amp;" Corp","MIN_PIECE")/1000,""))</f>
        <v/>
      </c>
      <c r="N581" s="12">
        <f>IF($A581="","",_xll.BDP($A581&amp;" Corp","PX_LAST"))</f>
        <v/>
      </c>
      <c r="O581" s="12">
        <f>IF($A581="","",_xll.BDP($A581&amp;" Corp","YAS_BOND_YLD","YAS_YLD_FLAG=15"))</f>
        <v/>
      </c>
      <c r="P581" s="12">
        <f>IF($A581="","",_xll.BDP($A581&amp;" Corp","YAS_MOD_DUR"))</f>
        <v/>
      </c>
      <c r="Q581" s="13">
        <f>IF($A581="","",_xll.BDP($A581&amp;" Corp","YAS_OAS_SPRD"))</f>
        <v/>
      </c>
      <c r="R581" s="13">
        <f>IF($A581="","",_xll.BDP($A581&amp;" Corp","YAS_OAS_SPRD","SETTLE_DT",$B$2))</f>
        <v/>
      </c>
      <c r="S581" s="14">
        <f>IF($A581="","",IF(OR(NOT(ISNUMBER($Q581)),NOT(ISNUMBER($R581))),"",$Q581-$R581))</f>
        <v/>
      </c>
      <c r="T581" s="12">
        <f>IF($A581="","",_xll.BDP($A581&amp;" Corp","YAS_BOND_YLD","YAS_YLD_FLAG=15","SETTLE_DT",$B$2))</f>
        <v/>
      </c>
      <c r="U581" s="15">
        <f>IF($A581="","",IF(OR(NOT(ISNUMBER($O581)),NOT(ISNUMBER($T581))),"",$O581-$T581))</f>
        <v/>
      </c>
      <c r="V581" s="13">
        <f>IF(NOT(ISNUMBER($S581)),"",COUNTIFS($G$7:$G$850,$G581,$S$7:$S$850,"&gt;"&amp;$S581)+COUNTIFS($G$7:$G581,$G581,$S$7:$S581,$S581))</f>
        <v/>
      </c>
      <c r="W581" s="13">
        <f>IF(NOT(ISNUMBER($S581)),"",COUNTIFS($G$7:$G$850,$G581,$S$7:$S$850,"&lt;"&amp;$S581)+COUNTIFS($G$7:$G581,$G581,$S$7:$S581,$S581))</f>
        <v/>
      </c>
      <c r="X581" s="8">
        <f>IF($V581="","",$G581&amp;"|"&amp;$V581)</f>
        <v/>
      </c>
      <c r="Y581" s="8">
        <f>IF($W581="","",$G581&amp;"|"&amp;$W581)</f>
        <v/>
      </c>
    </row>
    <row r="582">
      <c r="A582" s="16" t="inlineStr">
        <is>
          <t>XS1528093799</t>
        </is>
      </c>
      <c r="B582" s="17">
        <f>IF($A582="","",PROPER(_xll.BDP($A582&amp;" Corp","NAME")))</f>
        <v/>
      </c>
      <c r="C582" s="17">
        <f>IF($A582="","",IFERROR(INDEX(Company_desc!$B$2:$B$1144,MATCH($A582,Company_desc!$A$2:$A$1144,0)),IFERROR(INDEX(SYZ_static!$Q$2:$Q$806,MATCH($A582,SYZ_static!$A$2:$A$806,0)),"")))</f>
        <v/>
      </c>
      <c r="D582" s="17">
        <f>IF($A582="","",IFERROR(INDEX(SYZ_static!$B$2:$B$806,MATCH($A582,SYZ_static!$A$2:$A$806,0)),""))</f>
        <v/>
      </c>
      <c r="E582" s="17">
        <f>IF($A582="","",_xll.BDP($A582&amp;" Corp","INDUSTRY_SECTOR"))</f>
        <v/>
      </c>
      <c r="F582" s="17">
        <f>IF($A582="","",PROPER(_xll.BDP($A582&amp;" Corp","COUNTRY_FULL_NAME")))</f>
        <v/>
      </c>
      <c r="G582" s="17">
        <f>IF($A582="","",_xll.BDP($A582&amp;" Corp","CRNCY"))</f>
        <v/>
      </c>
      <c r="H582" s="17">
        <f>IF($A582="","",IFERROR(INDEX(SYZ_static!$T$2:$T$806,MATCH($A582,SYZ_static!$A$2:$A$806,0)),_xll.BDP($A582&amp;" Corp","RTG_SP")))</f>
        <v/>
      </c>
      <c r="I582" s="17">
        <f>IF($A582="","",IFERROR(INDEX(SYZ_static!$S$2:$S$806,MATCH($A582,SYZ_static!$A$2:$A$806,0)),""))</f>
        <v/>
      </c>
      <c r="J582" s="17">
        <f>IF($A582="","",_xll.BDP($A582&amp;" Corp","PAYMENT_RANK"))</f>
        <v/>
      </c>
      <c r="K582" s="18">
        <f>IF($A582="","",_xll.BDP($A582&amp;" Corp","CPN"))</f>
        <v/>
      </c>
      <c r="L582" s="19">
        <f>IF($A582="","",_xll.BDP($A582&amp;" Corp","MATURITY"))</f>
        <v/>
      </c>
      <c r="M582" s="20">
        <f>IF($A582="","",IFERROR(_xll.BDP($A582&amp;" Corp","MIN_PIECE")/1000,""))</f>
        <v/>
      </c>
      <c r="N582" s="21">
        <f>IF($A582="","",_xll.BDP($A582&amp;" Corp","PX_LAST"))</f>
        <v/>
      </c>
      <c r="O582" s="21">
        <f>IF($A582="","",_xll.BDP($A582&amp;" Corp","YAS_BOND_YLD","YAS_YLD_FLAG=15"))</f>
        <v/>
      </c>
      <c r="P582" s="21">
        <f>IF($A582="","",_xll.BDP($A582&amp;" Corp","YAS_MOD_DUR"))</f>
        <v/>
      </c>
      <c r="Q582" s="22">
        <f>IF($A582="","",_xll.BDP($A582&amp;" Corp","YAS_OAS_SPRD"))</f>
        <v/>
      </c>
      <c r="R582" s="22">
        <f>IF($A582="","",_xll.BDP($A582&amp;" Corp","YAS_OAS_SPRD","SETTLE_DT",$B$2))</f>
        <v/>
      </c>
      <c r="S582" s="23">
        <f>IF($A582="","",IF(OR(NOT(ISNUMBER($Q582)),NOT(ISNUMBER($R582))),"",$Q582-$R582))</f>
        <v/>
      </c>
      <c r="T582" s="21">
        <f>IF($A582="","",_xll.BDP($A582&amp;" Corp","YAS_BOND_YLD","YAS_YLD_FLAG=15","SETTLE_DT",$B$2))</f>
        <v/>
      </c>
      <c r="U582" s="24">
        <f>IF($A582="","",IF(OR(NOT(ISNUMBER($O582)),NOT(ISNUMBER($T582))),"",$O582-$T582))</f>
        <v/>
      </c>
      <c r="V582" s="22">
        <f>IF(NOT(ISNUMBER($S582)),"",COUNTIFS($G$7:$G$850,$G582,$S$7:$S$850,"&gt;"&amp;$S582)+COUNTIFS($G$7:$G582,$G582,$S$7:$S582,$S582))</f>
        <v/>
      </c>
      <c r="W582" s="22">
        <f>IF(NOT(ISNUMBER($S582)),"",COUNTIFS($G$7:$G$850,$G582,$S$7:$S$850,"&lt;"&amp;$S582)+COUNTIFS($G$7:$G582,$G582,$S$7:$S582,$S582))</f>
        <v/>
      </c>
      <c r="X582" s="17">
        <f>IF($V582="","",$G582&amp;"|"&amp;$V582)</f>
        <v/>
      </c>
      <c r="Y582" s="17">
        <f>IF($W582="","",$G582&amp;"|"&amp;$W582)</f>
        <v/>
      </c>
    </row>
    <row r="583">
      <c r="A583" s="7" t="inlineStr">
        <is>
          <t>XS2811733240</t>
        </is>
      </c>
      <c r="B583" s="8">
        <f>IF($A583="","",PROPER(_xll.BDP($A583&amp;" Corp","NAME")))</f>
        <v/>
      </c>
      <c r="C583" s="8">
        <f>IF($A583="","",IFERROR(INDEX(Company_desc!$B$2:$B$1144,MATCH($A583,Company_desc!$A$2:$A$1144,0)),IFERROR(INDEX(SYZ_static!$Q$2:$Q$806,MATCH($A583,SYZ_static!$A$2:$A$806,0)),"")))</f>
        <v/>
      </c>
      <c r="D583" s="8">
        <f>IF($A583="","",IFERROR(INDEX(SYZ_static!$B$2:$B$806,MATCH($A583,SYZ_static!$A$2:$A$806,0)),""))</f>
        <v/>
      </c>
      <c r="E583" s="8">
        <f>IF($A583="","",_xll.BDP($A583&amp;" Corp","INDUSTRY_SECTOR"))</f>
        <v/>
      </c>
      <c r="F583" s="8">
        <f>IF($A583="","",PROPER(_xll.BDP($A583&amp;" Corp","COUNTRY_FULL_NAME")))</f>
        <v/>
      </c>
      <c r="G583" s="8">
        <f>IF($A583="","",_xll.BDP($A583&amp;" Corp","CRNCY"))</f>
        <v/>
      </c>
      <c r="H583" s="8">
        <f>IF($A583="","",IFERROR(INDEX(SYZ_static!$T$2:$T$806,MATCH($A583,SYZ_static!$A$2:$A$806,0)),_xll.BDP($A583&amp;" Corp","RTG_SP")))</f>
        <v/>
      </c>
      <c r="I583" s="8">
        <f>IF($A583="","",IFERROR(INDEX(SYZ_static!$S$2:$S$806,MATCH($A583,SYZ_static!$A$2:$A$806,0)),""))</f>
        <v/>
      </c>
      <c r="J583" s="8">
        <f>IF($A583="","",_xll.BDP($A583&amp;" Corp","PAYMENT_RANK"))</f>
        <v/>
      </c>
      <c r="K583" s="9">
        <f>IF($A583="","",_xll.BDP($A583&amp;" Corp","CPN"))</f>
        <v/>
      </c>
      <c r="L583" s="10">
        <f>IF($A583="","",_xll.BDP($A583&amp;" Corp","MATURITY"))</f>
        <v/>
      </c>
      <c r="M583" s="11">
        <f>IF($A583="","",IFERROR(_xll.BDP($A583&amp;" Corp","MIN_PIECE")/1000,""))</f>
        <v/>
      </c>
      <c r="N583" s="12">
        <f>IF($A583="","",_xll.BDP($A583&amp;" Corp","PX_LAST"))</f>
        <v/>
      </c>
      <c r="O583" s="12">
        <f>IF($A583="","",_xll.BDP($A583&amp;" Corp","YAS_BOND_YLD","YAS_YLD_FLAG=15"))</f>
        <v/>
      </c>
      <c r="P583" s="12">
        <f>IF($A583="","",_xll.BDP($A583&amp;" Corp","YAS_MOD_DUR"))</f>
        <v/>
      </c>
      <c r="Q583" s="13">
        <f>IF($A583="","",_xll.BDP($A583&amp;" Corp","YAS_OAS_SPRD"))</f>
        <v/>
      </c>
      <c r="R583" s="13">
        <f>IF($A583="","",_xll.BDP($A583&amp;" Corp","YAS_OAS_SPRD","SETTLE_DT",$B$2))</f>
        <v/>
      </c>
      <c r="S583" s="14">
        <f>IF($A583="","",IF(OR(NOT(ISNUMBER($Q583)),NOT(ISNUMBER($R583))),"",$Q583-$R583))</f>
        <v/>
      </c>
      <c r="T583" s="12">
        <f>IF($A583="","",_xll.BDP($A583&amp;" Corp","YAS_BOND_YLD","YAS_YLD_FLAG=15","SETTLE_DT",$B$2))</f>
        <v/>
      </c>
      <c r="U583" s="15">
        <f>IF($A583="","",IF(OR(NOT(ISNUMBER($O583)),NOT(ISNUMBER($T583))),"",$O583-$T583))</f>
        <v/>
      </c>
      <c r="V583" s="13">
        <f>IF(NOT(ISNUMBER($S583)),"",COUNTIFS($G$7:$G$850,$G583,$S$7:$S$850,"&gt;"&amp;$S583)+COUNTIFS($G$7:$G583,$G583,$S$7:$S583,$S583))</f>
        <v/>
      </c>
      <c r="W583" s="13">
        <f>IF(NOT(ISNUMBER($S583)),"",COUNTIFS($G$7:$G$850,$G583,$S$7:$S$850,"&lt;"&amp;$S583)+COUNTIFS($G$7:$G583,$G583,$S$7:$S583,$S583))</f>
        <v/>
      </c>
      <c r="X583" s="8">
        <f>IF($V583="","",$G583&amp;"|"&amp;$V583)</f>
        <v/>
      </c>
      <c r="Y583" s="8">
        <f>IF($W583="","",$G583&amp;"|"&amp;$W583)</f>
        <v/>
      </c>
    </row>
    <row r="584">
      <c r="A584" s="16" t="inlineStr">
        <is>
          <t>XS2696089197</t>
        </is>
      </c>
      <c r="B584" s="17">
        <f>IF($A584="","",PROPER(_xll.BDP($A584&amp;" Corp","NAME")))</f>
        <v/>
      </c>
      <c r="C584" s="17">
        <f>IF($A584="","",IFERROR(INDEX(Company_desc!$B$2:$B$1144,MATCH($A584,Company_desc!$A$2:$A$1144,0)),IFERROR(INDEX(SYZ_static!$Q$2:$Q$806,MATCH($A584,SYZ_static!$A$2:$A$806,0)),"")))</f>
        <v/>
      </c>
      <c r="D584" s="17">
        <f>IF($A584="","",IFERROR(INDEX(SYZ_static!$B$2:$B$806,MATCH($A584,SYZ_static!$A$2:$A$806,0)),""))</f>
        <v/>
      </c>
      <c r="E584" s="17">
        <f>IF($A584="","",_xll.BDP($A584&amp;" Corp","INDUSTRY_SECTOR"))</f>
        <v/>
      </c>
      <c r="F584" s="17">
        <f>IF($A584="","",PROPER(_xll.BDP($A584&amp;" Corp","COUNTRY_FULL_NAME")))</f>
        <v/>
      </c>
      <c r="G584" s="17">
        <f>IF($A584="","",_xll.BDP($A584&amp;" Corp","CRNCY"))</f>
        <v/>
      </c>
      <c r="H584" s="17">
        <f>IF($A584="","",IFERROR(INDEX(SYZ_static!$T$2:$T$806,MATCH($A584,SYZ_static!$A$2:$A$806,0)),_xll.BDP($A584&amp;" Corp","RTG_SP")))</f>
        <v/>
      </c>
      <c r="I584" s="17">
        <f>IF($A584="","",IFERROR(INDEX(SYZ_static!$S$2:$S$806,MATCH($A584,SYZ_static!$A$2:$A$806,0)),""))</f>
        <v/>
      </c>
      <c r="J584" s="17">
        <f>IF($A584="","",_xll.BDP($A584&amp;" Corp","PAYMENT_RANK"))</f>
        <v/>
      </c>
      <c r="K584" s="18">
        <f>IF($A584="","",_xll.BDP($A584&amp;" Corp","CPN"))</f>
        <v/>
      </c>
      <c r="L584" s="19">
        <f>IF($A584="","",_xll.BDP($A584&amp;" Corp","MATURITY"))</f>
        <v/>
      </c>
      <c r="M584" s="20">
        <f>IF($A584="","",IFERROR(_xll.BDP($A584&amp;" Corp","MIN_PIECE")/1000,""))</f>
        <v/>
      </c>
      <c r="N584" s="21">
        <f>IF($A584="","",_xll.BDP($A584&amp;" Corp","PX_LAST"))</f>
        <v/>
      </c>
      <c r="O584" s="21">
        <f>IF($A584="","",_xll.BDP($A584&amp;" Corp","YAS_BOND_YLD","YAS_YLD_FLAG=15"))</f>
        <v/>
      </c>
      <c r="P584" s="21">
        <f>IF($A584="","",_xll.BDP($A584&amp;" Corp","YAS_MOD_DUR"))</f>
        <v/>
      </c>
      <c r="Q584" s="22">
        <f>IF($A584="","",_xll.BDP($A584&amp;" Corp","YAS_OAS_SPRD"))</f>
        <v/>
      </c>
      <c r="R584" s="22">
        <f>IF($A584="","",_xll.BDP($A584&amp;" Corp","YAS_OAS_SPRD","SETTLE_DT",$B$2))</f>
        <v/>
      </c>
      <c r="S584" s="23">
        <f>IF($A584="","",IF(OR(NOT(ISNUMBER($Q584)),NOT(ISNUMBER($R584))),"",$Q584-$R584))</f>
        <v/>
      </c>
      <c r="T584" s="21">
        <f>IF($A584="","",_xll.BDP($A584&amp;" Corp","YAS_BOND_YLD","YAS_YLD_FLAG=15","SETTLE_DT",$B$2))</f>
        <v/>
      </c>
      <c r="U584" s="24">
        <f>IF($A584="","",IF(OR(NOT(ISNUMBER($O584)),NOT(ISNUMBER($T584))),"",$O584-$T584))</f>
        <v/>
      </c>
      <c r="V584" s="22">
        <f>IF(NOT(ISNUMBER($S584)),"",COUNTIFS($G$7:$G$850,$G584,$S$7:$S$850,"&gt;"&amp;$S584)+COUNTIFS($G$7:$G584,$G584,$S$7:$S584,$S584))</f>
        <v/>
      </c>
      <c r="W584" s="22">
        <f>IF(NOT(ISNUMBER($S584)),"",COUNTIFS($G$7:$G$850,$G584,$S$7:$S$850,"&lt;"&amp;$S584)+COUNTIFS($G$7:$G584,$G584,$S$7:$S584,$S584))</f>
        <v/>
      </c>
      <c r="X584" s="17">
        <f>IF($V584="","",$G584&amp;"|"&amp;$V584)</f>
        <v/>
      </c>
      <c r="Y584" s="17">
        <f>IF($W584="","",$G584&amp;"|"&amp;$W584)</f>
        <v/>
      </c>
    </row>
    <row r="585">
      <c r="A585" s="7" t="inlineStr">
        <is>
          <t>XS2153409029</t>
        </is>
      </c>
      <c r="B585" s="8">
        <f>IF($A585="","",PROPER(_xll.BDP($A585&amp;" Corp","NAME")))</f>
        <v/>
      </c>
      <c r="C585" s="8">
        <f>IF($A585="","",IFERROR(INDEX(Company_desc!$B$2:$B$1144,MATCH($A585,Company_desc!$A$2:$A$1144,0)),IFERROR(INDEX(SYZ_static!$Q$2:$Q$806,MATCH($A585,SYZ_static!$A$2:$A$806,0)),"")))</f>
        <v/>
      </c>
      <c r="D585" s="8">
        <f>IF($A585="","",IFERROR(INDEX(SYZ_static!$B$2:$B$806,MATCH($A585,SYZ_static!$A$2:$A$806,0)),""))</f>
        <v/>
      </c>
      <c r="E585" s="8">
        <f>IF($A585="","",_xll.BDP($A585&amp;" Corp","INDUSTRY_SECTOR"))</f>
        <v/>
      </c>
      <c r="F585" s="8">
        <f>IF($A585="","",PROPER(_xll.BDP($A585&amp;" Corp","COUNTRY_FULL_NAME")))</f>
        <v/>
      </c>
      <c r="G585" s="8">
        <f>IF($A585="","",_xll.BDP($A585&amp;" Corp","CRNCY"))</f>
        <v/>
      </c>
      <c r="H585" s="8">
        <f>IF($A585="","",IFERROR(INDEX(SYZ_static!$T$2:$T$806,MATCH($A585,SYZ_static!$A$2:$A$806,0)),_xll.BDP($A585&amp;" Corp","RTG_SP")))</f>
        <v/>
      </c>
      <c r="I585" s="8">
        <f>IF($A585="","",IFERROR(INDEX(SYZ_static!$S$2:$S$806,MATCH($A585,SYZ_static!$A$2:$A$806,0)),""))</f>
        <v/>
      </c>
      <c r="J585" s="8">
        <f>IF($A585="","",_xll.BDP($A585&amp;" Corp","PAYMENT_RANK"))</f>
        <v/>
      </c>
      <c r="K585" s="9">
        <f>IF($A585="","",_xll.BDP($A585&amp;" Corp","CPN"))</f>
        <v/>
      </c>
      <c r="L585" s="10">
        <f>IF($A585="","",_xll.BDP($A585&amp;" Corp","MATURITY"))</f>
        <v/>
      </c>
      <c r="M585" s="11">
        <f>IF($A585="","",IFERROR(_xll.BDP($A585&amp;" Corp","MIN_PIECE")/1000,""))</f>
        <v/>
      </c>
      <c r="N585" s="12">
        <f>IF($A585="","",_xll.BDP($A585&amp;" Corp","PX_LAST"))</f>
        <v/>
      </c>
      <c r="O585" s="12">
        <f>IF($A585="","",_xll.BDP($A585&amp;" Corp","YAS_BOND_YLD","YAS_YLD_FLAG=15"))</f>
        <v/>
      </c>
      <c r="P585" s="12">
        <f>IF($A585="","",_xll.BDP($A585&amp;" Corp","YAS_MOD_DUR"))</f>
        <v/>
      </c>
      <c r="Q585" s="13">
        <f>IF($A585="","",_xll.BDP($A585&amp;" Corp","YAS_OAS_SPRD"))</f>
        <v/>
      </c>
      <c r="R585" s="13">
        <f>IF($A585="","",_xll.BDP($A585&amp;" Corp","YAS_OAS_SPRD","SETTLE_DT",$B$2))</f>
        <v/>
      </c>
      <c r="S585" s="14">
        <f>IF($A585="","",IF(OR(NOT(ISNUMBER($Q585)),NOT(ISNUMBER($R585))),"",$Q585-$R585))</f>
        <v/>
      </c>
      <c r="T585" s="12">
        <f>IF($A585="","",_xll.BDP($A585&amp;" Corp","YAS_BOND_YLD","YAS_YLD_FLAG=15","SETTLE_DT",$B$2))</f>
        <v/>
      </c>
      <c r="U585" s="15">
        <f>IF($A585="","",IF(OR(NOT(ISNUMBER($O585)),NOT(ISNUMBER($T585))),"",$O585-$T585))</f>
        <v/>
      </c>
      <c r="V585" s="13">
        <f>IF(NOT(ISNUMBER($S585)),"",COUNTIFS($G$7:$G$850,$G585,$S$7:$S$850,"&gt;"&amp;$S585)+COUNTIFS($G$7:$G585,$G585,$S$7:$S585,$S585))</f>
        <v/>
      </c>
      <c r="W585" s="13">
        <f>IF(NOT(ISNUMBER($S585)),"",COUNTIFS($G$7:$G$850,$G585,$S$7:$S$850,"&lt;"&amp;$S585)+COUNTIFS($G$7:$G585,$G585,$S$7:$S585,$S585))</f>
        <v/>
      </c>
      <c r="X585" s="8">
        <f>IF($V585="","",$G585&amp;"|"&amp;$V585)</f>
        <v/>
      </c>
      <c r="Y585" s="8">
        <f>IF($W585="","",$G585&amp;"|"&amp;$W585)</f>
        <v/>
      </c>
    </row>
    <row r="586">
      <c r="A586" s="16" t="inlineStr">
        <is>
          <t>US219868CL83</t>
        </is>
      </c>
      <c r="B586" s="17">
        <f>IF($A586="","",PROPER(_xll.BDP($A586&amp;" Corp","NAME")))</f>
        <v/>
      </c>
      <c r="C586" s="17">
        <f>IF($A586="","",IFERROR(INDEX(Company_desc!$B$2:$B$1144,MATCH($A586,Company_desc!$A$2:$A$1144,0)),IFERROR(INDEX(SYZ_static!$Q$2:$Q$806,MATCH($A586,SYZ_static!$A$2:$A$806,0)),"")))</f>
        <v/>
      </c>
      <c r="D586" s="17">
        <f>IF($A586="","",IFERROR(INDEX(SYZ_static!$B$2:$B$806,MATCH($A586,SYZ_static!$A$2:$A$806,0)),""))</f>
        <v/>
      </c>
      <c r="E586" s="17">
        <f>IF($A586="","",_xll.BDP($A586&amp;" Corp","INDUSTRY_SECTOR"))</f>
        <v/>
      </c>
      <c r="F586" s="17">
        <f>IF($A586="","",PROPER(_xll.BDP($A586&amp;" Corp","COUNTRY_FULL_NAME")))</f>
        <v/>
      </c>
      <c r="G586" s="17">
        <f>IF($A586="","",_xll.BDP($A586&amp;" Corp","CRNCY"))</f>
        <v/>
      </c>
      <c r="H586" s="17">
        <f>IF($A586="","",IFERROR(INDEX(SYZ_static!$T$2:$T$806,MATCH($A586,SYZ_static!$A$2:$A$806,0)),_xll.BDP($A586&amp;" Corp","RTG_SP")))</f>
        <v/>
      </c>
      <c r="I586" s="17">
        <f>IF($A586="","",IFERROR(INDEX(SYZ_static!$S$2:$S$806,MATCH($A586,SYZ_static!$A$2:$A$806,0)),""))</f>
        <v/>
      </c>
      <c r="J586" s="17">
        <f>IF($A586="","",_xll.BDP($A586&amp;" Corp","PAYMENT_RANK"))</f>
        <v/>
      </c>
      <c r="K586" s="18">
        <f>IF($A586="","",_xll.BDP($A586&amp;" Corp","CPN"))</f>
        <v/>
      </c>
      <c r="L586" s="19">
        <f>IF($A586="","",_xll.BDP($A586&amp;" Corp","MATURITY"))</f>
        <v/>
      </c>
      <c r="M586" s="20">
        <f>IF($A586="","",IFERROR(_xll.BDP($A586&amp;" Corp","MIN_PIECE")/1000,""))</f>
        <v/>
      </c>
      <c r="N586" s="21">
        <f>IF($A586="","",_xll.BDP($A586&amp;" Corp","PX_LAST"))</f>
        <v/>
      </c>
      <c r="O586" s="21">
        <f>IF($A586="","",_xll.BDP($A586&amp;" Corp","YAS_BOND_YLD","YAS_YLD_FLAG=15"))</f>
        <v/>
      </c>
      <c r="P586" s="21">
        <f>IF($A586="","",_xll.BDP($A586&amp;" Corp","YAS_MOD_DUR"))</f>
        <v/>
      </c>
      <c r="Q586" s="22">
        <f>IF($A586="","",_xll.BDP($A586&amp;" Corp","YAS_OAS_SPRD"))</f>
        <v/>
      </c>
      <c r="R586" s="22">
        <f>IF($A586="","",_xll.BDP($A586&amp;" Corp","YAS_OAS_SPRD","SETTLE_DT",$B$2))</f>
        <v/>
      </c>
      <c r="S586" s="23">
        <f>IF($A586="","",IF(OR(NOT(ISNUMBER($Q586)),NOT(ISNUMBER($R586))),"",$Q586-$R586))</f>
        <v/>
      </c>
      <c r="T586" s="21">
        <f>IF($A586="","",_xll.BDP($A586&amp;" Corp","YAS_BOND_YLD","YAS_YLD_FLAG=15","SETTLE_DT",$B$2))</f>
        <v/>
      </c>
      <c r="U586" s="24">
        <f>IF($A586="","",IF(OR(NOT(ISNUMBER($O586)),NOT(ISNUMBER($T586))),"",$O586-$T586))</f>
        <v/>
      </c>
      <c r="V586" s="22">
        <f>IF(NOT(ISNUMBER($S586)),"",COUNTIFS($G$7:$G$850,$G586,$S$7:$S$850,"&gt;"&amp;$S586)+COUNTIFS($G$7:$G586,$G586,$S$7:$S586,$S586))</f>
        <v/>
      </c>
      <c r="W586" s="22">
        <f>IF(NOT(ISNUMBER($S586)),"",COUNTIFS($G$7:$G$850,$G586,$S$7:$S$850,"&lt;"&amp;$S586)+COUNTIFS($G$7:$G586,$G586,$S$7:$S586,$S586))</f>
        <v/>
      </c>
      <c r="X586" s="17">
        <f>IF($V586="","",$G586&amp;"|"&amp;$V586)</f>
        <v/>
      </c>
      <c r="Y586" s="17">
        <f>IF($W586="","",$G586&amp;"|"&amp;$W586)</f>
        <v/>
      </c>
    </row>
    <row r="587">
      <c r="A587" s="7" t="inlineStr">
        <is>
          <t>FR001400KJO0</t>
        </is>
      </c>
      <c r="B587" s="8">
        <f>IF($A587="","",PROPER(_xll.BDP($A587&amp;" Corp","NAME")))</f>
        <v/>
      </c>
      <c r="C587" s="8">
        <f>IF($A587="","",IFERROR(INDEX(Company_desc!$B$2:$B$1144,MATCH($A587,Company_desc!$A$2:$A$1144,0)),IFERROR(INDEX(SYZ_static!$Q$2:$Q$806,MATCH($A587,SYZ_static!$A$2:$A$806,0)),"")))</f>
        <v/>
      </c>
      <c r="D587" s="8">
        <f>IF($A587="","",IFERROR(INDEX(SYZ_static!$B$2:$B$806,MATCH($A587,SYZ_static!$A$2:$A$806,0)),""))</f>
        <v/>
      </c>
      <c r="E587" s="8">
        <f>IF($A587="","",_xll.BDP($A587&amp;" Corp","INDUSTRY_SECTOR"))</f>
        <v/>
      </c>
      <c r="F587" s="8">
        <f>IF($A587="","",PROPER(_xll.BDP($A587&amp;" Corp","COUNTRY_FULL_NAME")))</f>
        <v/>
      </c>
      <c r="G587" s="8">
        <f>IF($A587="","",_xll.BDP($A587&amp;" Corp","CRNCY"))</f>
        <v/>
      </c>
      <c r="H587" s="8">
        <f>IF($A587="","",IFERROR(INDEX(SYZ_static!$T$2:$T$806,MATCH($A587,SYZ_static!$A$2:$A$806,0)),_xll.BDP($A587&amp;" Corp","RTG_SP")))</f>
        <v/>
      </c>
      <c r="I587" s="8">
        <f>IF($A587="","",IFERROR(INDEX(SYZ_static!$S$2:$S$806,MATCH($A587,SYZ_static!$A$2:$A$806,0)),""))</f>
        <v/>
      </c>
      <c r="J587" s="8">
        <f>IF($A587="","",_xll.BDP($A587&amp;" Corp","PAYMENT_RANK"))</f>
        <v/>
      </c>
      <c r="K587" s="9">
        <f>IF($A587="","",_xll.BDP($A587&amp;" Corp","CPN"))</f>
        <v/>
      </c>
      <c r="L587" s="10">
        <f>IF($A587="","",_xll.BDP($A587&amp;" Corp","MATURITY"))</f>
        <v/>
      </c>
      <c r="M587" s="11">
        <f>IF($A587="","",IFERROR(_xll.BDP($A587&amp;" Corp","MIN_PIECE")/1000,""))</f>
        <v/>
      </c>
      <c r="N587" s="12">
        <f>IF($A587="","",_xll.BDP($A587&amp;" Corp","PX_LAST"))</f>
        <v/>
      </c>
      <c r="O587" s="12">
        <f>IF($A587="","",_xll.BDP($A587&amp;" Corp","YAS_BOND_YLD","YAS_YLD_FLAG=15"))</f>
        <v/>
      </c>
      <c r="P587" s="12">
        <f>IF($A587="","",_xll.BDP($A587&amp;" Corp","YAS_MOD_DUR"))</f>
        <v/>
      </c>
      <c r="Q587" s="13">
        <f>IF($A587="","",_xll.BDP($A587&amp;" Corp","YAS_OAS_SPRD"))</f>
        <v/>
      </c>
      <c r="R587" s="13">
        <f>IF($A587="","",_xll.BDP($A587&amp;" Corp","YAS_OAS_SPRD","SETTLE_DT",$B$2))</f>
        <v/>
      </c>
      <c r="S587" s="14">
        <f>IF($A587="","",IF(OR(NOT(ISNUMBER($Q587)),NOT(ISNUMBER($R587))),"",$Q587-$R587))</f>
        <v/>
      </c>
      <c r="T587" s="12">
        <f>IF($A587="","",_xll.BDP($A587&amp;" Corp","YAS_BOND_YLD","YAS_YLD_FLAG=15","SETTLE_DT",$B$2))</f>
        <v/>
      </c>
      <c r="U587" s="15">
        <f>IF($A587="","",IF(OR(NOT(ISNUMBER($O587)),NOT(ISNUMBER($T587))),"",$O587-$T587))</f>
        <v/>
      </c>
      <c r="V587" s="13">
        <f>IF(NOT(ISNUMBER($S587)),"",COUNTIFS($G$7:$G$850,$G587,$S$7:$S$850,"&gt;"&amp;$S587)+COUNTIFS($G$7:$G587,$G587,$S$7:$S587,$S587))</f>
        <v/>
      </c>
      <c r="W587" s="13">
        <f>IF(NOT(ISNUMBER($S587)),"",COUNTIFS($G$7:$G$850,$G587,$S$7:$S$850,"&lt;"&amp;$S587)+COUNTIFS($G$7:$G587,$G587,$S$7:$S587,$S587))</f>
        <v/>
      </c>
      <c r="X587" s="8">
        <f>IF($V587="","",$G587&amp;"|"&amp;$V587)</f>
        <v/>
      </c>
      <c r="Y587" s="8">
        <f>IF($W587="","",$G587&amp;"|"&amp;$W587)</f>
        <v/>
      </c>
    </row>
    <row r="588">
      <c r="A588" s="16" t="inlineStr">
        <is>
          <t>US88032XAN49</t>
        </is>
      </c>
      <c r="B588" s="17">
        <f>IF($A588="","",PROPER(_xll.BDP($A588&amp;" Corp","NAME")))</f>
        <v/>
      </c>
      <c r="C588" s="17">
        <f>IF($A588="","",IFERROR(INDEX(Company_desc!$B$2:$B$1144,MATCH($A588,Company_desc!$A$2:$A$1144,0)),IFERROR(INDEX(SYZ_static!$Q$2:$Q$806,MATCH($A588,SYZ_static!$A$2:$A$806,0)),"")))</f>
        <v/>
      </c>
      <c r="D588" s="17">
        <f>IF($A588="","",IFERROR(INDEX(SYZ_static!$B$2:$B$806,MATCH($A588,SYZ_static!$A$2:$A$806,0)),""))</f>
        <v/>
      </c>
      <c r="E588" s="17">
        <f>IF($A588="","",_xll.BDP($A588&amp;" Corp","INDUSTRY_SECTOR"))</f>
        <v/>
      </c>
      <c r="F588" s="17">
        <f>IF($A588="","",PROPER(_xll.BDP($A588&amp;" Corp","COUNTRY_FULL_NAME")))</f>
        <v/>
      </c>
      <c r="G588" s="17">
        <f>IF($A588="","",_xll.BDP($A588&amp;" Corp","CRNCY"))</f>
        <v/>
      </c>
      <c r="H588" s="17">
        <f>IF($A588="","",IFERROR(INDEX(SYZ_static!$T$2:$T$806,MATCH($A588,SYZ_static!$A$2:$A$806,0)),_xll.BDP($A588&amp;" Corp","RTG_SP")))</f>
        <v/>
      </c>
      <c r="I588" s="17">
        <f>IF($A588="","",IFERROR(INDEX(SYZ_static!$S$2:$S$806,MATCH($A588,SYZ_static!$A$2:$A$806,0)),""))</f>
        <v/>
      </c>
      <c r="J588" s="17">
        <f>IF($A588="","",_xll.BDP($A588&amp;" Corp","PAYMENT_RANK"))</f>
        <v/>
      </c>
      <c r="K588" s="18">
        <f>IF($A588="","",_xll.BDP($A588&amp;" Corp","CPN"))</f>
        <v/>
      </c>
      <c r="L588" s="19">
        <f>IF($A588="","",_xll.BDP($A588&amp;" Corp","MATURITY"))</f>
        <v/>
      </c>
      <c r="M588" s="20">
        <f>IF($A588="","",IFERROR(_xll.BDP($A588&amp;" Corp","MIN_PIECE")/1000,""))</f>
        <v/>
      </c>
      <c r="N588" s="21">
        <f>IF($A588="","",_xll.BDP($A588&amp;" Corp","PX_LAST"))</f>
        <v/>
      </c>
      <c r="O588" s="21">
        <f>IF($A588="","",_xll.BDP($A588&amp;" Corp","YAS_BOND_YLD","YAS_YLD_FLAG=15"))</f>
        <v/>
      </c>
      <c r="P588" s="21">
        <f>IF($A588="","",_xll.BDP($A588&amp;" Corp","YAS_MOD_DUR"))</f>
        <v/>
      </c>
      <c r="Q588" s="22">
        <f>IF($A588="","",_xll.BDP($A588&amp;" Corp","YAS_OAS_SPRD"))</f>
        <v/>
      </c>
      <c r="R588" s="22">
        <f>IF($A588="","",_xll.BDP($A588&amp;" Corp","YAS_OAS_SPRD","SETTLE_DT",$B$2))</f>
        <v/>
      </c>
      <c r="S588" s="23">
        <f>IF($A588="","",IF(OR(NOT(ISNUMBER($Q588)),NOT(ISNUMBER($R588))),"",$Q588-$R588))</f>
        <v/>
      </c>
      <c r="T588" s="21">
        <f>IF($A588="","",_xll.BDP($A588&amp;" Corp","YAS_BOND_YLD","YAS_YLD_FLAG=15","SETTLE_DT",$B$2))</f>
        <v/>
      </c>
      <c r="U588" s="24">
        <f>IF($A588="","",IF(OR(NOT(ISNUMBER($O588)),NOT(ISNUMBER($T588))),"",$O588-$T588))</f>
        <v/>
      </c>
      <c r="V588" s="22">
        <f>IF(NOT(ISNUMBER($S588)),"",COUNTIFS($G$7:$G$850,$G588,$S$7:$S$850,"&gt;"&amp;$S588)+COUNTIFS($G$7:$G588,$G588,$S$7:$S588,$S588))</f>
        <v/>
      </c>
      <c r="W588" s="22">
        <f>IF(NOT(ISNUMBER($S588)),"",COUNTIFS($G$7:$G$850,$G588,$S$7:$S$850,"&lt;"&amp;$S588)+COUNTIFS($G$7:$G588,$G588,$S$7:$S588,$S588))</f>
        <v/>
      </c>
      <c r="X588" s="17">
        <f>IF($V588="","",$G588&amp;"|"&amp;$V588)</f>
        <v/>
      </c>
      <c r="Y588" s="17">
        <f>IF($W588="","",$G588&amp;"|"&amp;$W588)</f>
        <v/>
      </c>
    </row>
    <row r="589">
      <c r="A589" s="7" t="inlineStr">
        <is>
          <t>USU75091AT28</t>
        </is>
      </c>
      <c r="B589" s="8">
        <f>IF($A589="","",PROPER(_xll.BDP($A589&amp;" Corp","NAME")))</f>
        <v/>
      </c>
      <c r="C589" s="8">
        <f>IF($A589="","",IFERROR(INDEX(Company_desc!$B$2:$B$1144,MATCH($A589,Company_desc!$A$2:$A$1144,0)),IFERROR(INDEX(SYZ_static!$Q$2:$Q$806,MATCH($A589,SYZ_static!$A$2:$A$806,0)),"")))</f>
        <v/>
      </c>
      <c r="D589" s="8">
        <f>IF($A589="","",IFERROR(INDEX(SYZ_static!$B$2:$B$806,MATCH($A589,SYZ_static!$A$2:$A$806,0)),""))</f>
        <v/>
      </c>
      <c r="E589" s="8">
        <f>IF($A589="","",_xll.BDP($A589&amp;" Corp","INDUSTRY_SECTOR"))</f>
        <v/>
      </c>
      <c r="F589" s="8">
        <f>IF($A589="","",PROPER(_xll.BDP($A589&amp;" Corp","COUNTRY_FULL_NAME")))</f>
        <v/>
      </c>
      <c r="G589" s="8">
        <f>IF($A589="","",_xll.BDP($A589&amp;" Corp","CRNCY"))</f>
        <v/>
      </c>
      <c r="H589" s="8">
        <f>IF($A589="","",IFERROR(INDEX(SYZ_static!$T$2:$T$806,MATCH($A589,SYZ_static!$A$2:$A$806,0)),_xll.BDP($A589&amp;" Corp","RTG_SP")))</f>
        <v/>
      </c>
      <c r="I589" s="8">
        <f>IF($A589="","",IFERROR(INDEX(SYZ_static!$S$2:$S$806,MATCH($A589,SYZ_static!$A$2:$A$806,0)),""))</f>
        <v/>
      </c>
      <c r="J589" s="8">
        <f>IF($A589="","",_xll.BDP($A589&amp;" Corp","PAYMENT_RANK"))</f>
        <v/>
      </c>
      <c r="K589" s="9">
        <f>IF($A589="","",_xll.BDP($A589&amp;" Corp","CPN"))</f>
        <v/>
      </c>
      <c r="L589" s="10">
        <f>IF($A589="","",_xll.BDP($A589&amp;" Corp","MATURITY"))</f>
        <v/>
      </c>
      <c r="M589" s="11">
        <f>IF($A589="","",IFERROR(_xll.BDP($A589&amp;" Corp","MIN_PIECE")/1000,""))</f>
        <v/>
      </c>
      <c r="N589" s="12">
        <f>IF($A589="","",_xll.BDP($A589&amp;" Corp","PX_LAST"))</f>
        <v/>
      </c>
      <c r="O589" s="12">
        <f>IF($A589="","",_xll.BDP($A589&amp;" Corp","YAS_BOND_YLD","YAS_YLD_FLAG=15"))</f>
        <v/>
      </c>
      <c r="P589" s="12">
        <f>IF($A589="","",_xll.BDP($A589&amp;" Corp","YAS_MOD_DUR"))</f>
        <v/>
      </c>
      <c r="Q589" s="13">
        <f>IF($A589="","",_xll.BDP($A589&amp;" Corp","YAS_OAS_SPRD"))</f>
        <v/>
      </c>
      <c r="R589" s="13">
        <f>IF($A589="","",_xll.BDP($A589&amp;" Corp","YAS_OAS_SPRD","SETTLE_DT",$B$2))</f>
        <v/>
      </c>
      <c r="S589" s="14">
        <f>IF($A589="","",IF(OR(NOT(ISNUMBER($Q589)),NOT(ISNUMBER($R589))),"",$Q589-$R589))</f>
        <v/>
      </c>
      <c r="T589" s="12">
        <f>IF($A589="","",_xll.BDP($A589&amp;" Corp","YAS_BOND_YLD","YAS_YLD_FLAG=15","SETTLE_DT",$B$2))</f>
        <v/>
      </c>
      <c r="U589" s="15">
        <f>IF($A589="","",IF(OR(NOT(ISNUMBER($O589)),NOT(ISNUMBER($T589))),"",$O589-$T589))</f>
        <v/>
      </c>
      <c r="V589" s="13">
        <f>IF(NOT(ISNUMBER($S589)),"",COUNTIFS($G$7:$G$850,$G589,$S$7:$S$850,"&gt;"&amp;$S589)+COUNTIFS($G$7:$G589,$G589,$S$7:$S589,$S589))</f>
        <v/>
      </c>
      <c r="W589" s="13">
        <f>IF(NOT(ISNUMBER($S589)),"",COUNTIFS($G$7:$G$850,$G589,$S$7:$S$850,"&lt;"&amp;$S589)+COUNTIFS($G$7:$G589,$G589,$S$7:$S589,$S589))</f>
        <v/>
      </c>
      <c r="X589" s="8">
        <f>IF($V589="","",$G589&amp;"|"&amp;$V589)</f>
        <v/>
      </c>
      <c r="Y589" s="8">
        <f>IF($W589="","",$G589&amp;"|"&amp;$W589)</f>
        <v/>
      </c>
    </row>
    <row r="590">
      <c r="A590" s="16" t="inlineStr">
        <is>
          <t>US71647NAQ25</t>
        </is>
      </c>
      <c r="B590" s="17">
        <f>IF($A590="","",PROPER(_xll.BDP($A590&amp;" Corp","NAME")))</f>
        <v/>
      </c>
      <c r="C590" s="17">
        <f>IF($A590="","",IFERROR(INDEX(Company_desc!$B$2:$B$1144,MATCH($A590,Company_desc!$A$2:$A$1144,0)),IFERROR(INDEX(SYZ_static!$Q$2:$Q$806,MATCH($A590,SYZ_static!$A$2:$A$806,0)),"")))</f>
        <v/>
      </c>
      <c r="D590" s="17">
        <f>IF($A590="","",IFERROR(INDEX(SYZ_static!$B$2:$B$806,MATCH($A590,SYZ_static!$A$2:$A$806,0)),""))</f>
        <v/>
      </c>
      <c r="E590" s="17">
        <f>IF($A590="","",_xll.BDP($A590&amp;" Corp","INDUSTRY_SECTOR"))</f>
        <v/>
      </c>
      <c r="F590" s="17">
        <f>IF($A590="","",PROPER(_xll.BDP($A590&amp;" Corp","COUNTRY_FULL_NAME")))</f>
        <v/>
      </c>
      <c r="G590" s="17">
        <f>IF($A590="","",_xll.BDP($A590&amp;" Corp","CRNCY"))</f>
        <v/>
      </c>
      <c r="H590" s="17">
        <f>IF($A590="","",IFERROR(INDEX(SYZ_static!$T$2:$T$806,MATCH($A590,SYZ_static!$A$2:$A$806,0)),_xll.BDP($A590&amp;" Corp","RTG_SP")))</f>
        <v/>
      </c>
      <c r="I590" s="17">
        <f>IF($A590="","",IFERROR(INDEX(SYZ_static!$S$2:$S$806,MATCH($A590,SYZ_static!$A$2:$A$806,0)),""))</f>
        <v/>
      </c>
      <c r="J590" s="17">
        <f>IF($A590="","",_xll.BDP($A590&amp;" Corp","PAYMENT_RANK"))</f>
        <v/>
      </c>
      <c r="K590" s="18">
        <f>IF($A590="","",_xll.BDP($A590&amp;" Corp","CPN"))</f>
        <v/>
      </c>
      <c r="L590" s="19">
        <f>IF($A590="","",_xll.BDP($A590&amp;" Corp","MATURITY"))</f>
        <v/>
      </c>
      <c r="M590" s="20">
        <f>IF($A590="","",IFERROR(_xll.BDP($A590&amp;" Corp","MIN_PIECE")/1000,""))</f>
        <v/>
      </c>
      <c r="N590" s="21">
        <f>IF($A590="","",_xll.BDP($A590&amp;" Corp","PX_LAST"))</f>
        <v/>
      </c>
      <c r="O590" s="21">
        <f>IF($A590="","",_xll.BDP($A590&amp;" Corp","YAS_BOND_YLD","YAS_YLD_FLAG=15"))</f>
        <v/>
      </c>
      <c r="P590" s="21">
        <f>IF($A590="","",_xll.BDP($A590&amp;" Corp","YAS_MOD_DUR"))</f>
        <v/>
      </c>
      <c r="Q590" s="22">
        <f>IF($A590="","",_xll.BDP($A590&amp;" Corp","YAS_OAS_SPRD"))</f>
        <v/>
      </c>
      <c r="R590" s="22">
        <f>IF($A590="","",_xll.BDP($A590&amp;" Corp","YAS_OAS_SPRD","SETTLE_DT",$B$2))</f>
        <v/>
      </c>
      <c r="S590" s="23">
        <f>IF($A590="","",IF(OR(NOT(ISNUMBER($Q590)),NOT(ISNUMBER($R590))),"",$Q590-$R590))</f>
        <v/>
      </c>
      <c r="T590" s="21">
        <f>IF($A590="","",_xll.BDP($A590&amp;" Corp","YAS_BOND_YLD","YAS_YLD_FLAG=15","SETTLE_DT",$B$2))</f>
        <v/>
      </c>
      <c r="U590" s="24">
        <f>IF($A590="","",IF(OR(NOT(ISNUMBER($O590)),NOT(ISNUMBER($T590))),"",$O590-$T590))</f>
        <v/>
      </c>
      <c r="V590" s="22">
        <f>IF(NOT(ISNUMBER($S590)),"",COUNTIFS($G$7:$G$850,$G590,$S$7:$S$850,"&gt;"&amp;$S590)+COUNTIFS($G$7:$G590,$G590,$S$7:$S590,$S590))</f>
        <v/>
      </c>
      <c r="W590" s="22">
        <f>IF(NOT(ISNUMBER($S590)),"",COUNTIFS($G$7:$G$850,$G590,$S$7:$S$850,"&lt;"&amp;$S590)+COUNTIFS($G$7:$G590,$G590,$S$7:$S590,$S590))</f>
        <v/>
      </c>
      <c r="X590" s="17">
        <f>IF($V590="","",$G590&amp;"|"&amp;$V590)</f>
        <v/>
      </c>
      <c r="Y590" s="17">
        <f>IF($W590="","",$G590&amp;"|"&amp;$W590)</f>
        <v/>
      </c>
    </row>
    <row r="591">
      <c r="A591" s="7" t="inlineStr">
        <is>
          <t>US716973AD41</t>
        </is>
      </c>
      <c r="B591" s="8">
        <f>IF($A591="","",PROPER(_xll.BDP($A591&amp;" Corp","NAME")))</f>
        <v/>
      </c>
      <c r="C591" s="8">
        <f>IF($A591="","",IFERROR(INDEX(Company_desc!$B$2:$B$1144,MATCH($A591,Company_desc!$A$2:$A$1144,0)),IFERROR(INDEX(SYZ_static!$Q$2:$Q$806,MATCH($A591,SYZ_static!$A$2:$A$806,0)),"")))</f>
        <v/>
      </c>
      <c r="D591" s="8">
        <f>IF($A591="","",IFERROR(INDEX(SYZ_static!$B$2:$B$806,MATCH($A591,SYZ_static!$A$2:$A$806,0)),""))</f>
        <v/>
      </c>
      <c r="E591" s="8">
        <f>IF($A591="","",_xll.BDP($A591&amp;" Corp","INDUSTRY_SECTOR"))</f>
        <v/>
      </c>
      <c r="F591" s="8">
        <f>IF($A591="","",PROPER(_xll.BDP($A591&amp;" Corp","COUNTRY_FULL_NAME")))</f>
        <v/>
      </c>
      <c r="G591" s="8">
        <f>IF($A591="","",_xll.BDP($A591&amp;" Corp","CRNCY"))</f>
        <v/>
      </c>
      <c r="H591" s="8">
        <f>IF($A591="","",IFERROR(INDEX(SYZ_static!$T$2:$T$806,MATCH($A591,SYZ_static!$A$2:$A$806,0)),_xll.BDP($A591&amp;" Corp","RTG_SP")))</f>
        <v/>
      </c>
      <c r="I591" s="8">
        <f>IF($A591="","",IFERROR(INDEX(SYZ_static!$S$2:$S$806,MATCH($A591,SYZ_static!$A$2:$A$806,0)),""))</f>
        <v/>
      </c>
      <c r="J591" s="8">
        <f>IF($A591="","",_xll.BDP($A591&amp;" Corp","PAYMENT_RANK"))</f>
        <v/>
      </c>
      <c r="K591" s="9">
        <f>IF($A591="","",_xll.BDP($A591&amp;" Corp","CPN"))</f>
        <v/>
      </c>
      <c r="L591" s="10">
        <f>IF($A591="","",_xll.BDP($A591&amp;" Corp","MATURITY"))</f>
        <v/>
      </c>
      <c r="M591" s="11">
        <f>IF($A591="","",IFERROR(_xll.BDP($A591&amp;" Corp","MIN_PIECE")/1000,""))</f>
        <v/>
      </c>
      <c r="N591" s="12">
        <f>IF($A591="","",_xll.BDP($A591&amp;" Corp","PX_LAST"))</f>
        <v/>
      </c>
      <c r="O591" s="12">
        <f>IF($A591="","",_xll.BDP($A591&amp;" Corp","YAS_BOND_YLD","YAS_YLD_FLAG=15"))</f>
        <v/>
      </c>
      <c r="P591" s="12">
        <f>IF($A591="","",_xll.BDP($A591&amp;" Corp","YAS_MOD_DUR"))</f>
        <v/>
      </c>
      <c r="Q591" s="13">
        <f>IF($A591="","",_xll.BDP($A591&amp;" Corp","YAS_OAS_SPRD"))</f>
        <v/>
      </c>
      <c r="R591" s="13">
        <f>IF($A591="","",_xll.BDP($A591&amp;" Corp","YAS_OAS_SPRD","SETTLE_DT",$B$2))</f>
        <v/>
      </c>
      <c r="S591" s="14">
        <f>IF($A591="","",IF(OR(NOT(ISNUMBER($Q591)),NOT(ISNUMBER($R591))),"",$Q591-$R591))</f>
        <v/>
      </c>
      <c r="T591" s="12">
        <f>IF($A591="","",_xll.BDP($A591&amp;" Corp","YAS_BOND_YLD","YAS_YLD_FLAG=15","SETTLE_DT",$B$2))</f>
        <v/>
      </c>
      <c r="U591" s="15">
        <f>IF($A591="","",IF(OR(NOT(ISNUMBER($O591)),NOT(ISNUMBER($T591))),"",$O591-$T591))</f>
        <v/>
      </c>
      <c r="V591" s="13">
        <f>IF(NOT(ISNUMBER($S591)),"",COUNTIFS($G$7:$G$850,$G591,$S$7:$S$850,"&gt;"&amp;$S591)+COUNTIFS($G$7:$G591,$G591,$S$7:$S591,$S591))</f>
        <v/>
      </c>
      <c r="W591" s="13">
        <f>IF(NOT(ISNUMBER($S591)),"",COUNTIFS($G$7:$G$850,$G591,$S$7:$S$850,"&lt;"&amp;$S591)+COUNTIFS($G$7:$G591,$G591,$S$7:$S591,$S591))</f>
        <v/>
      </c>
      <c r="X591" s="8">
        <f>IF($V591="","",$G591&amp;"|"&amp;$V591)</f>
        <v/>
      </c>
      <c r="Y591" s="8">
        <f>IF($W591="","",$G591&amp;"|"&amp;$W591)</f>
        <v/>
      </c>
    </row>
    <row r="592">
      <c r="A592" s="16" t="inlineStr">
        <is>
          <t>XS2576245281</t>
        </is>
      </c>
      <c r="B592" s="17">
        <f>IF($A592="","",PROPER(_xll.BDP($A592&amp;" Corp","NAME")))</f>
        <v/>
      </c>
      <c r="C592" s="17">
        <f>IF($A592="","",IFERROR(INDEX(Company_desc!$B$2:$B$1144,MATCH($A592,Company_desc!$A$2:$A$1144,0)),IFERROR(INDEX(SYZ_static!$Q$2:$Q$806,MATCH($A592,SYZ_static!$A$2:$A$806,0)),"")))</f>
        <v/>
      </c>
      <c r="D592" s="17">
        <f>IF($A592="","",IFERROR(INDEX(SYZ_static!$B$2:$B$806,MATCH($A592,SYZ_static!$A$2:$A$806,0)),""))</f>
        <v/>
      </c>
      <c r="E592" s="17">
        <f>IF($A592="","",_xll.BDP($A592&amp;" Corp","INDUSTRY_SECTOR"))</f>
        <v/>
      </c>
      <c r="F592" s="17">
        <f>IF($A592="","",PROPER(_xll.BDP($A592&amp;" Corp","COUNTRY_FULL_NAME")))</f>
        <v/>
      </c>
      <c r="G592" s="17">
        <f>IF($A592="","",_xll.BDP($A592&amp;" Corp","CRNCY"))</f>
        <v/>
      </c>
      <c r="H592" s="17">
        <f>IF($A592="","",IFERROR(INDEX(SYZ_static!$T$2:$T$806,MATCH($A592,SYZ_static!$A$2:$A$806,0)),_xll.BDP($A592&amp;" Corp","RTG_SP")))</f>
        <v/>
      </c>
      <c r="I592" s="17">
        <f>IF($A592="","",IFERROR(INDEX(SYZ_static!$S$2:$S$806,MATCH($A592,SYZ_static!$A$2:$A$806,0)),""))</f>
        <v/>
      </c>
      <c r="J592" s="17">
        <f>IF($A592="","",_xll.BDP($A592&amp;" Corp","PAYMENT_RANK"))</f>
        <v/>
      </c>
      <c r="K592" s="18">
        <f>IF($A592="","",_xll.BDP($A592&amp;" Corp","CPN"))</f>
        <v/>
      </c>
      <c r="L592" s="19">
        <f>IF($A592="","",_xll.BDP($A592&amp;" Corp","MATURITY"))</f>
        <v/>
      </c>
      <c r="M592" s="20">
        <f>IF($A592="","",IFERROR(_xll.BDP($A592&amp;" Corp","MIN_PIECE")/1000,""))</f>
        <v/>
      </c>
      <c r="N592" s="21">
        <f>IF($A592="","",_xll.BDP($A592&amp;" Corp","PX_LAST"))</f>
        <v/>
      </c>
      <c r="O592" s="21">
        <f>IF($A592="","",_xll.BDP($A592&amp;" Corp","YAS_BOND_YLD","YAS_YLD_FLAG=15"))</f>
        <v/>
      </c>
      <c r="P592" s="21">
        <f>IF($A592="","",_xll.BDP($A592&amp;" Corp","YAS_MOD_DUR"))</f>
        <v/>
      </c>
      <c r="Q592" s="22">
        <f>IF($A592="","",_xll.BDP($A592&amp;" Corp","YAS_OAS_SPRD"))</f>
        <v/>
      </c>
      <c r="R592" s="22">
        <f>IF($A592="","",_xll.BDP($A592&amp;" Corp","YAS_OAS_SPRD","SETTLE_DT",$B$2))</f>
        <v/>
      </c>
      <c r="S592" s="23">
        <f>IF($A592="","",IF(OR(NOT(ISNUMBER($Q592)),NOT(ISNUMBER($R592))),"",$Q592-$R592))</f>
        <v/>
      </c>
      <c r="T592" s="21">
        <f>IF($A592="","",_xll.BDP($A592&amp;" Corp","YAS_BOND_YLD","YAS_YLD_FLAG=15","SETTLE_DT",$B$2))</f>
        <v/>
      </c>
      <c r="U592" s="24">
        <f>IF($A592="","",IF(OR(NOT(ISNUMBER($O592)),NOT(ISNUMBER($T592))),"",$O592-$T592))</f>
        <v/>
      </c>
      <c r="V592" s="22">
        <f>IF(NOT(ISNUMBER($S592)),"",COUNTIFS($G$7:$G$850,$G592,$S$7:$S$850,"&gt;"&amp;$S592)+COUNTIFS($G$7:$G592,$G592,$S$7:$S592,$S592))</f>
        <v/>
      </c>
      <c r="W592" s="22">
        <f>IF(NOT(ISNUMBER($S592)),"",COUNTIFS($G$7:$G$850,$G592,$S$7:$S$850,"&lt;"&amp;$S592)+COUNTIFS($G$7:$G592,$G592,$S$7:$S592,$S592))</f>
        <v/>
      </c>
      <c r="X592" s="17">
        <f>IF($V592="","",$G592&amp;"|"&amp;$V592)</f>
        <v/>
      </c>
      <c r="Y592" s="17">
        <f>IF($W592="","",$G592&amp;"|"&amp;$W592)</f>
        <v/>
      </c>
    </row>
    <row r="593">
      <c r="A593" s="7" t="inlineStr">
        <is>
          <t>XS2696046460</t>
        </is>
      </c>
      <c r="B593" s="8">
        <f>IF($A593="","",PROPER(_xll.BDP($A593&amp;" Corp","NAME")))</f>
        <v/>
      </c>
      <c r="C593" s="8">
        <f>IF($A593="","",IFERROR(INDEX(Company_desc!$B$2:$B$1144,MATCH($A593,Company_desc!$A$2:$A$1144,0)),IFERROR(INDEX(SYZ_static!$Q$2:$Q$806,MATCH($A593,SYZ_static!$A$2:$A$806,0)),"")))</f>
        <v/>
      </c>
      <c r="D593" s="8">
        <f>IF($A593="","",IFERROR(INDEX(SYZ_static!$B$2:$B$806,MATCH($A593,SYZ_static!$A$2:$A$806,0)),""))</f>
        <v/>
      </c>
      <c r="E593" s="8">
        <f>IF($A593="","",_xll.BDP($A593&amp;" Corp","INDUSTRY_SECTOR"))</f>
        <v/>
      </c>
      <c r="F593" s="8">
        <f>IF($A593="","",PROPER(_xll.BDP($A593&amp;" Corp","COUNTRY_FULL_NAME")))</f>
        <v/>
      </c>
      <c r="G593" s="8">
        <f>IF($A593="","",_xll.BDP($A593&amp;" Corp","CRNCY"))</f>
        <v/>
      </c>
      <c r="H593" s="8">
        <f>IF($A593="","",IFERROR(INDEX(SYZ_static!$T$2:$T$806,MATCH($A593,SYZ_static!$A$2:$A$806,0)),_xll.BDP($A593&amp;" Corp","RTG_SP")))</f>
        <v/>
      </c>
      <c r="I593" s="8">
        <f>IF($A593="","",IFERROR(INDEX(SYZ_static!$S$2:$S$806,MATCH($A593,SYZ_static!$A$2:$A$806,0)),""))</f>
        <v/>
      </c>
      <c r="J593" s="8">
        <f>IF($A593="","",_xll.BDP($A593&amp;" Corp","PAYMENT_RANK"))</f>
        <v/>
      </c>
      <c r="K593" s="9">
        <f>IF($A593="","",_xll.BDP($A593&amp;" Corp","CPN"))</f>
        <v/>
      </c>
      <c r="L593" s="10">
        <f>IF($A593="","",_xll.BDP($A593&amp;" Corp","MATURITY"))</f>
        <v/>
      </c>
      <c r="M593" s="11">
        <f>IF($A593="","",IFERROR(_xll.BDP($A593&amp;" Corp","MIN_PIECE")/1000,""))</f>
        <v/>
      </c>
      <c r="N593" s="12">
        <f>IF($A593="","",_xll.BDP($A593&amp;" Corp","PX_LAST"))</f>
        <v/>
      </c>
      <c r="O593" s="12">
        <f>IF($A593="","",_xll.BDP($A593&amp;" Corp","YAS_BOND_YLD","YAS_YLD_FLAG=15"))</f>
        <v/>
      </c>
      <c r="P593" s="12">
        <f>IF($A593="","",_xll.BDP($A593&amp;" Corp","YAS_MOD_DUR"))</f>
        <v/>
      </c>
      <c r="Q593" s="13">
        <f>IF($A593="","",_xll.BDP($A593&amp;" Corp","YAS_OAS_SPRD"))</f>
        <v/>
      </c>
      <c r="R593" s="13">
        <f>IF($A593="","",_xll.BDP($A593&amp;" Corp","YAS_OAS_SPRD","SETTLE_DT",$B$2))</f>
        <v/>
      </c>
      <c r="S593" s="14">
        <f>IF($A593="","",IF(OR(NOT(ISNUMBER($Q593)),NOT(ISNUMBER($R593))),"",$Q593-$R593))</f>
        <v/>
      </c>
      <c r="T593" s="12">
        <f>IF($A593="","",_xll.BDP($A593&amp;" Corp","YAS_BOND_YLD","YAS_YLD_FLAG=15","SETTLE_DT",$B$2))</f>
        <v/>
      </c>
      <c r="U593" s="15">
        <f>IF($A593="","",IF(OR(NOT(ISNUMBER($O593)),NOT(ISNUMBER($T593))),"",$O593-$T593))</f>
        <v/>
      </c>
      <c r="V593" s="13">
        <f>IF(NOT(ISNUMBER($S593)),"",COUNTIFS($G$7:$G$850,$G593,$S$7:$S$850,"&gt;"&amp;$S593)+COUNTIFS($G$7:$G593,$G593,$S$7:$S593,$S593))</f>
        <v/>
      </c>
      <c r="W593" s="13">
        <f>IF(NOT(ISNUMBER($S593)),"",COUNTIFS($G$7:$G$850,$G593,$S$7:$S$850,"&lt;"&amp;$S593)+COUNTIFS($G$7:$G593,$G593,$S$7:$S593,$S593))</f>
        <v/>
      </c>
      <c r="X593" s="8">
        <f>IF($V593="","",$G593&amp;"|"&amp;$V593)</f>
        <v/>
      </c>
      <c r="Y593" s="8">
        <f>IF($W593="","",$G593&amp;"|"&amp;$W593)</f>
        <v/>
      </c>
    </row>
    <row r="594">
      <c r="A594" s="16" t="inlineStr">
        <is>
          <t>XS1617830721</t>
        </is>
      </c>
      <c r="B594" s="17">
        <f>IF($A594="","",PROPER(_xll.BDP($A594&amp;" Corp","NAME")))</f>
        <v/>
      </c>
      <c r="C594" s="17">
        <f>IF($A594="","",IFERROR(INDEX(Company_desc!$B$2:$B$1144,MATCH($A594,Company_desc!$A$2:$A$1144,0)),IFERROR(INDEX(SYZ_static!$Q$2:$Q$806,MATCH($A594,SYZ_static!$A$2:$A$806,0)),"")))</f>
        <v/>
      </c>
      <c r="D594" s="17">
        <f>IF($A594="","",IFERROR(INDEX(SYZ_static!$B$2:$B$806,MATCH($A594,SYZ_static!$A$2:$A$806,0)),""))</f>
        <v/>
      </c>
      <c r="E594" s="17">
        <f>IF($A594="","",_xll.BDP($A594&amp;" Corp","INDUSTRY_SECTOR"))</f>
        <v/>
      </c>
      <c r="F594" s="17">
        <f>IF($A594="","",PROPER(_xll.BDP($A594&amp;" Corp","COUNTRY_FULL_NAME")))</f>
        <v/>
      </c>
      <c r="G594" s="17">
        <f>IF($A594="","",_xll.BDP($A594&amp;" Corp","CRNCY"))</f>
        <v/>
      </c>
      <c r="H594" s="17">
        <f>IF($A594="","",IFERROR(INDEX(SYZ_static!$T$2:$T$806,MATCH($A594,SYZ_static!$A$2:$A$806,0)),_xll.BDP($A594&amp;" Corp","RTG_SP")))</f>
        <v/>
      </c>
      <c r="I594" s="17">
        <f>IF($A594="","",IFERROR(INDEX(SYZ_static!$S$2:$S$806,MATCH($A594,SYZ_static!$A$2:$A$806,0)),""))</f>
        <v/>
      </c>
      <c r="J594" s="17">
        <f>IF($A594="","",_xll.BDP($A594&amp;" Corp","PAYMENT_RANK"))</f>
        <v/>
      </c>
      <c r="K594" s="18">
        <f>IF($A594="","",_xll.BDP($A594&amp;" Corp","CPN"))</f>
        <v/>
      </c>
      <c r="L594" s="19">
        <f>IF($A594="","",_xll.BDP($A594&amp;" Corp","MATURITY"))</f>
        <v/>
      </c>
      <c r="M594" s="20">
        <f>IF($A594="","",IFERROR(_xll.BDP($A594&amp;" Corp","MIN_PIECE")/1000,""))</f>
        <v/>
      </c>
      <c r="N594" s="21">
        <f>IF($A594="","",_xll.BDP($A594&amp;" Corp","PX_LAST"))</f>
        <v/>
      </c>
      <c r="O594" s="21">
        <f>IF($A594="","",_xll.BDP($A594&amp;" Corp","YAS_BOND_YLD","YAS_YLD_FLAG=15"))</f>
        <v/>
      </c>
      <c r="P594" s="21">
        <f>IF($A594="","",_xll.BDP($A594&amp;" Corp","YAS_MOD_DUR"))</f>
        <v/>
      </c>
      <c r="Q594" s="22">
        <f>IF($A594="","",_xll.BDP($A594&amp;" Corp","YAS_OAS_SPRD"))</f>
        <v/>
      </c>
      <c r="R594" s="22">
        <f>IF($A594="","",_xll.BDP($A594&amp;" Corp","YAS_OAS_SPRD","SETTLE_DT",$B$2))</f>
        <v/>
      </c>
      <c r="S594" s="23">
        <f>IF($A594="","",IF(OR(NOT(ISNUMBER($Q594)),NOT(ISNUMBER($R594))),"",$Q594-$R594))</f>
        <v/>
      </c>
      <c r="T594" s="21">
        <f>IF($A594="","",_xll.BDP($A594&amp;" Corp","YAS_BOND_YLD","YAS_YLD_FLAG=15","SETTLE_DT",$B$2))</f>
        <v/>
      </c>
      <c r="U594" s="24">
        <f>IF($A594="","",IF(OR(NOT(ISNUMBER($O594)),NOT(ISNUMBER($T594))),"",$O594-$T594))</f>
        <v/>
      </c>
      <c r="V594" s="22">
        <f>IF(NOT(ISNUMBER($S594)),"",COUNTIFS($G$7:$G$850,$G594,$S$7:$S$850,"&gt;"&amp;$S594)+COUNTIFS($G$7:$G594,$G594,$S$7:$S594,$S594))</f>
        <v/>
      </c>
      <c r="W594" s="22">
        <f>IF(NOT(ISNUMBER($S594)),"",COUNTIFS($G$7:$G$850,$G594,$S$7:$S$850,"&lt;"&amp;$S594)+COUNTIFS($G$7:$G594,$G594,$S$7:$S594,$S594))</f>
        <v/>
      </c>
      <c r="X594" s="17">
        <f>IF($V594="","",$G594&amp;"|"&amp;$V594)</f>
        <v/>
      </c>
      <c r="Y594" s="17">
        <f>IF($W594="","",$G594&amp;"|"&amp;$W594)</f>
        <v/>
      </c>
    </row>
    <row r="595">
      <c r="A595" s="7" t="inlineStr">
        <is>
          <t>XS2703627021</t>
        </is>
      </c>
      <c r="B595" s="8">
        <f>IF($A595="","",PROPER(_xll.BDP($A595&amp;" Corp","NAME")))</f>
        <v/>
      </c>
      <c r="C595" s="8">
        <f>IF($A595="","",IFERROR(INDEX(Company_desc!$B$2:$B$1144,MATCH($A595,Company_desc!$A$2:$A$1144,0)),IFERROR(INDEX(SYZ_static!$Q$2:$Q$806,MATCH($A595,SYZ_static!$A$2:$A$806,0)),"")))</f>
        <v/>
      </c>
      <c r="D595" s="8">
        <f>IF($A595="","",IFERROR(INDEX(SYZ_static!$B$2:$B$806,MATCH($A595,SYZ_static!$A$2:$A$806,0)),""))</f>
        <v/>
      </c>
      <c r="E595" s="8">
        <f>IF($A595="","",_xll.BDP($A595&amp;" Corp","INDUSTRY_SECTOR"))</f>
        <v/>
      </c>
      <c r="F595" s="8">
        <f>IF($A595="","",PROPER(_xll.BDP($A595&amp;" Corp","COUNTRY_FULL_NAME")))</f>
        <v/>
      </c>
      <c r="G595" s="8">
        <f>IF($A595="","",_xll.BDP($A595&amp;" Corp","CRNCY"))</f>
        <v/>
      </c>
      <c r="H595" s="8">
        <f>IF($A595="","",IFERROR(INDEX(SYZ_static!$T$2:$T$806,MATCH($A595,SYZ_static!$A$2:$A$806,0)),_xll.BDP($A595&amp;" Corp","RTG_SP")))</f>
        <v/>
      </c>
      <c r="I595" s="8">
        <f>IF($A595="","",IFERROR(INDEX(SYZ_static!$S$2:$S$806,MATCH($A595,SYZ_static!$A$2:$A$806,0)),""))</f>
        <v/>
      </c>
      <c r="J595" s="8">
        <f>IF($A595="","",_xll.BDP($A595&amp;" Corp","PAYMENT_RANK"))</f>
        <v/>
      </c>
      <c r="K595" s="9">
        <f>IF($A595="","",_xll.BDP($A595&amp;" Corp","CPN"))</f>
        <v/>
      </c>
      <c r="L595" s="10">
        <f>IF($A595="","",_xll.BDP($A595&amp;" Corp","MATURITY"))</f>
        <v/>
      </c>
      <c r="M595" s="11">
        <f>IF($A595="","",IFERROR(_xll.BDP($A595&amp;" Corp","MIN_PIECE")/1000,""))</f>
        <v/>
      </c>
      <c r="N595" s="12">
        <f>IF($A595="","",_xll.BDP($A595&amp;" Corp","PX_LAST"))</f>
        <v/>
      </c>
      <c r="O595" s="12">
        <f>IF($A595="","",_xll.BDP($A595&amp;" Corp","YAS_BOND_YLD","YAS_YLD_FLAG=15"))</f>
        <v/>
      </c>
      <c r="P595" s="12">
        <f>IF($A595="","",_xll.BDP($A595&amp;" Corp","YAS_MOD_DUR"))</f>
        <v/>
      </c>
      <c r="Q595" s="13">
        <f>IF($A595="","",_xll.BDP($A595&amp;" Corp","YAS_OAS_SPRD"))</f>
        <v/>
      </c>
      <c r="R595" s="13">
        <f>IF($A595="","",_xll.BDP($A595&amp;" Corp","YAS_OAS_SPRD","SETTLE_DT",$B$2))</f>
        <v/>
      </c>
      <c r="S595" s="14">
        <f>IF($A595="","",IF(OR(NOT(ISNUMBER($Q595)),NOT(ISNUMBER($R595))),"",$Q595-$R595))</f>
        <v/>
      </c>
      <c r="T595" s="12">
        <f>IF($A595="","",_xll.BDP($A595&amp;" Corp","YAS_BOND_YLD","YAS_YLD_FLAG=15","SETTLE_DT",$B$2))</f>
        <v/>
      </c>
      <c r="U595" s="15">
        <f>IF($A595="","",IF(OR(NOT(ISNUMBER($O595)),NOT(ISNUMBER($T595))),"",$O595-$T595))</f>
        <v/>
      </c>
      <c r="V595" s="13">
        <f>IF(NOT(ISNUMBER($S595)),"",COUNTIFS($G$7:$G$850,$G595,$S$7:$S$850,"&gt;"&amp;$S595)+COUNTIFS($G$7:$G595,$G595,$S$7:$S595,$S595))</f>
        <v/>
      </c>
      <c r="W595" s="13">
        <f>IF(NOT(ISNUMBER($S595)),"",COUNTIFS($G$7:$G$850,$G595,$S$7:$S$850,"&lt;"&amp;$S595)+COUNTIFS($G$7:$G595,$G595,$S$7:$S595,$S595))</f>
        <v/>
      </c>
      <c r="X595" s="8">
        <f>IF($V595="","",$G595&amp;"|"&amp;$V595)</f>
        <v/>
      </c>
      <c r="Y595" s="8">
        <f>IF($W595="","",$G595&amp;"|"&amp;$W595)</f>
        <v/>
      </c>
    </row>
    <row r="596">
      <c r="A596" s="16" t="inlineStr">
        <is>
          <t>US911312BZ82</t>
        </is>
      </c>
      <c r="B596" s="17">
        <f>IF($A596="","",PROPER(_xll.BDP($A596&amp;" Corp","NAME")))</f>
        <v/>
      </c>
      <c r="C596" s="17">
        <f>IF($A596="","",IFERROR(INDEX(Company_desc!$B$2:$B$1144,MATCH($A596,Company_desc!$A$2:$A$1144,0)),IFERROR(INDEX(SYZ_static!$Q$2:$Q$806,MATCH($A596,SYZ_static!$A$2:$A$806,0)),"")))</f>
        <v/>
      </c>
      <c r="D596" s="17">
        <f>IF($A596="","",IFERROR(INDEX(SYZ_static!$B$2:$B$806,MATCH($A596,SYZ_static!$A$2:$A$806,0)),""))</f>
        <v/>
      </c>
      <c r="E596" s="17">
        <f>IF($A596="","",_xll.BDP($A596&amp;" Corp","INDUSTRY_SECTOR"))</f>
        <v/>
      </c>
      <c r="F596" s="17">
        <f>IF($A596="","",PROPER(_xll.BDP($A596&amp;" Corp","COUNTRY_FULL_NAME")))</f>
        <v/>
      </c>
      <c r="G596" s="17">
        <f>IF($A596="","",_xll.BDP($A596&amp;" Corp","CRNCY"))</f>
        <v/>
      </c>
      <c r="H596" s="17">
        <f>IF($A596="","",IFERROR(INDEX(SYZ_static!$T$2:$T$806,MATCH($A596,SYZ_static!$A$2:$A$806,0)),_xll.BDP($A596&amp;" Corp","RTG_SP")))</f>
        <v/>
      </c>
      <c r="I596" s="17">
        <f>IF($A596="","",IFERROR(INDEX(SYZ_static!$S$2:$S$806,MATCH($A596,SYZ_static!$A$2:$A$806,0)),""))</f>
        <v/>
      </c>
      <c r="J596" s="17">
        <f>IF($A596="","",_xll.BDP($A596&amp;" Corp","PAYMENT_RANK"))</f>
        <v/>
      </c>
      <c r="K596" s="18">
        <f>IF($A596="","",_xll.BDP($A596&amp;" Corp","CPN"))</f>
        <v/>
      </c>
      <c r="L596" s="19">
        <f>IF($A596="","",_xll.BDP($A596&amp;" Corp","MATURITY"))</f>
        <v/>
      </c>
      <c r="M596" s="20">
        <f>IF($A596="","",IFERROR(_xll.BDP($A596&amp;" Corp","MIN_PIECE")/1000,""))</f>
        <v/>
      </c>
      <c r="N596" s="21">
        <f>IF($A596="","",_xll.BDP($A596&amp;" Corp","PX_LAST"))</f>
        <v/>
      </c>
      <c r="O596" s="21">
        <f>IF($A596="","",_xll.BDP($A596&amp;" Corp","YAS_BOND_YLD","YAS_YLD_FLAG=15"))</f>
        <v/>
      </c>
      <c r="P596" s="21">
        <f>IF($A596="","",_xll.BDP($A596&amp;" Corp","YAS_MOD_DUR"))</f>
        <v/>
      </c>
      <c r="Q596" s="22">
        <f>IF($A596="","",_xll.BDP($A596&amp;" Corp","YAS_OAS_SPRD"))</f>
        <v/>
      </c>
      <c r="R596" s="22">
        <f>IF($A596="","",_xll.BDP($A596&amp;" Corp","YAS_OAS_SPRD","SETTLE_DT",$B$2))</f>
        <v/>
      </c>
      <c r="S596" s="23">
        <f>IF($A596="","",IF(OR(NOT(ISNUMBER($Q596)),NOT(ISNUMBER($R596))),"",$Q596-$R596))</f>
        <v/>
      </c>
      <c r="T596" s="21">
        <f>IF($A596="","",_xll.BDP($A596&amp;" Corp","YAS_BOND_YLD","YAS_YLD_FLAG=15","SETTLE_DT",$B$2))</f>
        <v/>
      </c>
      <c r="U596" s="24">
        <f>IF($A596="","",IF(OR(NOT(ISNUMBER($O596)),NOT(ISNUMBER($T596))),"",$O596-$T596))</f>
        <v/>
      </c>
      <c r="V596" s="22">
        <f>IF(NOT(ISNUMBER($S596)),"",COUNTIFS($G$7:$G$850,$G596,$S$7:$S$850,"&gt;"&amp;$S596)+COUNTIFS($G$7:$G596,$G596,$S$7:$S596,$S596))</f>
        <v/>
      </c>
      <c r="W596" s="22">
        <f>IF(NOT(ISNUMBER($S596)),"",COUNTIFS($G$7:$G$850,$G596,$S$7:$S$850,"&lt;"&amp;$S596)+COUNTIFS($G$7:$G596,$G596,$S$7:$S596,$S596))</f>
        <v/>
      </c>
      <c r="X596" s="17">
        <f>IF($V596="","",$G596&amp;"|"&amp;$V596)</f>
        <v/>
      </c>
      <c r="Y596" s="17">
        <f>IF($W596="","",$G596&amp;"|"&amp;$W596)</f>
        <v/>
      </c>
    </row>
    <row r="597">
      <c r="A597" s="7" t="inlineStr">
        <is>
          <t>XS1799545329</t>
        </is>
      </c>
      <c r="B597" s="8">
        <f>IF($A597="","",PROPER(_xll.BDP($A597&amp;" Corp","NAME")))</f>
        <v/>
      </c>
      <c r="C597" s="8">
        <f>IF($A597="","",IFERROR(INDEX(Company_desc!$B$2:$B$1144,MATCH($A597,Company_desc!$A$2:$A$1144,0)),IFERROR(INDEX(SYZ_static!$Q$2:$Q$806,MATCH($A597,SYZ_static!$A$2:$A$806,0)),"")))</f>
        <v/>
      </c>
      <c r="D597" s="8">
        <f>IF($A597="","",IFERROR(INDEX(SYZ_static!$B$2:$B$806,MATCH($A597,SYZ_static!$A$2:$A$806,0)),""))</f>
        <v/>
      </c>
      <c r="E597" s="8">
        <f>IF($A597="","",_xll.BDP($A597&amp;" Corp","INDUSTRY_SECTOR"))</f>
        <v/>
      </c>
      <c r="F597" s="8">
        <f>IF($A597="","",PROPER(_xll.BDP($A597&amp;" Corp","COUNTRY_FULL_NAME")))</f>
        <v/>
      </c>
      <c r="G597" s="8">
        <f>IF($A597="","",_xll.BDP($A597&amp;" Corp","CRNCY"))</f>
        <v/>
      </c>
      <c r="H597" s="8">
        <f>IF($A597="","",IFERROR(INDEX(SYZ_static!$T$2:$T$806,MATCH($A597,SYZ_static!$A$2:$A$806,0)),_xll.BDP($A597&amp;" Corp","RTG_SP")))</f>
        <v/>
      </c>
      <c r="I597" s="8">
        <f>IF($A597="","",IFERROR(INDEX(SYZ_static!$S$2:$S$806,MATCH($A597,SYZ_static!$A$2:$A$806,0)),""))</f>
        <v/>
      </c>
      <c r="J597" s="8">
        <f>IF($A597="","",_xll.BDP($A597&amp;" Corp","PAYMENT_RANK"))</f>
        <v/>
      </c>
      <c r="K597" s="9">
        <f>IF($A597="","",_xll.BDP($A597&amp;" Corp","CPN"))</f>
        <v/>
      </c>
      <c r="L597" s="10">
        <f>IF($A597="","",_xll.BDP($A597&amp;" Corp","MATURITY"))</f>
        <v/>
      </c>
      <c r="M597" s="11">
        <f>IF($A597="","",IFERROR(_xll.BDP($A597&amp;" Corp","MIN_PIECE")/1000,""))</f>
        <v/>
      </c>
      <c r="N597" s="12">
        <f>IF($A597="","",_xll.BDP($A597&amp;" Corp","PX_LAST"))</f>
        <v/>
      </c>
      <c r="O597" s="12">
        <f>IF($A597="","",_xll.BDP($A597&amp;" Corp","YAS_BOND_YLD","YAS_YLD_FLAG=15"))</f>
        <v/>
      </c>
      <c r="P597" s="12">
        <f>IF($A597="","",_xll.BDP($A597&amp;" Corp","YAS_MOD_DUR"))</f>
        <v/>
      </c>
      <c r="Q597" s="13">
        <f>IF($A597="","",_xll.BDP($A597&amp;" Corp","YAS_OAS_SPRD"))</f>
        <v/>
      </c>
      <c r="R597" s="13">
        <f>IF($A597="","",_xll.BDP($A597&amp;" Corp","YAS_OAS_SPRD","SETTLE_DT",$B$2))</f>
        <v/>
      </c>
      <c r="S597" s="14">
        <f>IF($A597="","",IF(OR(NOT(ISNUMBER($Q597)),NOT(ISNUMBER($R597))),"",$Q597-$R597))</f>
        <v/>
      </c>
      <c r="T597" s="12">
        <f>IF($A597="","",_xll.BDP($A597&amp;" Corp","YAS_BOND_YLD","YAS_YLD_FLAG=15","SETTLE_DT",$B$2))</f>
        <v/>
      </c>
      <c r="U597" s="15">
        <f>IF($A597="","",IF(OR(NOT(ISNUMBER($O597)),NOT(ISNUMBER($T597))),"",$O597-$T597))</f>
        <v/>
      </c>
      <c r="V597" s="13">
        <f>IF(NOT(ISNUMBER($S597)),"",COUNTIFS($G$7:$G$850,$G597,$S$7:$S$850,"&gt;"&amp;$S597)+COUNTIFS($G$7:$G597,$G597,$S$7:$S597,$S597))</f>
        <v/>
      </c>
      <c r="W597" s="13">
        <f>IF(NOT(ISNUMBER($S597)),"",COUNTIFS($G$7:$G$850,$G597,$S$7:$S$850,"&lt;"&amp;$S597)+COUNTIFS($G$7:$G597,$G597,$S$7:$S597,$S597))</f>
        <v/>
      </c>
      <c r="X597" s="8">
        <f>IF($V597="","",$G597&amp;"|"&amp;$V597)</f>
        <v/>
      </c>
      <c r="Y597" s="8">
        <f>IF($W597="","",$G597&amp;"|"&amp;$W597)</f>
        <v/>
      </c>
    </row>
    <row r="598">
      <c r="A598" s="16" t="inlineStr">
        <is>
          <t>XS2559069849</t>
        </is>
      </c>
      <c r="B598" s="17">
        <f>IF($A598="","",PROPER(_xll.BDP($A598&amp;" Corp","NAME")))</f>
        <v/>
      </c>
      <c r="C598" s="17">
        <f>IF($A598="","",IFERROR(INDEX(Company_desc!$B$2:$B$1144,MATCH($A598,Company_desc!$A$2:$A$1144,0)),IFERROR(INDEX(SYZ_static!$Q$2:$Q$806,MATCH($A598,SYZ_static!$A$2:$A$806,0)),"")))</f>
        <v/>
      </c>
      <c r="D598" s="17">
        <f>IF($A598="","",IFERROR(INDEX(SYZ_static!$B$2:$B$806,MATCH($A598,SYZ_static!$A$2:$A$806,0)),""))</f>
        <v/>
      </c>
      <c r="E598" s="17">
        <f>IF($A598="","",_xll.BDP($A598&amp;" Corp","INDUSTRY_SECTOR"))</f>
        <v/>
      </c>
      <c r="F598" s="17">
        <f>IF($A598="","",PROPER(_xll.BDP($A598&amp;" Corp","COUNTRY_FULL_NAME")))</f>
        <v/>
      </c>
      <c r="G598" s="17">
        <f>IF($A598="","",_xll.BDP($A598&amp;" Corp","CRNCY"))</f>
        <v/>
      </c>
      <c r="H598" s="17">
        <f>IF($A598="","",IFERROR(INDEX(SYZ_static!$T$2:$T$806,MATCH($A598,SYZ_static!$A$2:$A$806,0)),_xll.BDP($A598&amp;" Corp","RTG_SP")))</f>
        <v/>
      </c>
      <c r="I598" s="17">
        <f>IF($A598="","",IFERROR(INDEX(SYZ_static!$S$2:$S$806,MATCH($A598,SYZ_static!$A$2:$A$806,0)),""))</f>
        <v/>
      </c>
      <c r="J598" s="17">
        <f>IF($A598="","",_xll.BDP($A598&amp;" Corp","PAYMENT_RANK"))</f>
        <v/>
      </c>
      <c r="K598" s="18">
        <f>IF($A598="","",_xll.BDP($A598&amp;" Corp","CPN"))</f>
        <v/>
      </c>
      <c r="L598" s="19">
        <f>IF($A598="","",_xll.BDP($A598&amp;" Corp","MATURITY"))</f>
        <v/>
      </c>
      <c r="M598" s="20">
        <f>IF($A598="","",IFERROR(_xll.BDP($A598&amp;" Corp","MIN_PIECE")/1000,""))</f>
        <v/>
      </c>
      <c r="N598" s="21">
        <f>IF($A598="","",_xll.BDP($A598&amp;" Corp","PX_LAST"))</f>
        <v/>
      </c>
      <c r="O598" s="21">
        <f>IF($A598="","",_xll.BDP($A598&amp;" Corp","YAS_BOND_YLD","YAS_YLD_FLAG=15"))</f>
        <v/>
      </c>
      <c r="P598" s="21">
        <f>IF($A598="","",_xll.BDP($A598&amp;" Corp","YAS_MOD_DUR"))</f>
        <v/>
      </c>
      <c r="Q598" s="22">
        <f>IF($A598="","",_xll.BDP($A598&amp;" Corp","YAS_OAS_SPRD"))</f>
        <v/>
      </c>
      <c r="R598" s="22">
        <f>IF($A598="","",_xll.BDP($A598&amp;" Corp","YAS_OAS_SPRD","SETTLE_DT",$B$2))</f>
        <v/>
      </c>
      <c r="S598" s="23">
        <f>IF($A598="","",IF(OR(NOT(ISNUMBER($Q598)),NOT(ISNUMBER($R598))),"",$Q598-$R598))</f>
        <v/>
      </c>
      <c r="T598" s="21">
        <f>IF($A598="","",_xll.BDP($A598&amp;" Corp","YAS_BOND_YLD","YAS_YLD_FLAG=15","SETTLE_DT",$B$2))</f>
        <v/>
      </c>
      <c r="U598" s="24">
        <f>IF($A598="","",IF(OR(NOT(ISNUMBER($O598)),NOT(ISNUMBER($T598))),"",$O598-$T598))</f>
        <v/>
      </c>
      <c r="V598" s="22">
        <f>IF(NOT(ISNUMBER($S598)),"",COUNTIFS($G$7:$G$850,$G598,$S$7:$S$850,"&gt;"&amp;$S598)+COUNTIFS($G$7:$G598,$G598,$S$7:$S598,$S598))</f>
        <v/>
      </c>
      <c r="W598" s="22">
        <f>IF(NOT(ISNUMBER($S598)),"",COUNTIFS($G$7:$G$850,$G598,$S$7:$S$850,"&lt;"&amp;$S598)+COUNTIFS($G$7:$G598,$G598,$S$7:$S598,$S598))</f>
        <v/>
      </c>
      <c r="X598" s="17">
        <f>IF($V598="","",$G598&amp;"|"&amp;$V598)</f>
        <v/>
      </c>
      <c r="Y598" s="17">
        <f>IF($W598="","",$G598&amp;"|"&amp;$W598)</f>
        <v/>
      </c>
    </row>
    <row r="599">
      <c r="A599" s="7" t="inlineStr">
        <is>
          <t>US88032XAG97</t>
        </is>
      </c>
      <c r="B599" s="8">
        <f>IF($A599="","",PROPER(_xll.BDP($A599&amp;" Corp","NAME")))</f>
        <v/>
      </c>
      <c r="C599" s="8">
        <f>IF($A599="","",IFERROR(INDEX(Company_desc!$B$2:$B$1144,MATCH($A599,Company_desc!$A$2:$A$1144,0)),IFERROR(INDEX(SYZ_static!$Q$2:$Q$806,MATCH($A599,SYZ_static!$A$2:$A$806,0)),"")))</f>
        <v/>
      </c>
      <c r="D599" s="8">
        <f>IF($A599="","",IFERROR(INDEX(SYZ_static!$B$2:$B$806,MATCH($A599,SYZ_static!$A$2:$A$806,0)),""))</f>
        <v/>
      </c>
      <c r="E599" s="8">
        <f>IF($A599="","",_xll.BDP($A599&amp;" Corp","INDUSTRY_SECTOR"))</f>
        <v/>
      </c>
      <c r="F599" s="8">
        <f>IF($A599="","",PROPER(_xll.BDP($A599&amp;" Corp","COUNTRY_FULL_NAME")))</f>
        <v/>
      </c>
      <c r="G599" s="8">
        <f>IF($A599="","",_xll.BDP($A599&amp;" Corp","CRNCY"))</f>
        <v/>
      </c>
      <c r="H599" s="8">
        <f>IF($A599="","",IFERROR(INDEX(SYZ_static!$T$2:$T$806,MATCH($A599,SYZ_static!$A$2:$A$806,0)),_xll.BDP($A599&amp;" Corp","RTG_SP")))</f>
        <v/>
      </c>
      <c r="I599" s="8">
        <f>IF($A599="","",IFERROR(INDEX(SYZ_static!$S$2:$S$806,MATCH($A599,SYZ_static!$A$2:$A$806,0)),""))</f>
        <v/>
      </c>
      <c r="J599" s="8">
        <f>IF($A599="","",_xll.BDP($A599&amp;" Corp","PAYMENT_RANK"))</f>
        <v/>
      </c>
      <c r="K599" s="9">
        <f>IF($A599="","",_xll.BDP($A599&amp;" Corp","CPN"))</f>
        <v/>
      </c>
      <c r="L599" s="10">
        <f>IF($A599="","",_xll.BDP($A599&amp;" Corp","MATURITY"))</f>
        <v/>
      </c>
      <c r="M599" s="11">
        <f>IF($A599="","",IFERROR(_xll.BDP($A599&amp;" Corp","MIN_PIECE")/1000,""))</f>
        <v/>
      </c>
      <c r="N599" s="12">
        <f>IF($A599="","",_xll.BDP($A599&amp;" Corp","PX_LAST"))</f>
        <v/>
      </c>
      <c r="O599" s="12">
        <f>IF($A599="","",_xll.BDP($A599&amp;" Corp","YAS_BOND_YLD","YAS_YLD_FLAG=15"))</f>
        <v/>
      </c>
      <c r="P599" s="12">
        <f>IF($A599="","",_xll.BDP($A599&amp;" Corp","YAS_MOD_DUR"))</f>
        <v/>
      </c>
      <c r="Q599" s="13">
        <f>IF($A599="","",_xll.BDP($A599&amp;" Corp","YAS_OAS_SPRD"))</f>
        <v/>
      </c>
      <c r="R599" s="13">
        <f>IF($A599="","",_xll.BDP($A599&amp;" Corp","YAS_OAS_SPRD","SETTLE_DT",$B$2))</f>
        <v/>
      </c>
      <c r="S599" s="14">
        <f>IF($A599="","",IF(OR(NOT(ISNUMBER($Q599)),NOT(ISNUMBER($R599))),"",$Q599-$R599))</f>
        <v/>
      </c>
      <c r="T599" s="12">
        <f>IF($A599="","",_xll.BDP($A599&amp;" Corp","YAS_BOND_YLD","YAS_YLD_FLAG=15","SETTLE_DT",$B$2))</f>
        <v/>
      </c>
      <c r="U599" s="15">
        <f>IF($A599="","",IF(OR(NOT(ISNUMBER($O599)),NOT(ISNUMBER($T599))),"",$O599-$T599))</f>
        <v/>
      </c>
      <c r="V599" s="13">
        <f>IF(NOT(ISNUMBER($S599)),"",COUNTIFS($G$7:$G$850,$G599,$S$7:$S$850,"&gt;"&amp;$S599)+COUNTIFS($G$7:$G599,$G599,$S$7:$S599,$S599))</f>
        <v/>
      </c>
      <c r="W599" s="13">
        <f>IF(NOT(ISNUMBER($S599)),"",COUNTIFS($G$7:$G$850,$G599,$S$7:$S$850,"&lt;"&amp;$S599)+COUNTIFS($G$7:$G599,$G599,$S$7:$S599,$S599))</f>
        <v/>
      </c>
      <c r="X599" s="8">
        <f>IF($V599="","",$G599&amp;"|"&amp;$V599)</f>
        <v/>
      </c>
      <c r="Y599" s="8">
        <f>IF($W599="","",$G599&amp;"|"&amp;$W599)</f>
        <v/>
      </c>
    </row>
    <row r="600">
      <c r="A600" s="16" t="inlineStr">
        <is>
          <t>XS2150006562</t>
        </is>
      </c>
      <c r="B600" s="17">
        <f>IF($A600="","",PROPER(_xll.BDP($A600&amp;" Corp","NAME")))</f>
        <v/>
      </c>
      <c r="C600" s="17">
        <f>IF($A600="","",IFERROR(INDEX(Company_desc!$B$2:$B$1144,MATCH($A600,Company_desc!$A$2:$A$1144,0)),IFERROR(INDEX(SYZ_static!$Q$2:$Q$806,MATCH($A600,SYZ_static!$A$2:$A$806,0)),"")))</f>
        <v/>
      </c>
      <c r="D600" s="17">
        <f>IF($A600="","",IFERROR(INDEX(SYZ_static!$B$2:$B$806,MATCH($A600,SYZ_static!$A$2:$A$806,0)),""))</f>
        <v/>
      </c>
      <c r="E600" s="17">
        <f>IF($A600="","",_xll.BDP($A600&amp;" Corp","INDUSTRY_SECTOR"))</f>
        <v/>
      </c>
      <c r="F600" s="17">
        <f>IF($A600="","",PROPER(_xll.BDP($A600&amp;" Corp","COUNTRY_FULL_NAME")))</f>
        <v/>
      </c>
      <c r="G600" s="17">
        <f>IF($A600="","",_xll.BDP($A600&amp;" Corp","CRNCY"))</f>
        <v/>
      </c>
      <c r="H600" s="17">
        <f>IF($A600="","",IFERROR(INDEX(SYZ_static!$T$2:$T$806,MATCH($A600,SYZ_static!$A$2:$A$806,0)),_xll.BDP($A600&amp;" Corp","RTG_SP")))</f>
        <v/>
      </c>
      <c r="I600" s="17">
        <f>IF($A600="","",IFERROR(INDEX(SYZ_static!$S$2:$S$806,MATCH($A600,SYZ_static!$A$2:$A$806,0)),""))</f>
        <v/>
      </c>
      <c r="J600" s="17">
        <f>IF($A600="","",_xll.BDP($A600&amp;" Corp","PAYMENT_RANK"))</f>
        <v/>
      </c>
      <c r="K600" s="18">
        <f>IF($A600="","",_xll.BDP($A600&amp;" Corp","CPN"))</f>
        <v/>
      </c>
      <c r="L600" s="19">
        <f>IF($A600="","",_xll.BDP($A600&amp;" Corp","MATURITY"))</f>
        <v/>
      </c>
      <c r="M600" s="20">
        <f>IF($A600="","",IFERROR(_xll.BDP($A600&amp;" Corp","MIN_PIECE")/1000,""))</f>
        <v/>
      </c>
      <c r="N600" s="21">
        <f>IF($A600="","",_xll.BDP($A600&amp;" Corp","PX_LAST"))</f>
        <v/>
      </c>
      <c r="O600" s="21">
        <f>IF($A600="","",_xll.BDP($A600&amp;" Corp","YAS_BOND_YLD","YAS_YLD_FLAG=15"))</f>
        <v/>
      </c>
      <c r="P600" s="21">
        <f>IF($A600="","",_xll.BDP($A600&amp;" Corp","YAS_MOD_DUR"))</f>
        <v/>
      </c>
      <c r="Q600" s="22">
        <f>IF($A600="","",_xll.BDP($A600&amp;" Corp","YAS_OAS_SPRD"))</f>
        <v/>
      </c>
      <c r="R600" s="22">
        <f>IF($A600="","",_xll.BDP($A600&amp;" Corp","YAS_OAS_SPRD","SETTLE_DT",$B$2))</f>
        <v/>
      </c>
      <c r="S600" s="23">
        <f>IF($A600="","",IF(OR(NOT(ISNUMBER($Q600)),NOT(ISNUMBER($R600))),"",$Q600-$R600))</f>
        <v/>
      </c>
      <c r="T600" s="21">
        <f>IF($A600="","",_xll.BDP($A600&amp;" Corp","YAS_BOND_YLD","YAS_YLD_FLAG=15","SETTLE_DT",$B$2))</f>
        <v/>
      </c>
      <c r="U600" s="24">
        <f>IF($A600="","",IF(OR(NOT(ISNUMBER($O600)),NOT(ISNUMBER($T600))),"",$O600-$T600))</f>
        <v/>
      </c>
      <c r="V600" s="22">
        <f>IF(NOT(ISNUMBER($S600)),"",COUNTIFS($G$7:$G$850,$G600,$S$7:$S$850,"&gt;"&amp;$S600)+COUNTIFS($G$7:$G600,$G600,$S$7:$S600,$S600))</f>
        <v/>
      </c>
      <c r="W600" s="22">
        <f>IF(NOT(ISNUMBER($S600)),"",COUNTIFS($G$7:$G$850,$G600,$S$7:$S$850,"&lt;"&amp;$S600)+COUNTIFS($G$7:$G600,$G600,$S$7:$S600,$S600))</f>
        <v/>
      </c>
      <c r="X600" s="17">
        <f>IF($V600="","",$G600&amp;"|"&amp;$V600)</f>
        <v/>
      </c>
      <c r="Y600" s="17">
        <f>IF($W600="","",$G600&amp;"|"&amp;$W600)</f>
        <v/>
      </c>
    </row>
    <row r="601">
      <c r="A601" s="7" t="inlineStr">
        <is>
          <t>US872898AC52</t>
        </is>
      </c>
      <c r="B601" s="8">
        <f>IF($A601="","",PROPER(_xll.BDP($A601&amp;" Corp","NAME")))</f>
        <v/>
      </c>
      <c r="C601" s="8">
        <f>IF($A601="","",IFERROR(INDEX(Company_desc!$B$2:$B$1144,MATCH($A601,Company_desc!$A$2:$A$1144,0)),IFERROR(INDEX(SYZ_static!$Q$2:$Q$806,MATCH($A601,SYZ_static!$A$2:$A$806,0)),"")))</f>
        <v/>
      </c>
      <c r="D601" s="8">
        <f>IF($A601="","",IFERROR(INDEX(SYZ_static!$B$2:$B$806,MATCH($A601,SYZ_static!$A$2:$A$806,0)),""))</f>
        <v/>
      </c>
      <c r="E601" s="8">
        <f>IF($A601="","",_xll.BDP($A601&amp;" Corp","INDUSTRY_SECTOR"))</f>
        <v/>
      </c>
      <c r="F601" s="8">
        <f>IF($A601="","",PROPER(_xll.BDP($A601&amp;" Corp","COUNTRY_FULL_NAME")))</f>
        <v/>
      </c>
      <c r="G601" s="8">
        <f>IF($A601="","",_xll.BDP($A601&amp;" Corp","CRNCY"))</f>
        <v/>
      </c>
      <c r="H601" s="8">
        <f>IF($A601="","",IFERROR(INDEX(SYZ_static!$T$2:$T$806,MATCH($A601,SYZ_static!$A$2:$A$806,0)),_xll.BDP($A601&amp;" Corp","RTG_SP")))</f>
        <v/>
      </c>
      <c r="I601" s="8">
        <f>IF($A601="","",IFERROR(INDEX(SYZ_static!$S$2:$S$806,MATCH($A601,SYZ_static!$A$2:$A$806,0)),""))</f>
        <v/>
      </c>
      <c r="J601" s="8">
        <f>IF($A601="","",_xll.BDP($A601&amp;" Corp","PAYMENT_RANK"))</f>
        <v/>
      </c>
      <c r="K601" s="9">
        <f>IF($A601="","",_xll.BDP($A601&amp;" Corp","CPN"))</f>
        <v/>
      </c>
      <c r="L601" s="10">
        <f>IF($A601="","",_xll.BDP($A601&amp;" Corp","MATURITY"))</f>
        <v/>
      </c>
      <c r="M601" s="11">
        <f>IF($A601="","",IFERROR(_xll.BDP($A601&amp;" Corp","MIN_PIECE")/1000,""))</f>
        <v/>
      </c>
      <c r="N601" s="12">
        <f>IF($A601="","",_xll.BDP($A601&amp;" Corp","PX_LAST"))</f>
        <v/>
      </c>
      <c r="O601" s="12">
        <f>IF($A601="","",_xll.BDP($A601&amp;" Corp","YAS_BOND_YLD","YAS_YLD_FLAG=15"))</f>
        <v/>
      </c>
      <c r="P601" s="12">
        <f>IF($A601="","",_xll.BDP($A601&amp;" Corp","YAS_MOD_DUR"))</f>
        <v/>
      </c>
      <c r="Q601" s="13">
        <f>IF($A601="","",_xll.BDP($A601&amp;" Corp","YAS_OAS_SPRD"))</f>
        <v/>
      </c>
      <c r="R601" s="13">
        <f>IF($A601="","",_xll.BDP($A601&amp;" Corp","YAS_OAS_SPRD","SETTLE_DT",$B$2))</f>
        <v/>
      </c>
      <c r="S601" s="14">
        <f>IF($A601="","",IF(OR(NOT(ISNUMBER($Q601)),NOT(ISNUMBER($R601))),"",$Q601-$R601))</f>
        <v/>
      </c>
      <c r="T601" s="12">
        <f>IF($A601="","",_xll.BDP($A601&amp;" Corp","YAS_BOND_YLD","YAS_YLD_FLAG=15","SETTLE_DT",$B$2))</f>
        <v/>
      </c>
      <c r="U601" s="15">
        <f>IF($A601="","",IF(OR(NOT(ISNUMBER($O601)),NOT(ISNUMBER($T601))),"",$O601-$T601))</f>
        <v/>
      </c>
      <c r="V601" s="13">
        <f>IF(NOT(ISNUMBER($S601)),"",COUNTIFS($G$7:$G$850,$G601,$S$7:$S$850,"&gt;"&amp;$S601)+COUNTIFS($G$7:$G601,$G601,$S$7:$S601,$S601))</f>
        <v/>
      </c>
      <c r="W601" s="13">
        <f>IF(NOT(ISNUMBER($S601)),"",COUNTIFS($G$7:$G$850,$G601,$S$7:$S$850,"&lt;"&amp;$S601)+COUNTIFS($G$7:$G601,$G601,$S$7:$S601,$S601))</f>
        <v/>
      </c>
      <c r="X601" s="8">
        <f>IF($V601="","",$G601&amp;"|"&amp;$V601)</f>
        <v/>
      </c>
      <c r="Y601" s="8">
        <f>IF($W601="","",$G601&amp;"|"&amp;$W601)</f>
        <v/>
      </c>
    </row>
    <row r="602">
      <c r="A602" s="16" t="inlineStr">
        <is>
          <t>FR001400KHF2</t>
        </is>
      </c>
      <c r="B602" s="17">
        <f>IF($A602="","",PROPER(_xll.BDP($A602&amp;" Corp","NAME")))</f>
        <v/>
      </c>
      <c r="C602" s="17">
        <f>IF($A602="","",IFERROR(INDEX(Company_desc!$B$2:$B$1144,MATCH($A602,Company_desc!$A$2:$A$1144,0)),IFERROR(INDEX(SYZ_static!$Q$2:$Q$806,MATCH($A602,SYZ_static!$A$2:$A$806,0)),"")))</f>
        <v/>
      </c>
      <c r="D602" s="17">
        <f>IF($A602="","",IFERROR(INDEX(SYZ_static!$B$2:$B$806,MATCH($A602,SYZ_static!$A$2:$A$806,0)),""))</f>
        <v/>
      </c>
      <c r="E602" s="17">
        <f>IF($A602="","",_xll.BDP($A602&amp;" Corp","INDUSTRY_SECTOR"))</f>
        <v/>
      </c>
      <c r="F602" s="17">
        <f>IF($A602="","",PROPER(_xll.BDP($A602&amp;" Corp","COUNTRY_FULL_NAME")))</f>
        <v/>
      </c>
      <c r="G602" s="17">
        <f>IF($A602="","",_xll.BDP($A602&amp;" Corp","CRNCY"))</f>
        <v/>
      </c>
      <c r="H602" s="17">
        <f>IF($A602="","",IFERROR(INDEX(SYZ_static!$T$2:$T$806,MATCH($A602,SYZ_static!$A$2:$A$806,0)),_xll.BDP($A602&amp;" Corp","RTG_SP")))</f>
        <v/>
      </c>
      <c r="I602" s="17">
        <f>IF($A602="","",IFERROR(INDEX(SYZ_static!$S$2:$S$806,MATCH($A602,SYZ_static!$A$2:$A$806,0)),""))</f>
        <v/>
      </c>
      <c r="J602" s="17">
        <f>IF($A602="","",_xll.BDP($A602&amp;" Corp","PAYMENT_RANK"))</f>
        <v/>
      </c>
      <c r="K602" s="18">
        <f>IF($A602="","",_xll.BDP($A602&amp;" Corp","CPN"))</f>
        <v/>
      </c>
      <c r="L602" s="19">
        <f>IF($A602="","",_xll.BDP($A602&amp;" Corp","MATURITY"))</f>
        <v/>
      </c>
      <c r="M602" s="20">
        <f>IF($A602="","",IFERROR(_xll.BDP($A602&amp;" Corp","MIN_PIECE")/1000,""))</f>
        <v/>
      </c>
      <c r="N602" s="21">
        <f>IF($A602="","",_xll.BDP($A602&amp;" Corp","PX_LAST"))</f>
        <v/>
      </c>
      <c r="O602" s="21">
        <f>IF($A602="","",_xll.BDP($A602&amp;" Corp","YAS_BOND_YLD","YAS_YLD_FLAG=15"))</f>
        <v/>
      </c>
      <c r="P602" s="21">
        <f>IF($A602="","",_xll.BDP($A602&amp;" Corp","YAS_MOD_DUR"))</f>
        <v/>
      </c>
      <c r="Q602" s="22">
        <f>IF($A602="","",_xll.BDP($A602&amp;" Corp","YAS_OAS_SPRD"))</f>
        <v/>
      </c>
      <c r="R602" s="22">
        <f>IF($A602="","",_xll.BDP($A602&amp;" Corp","YAS_OAS_SPRD","SETTLE_DT",$B$2))</f>
        <v/>
      </c>
      <c r="S602" s="23">
        <f>IF($A602="","",IF(OR(NOT(ISNUMBER($Q602)),NOT(ISNUMBER($R602))),"",$Q602-$R602))</f>
        <v/>
      </c>
      <c r="T602" s="21">
        <f>IF($A602="","",_xll.BDP($A602&amp;" Corp","YAS_BOND_YLD","YAS_YLD_FLAG=15","SETTLE_DT",$B$2))</f>
        <v/>
      </c>
      <c r="U602" s="24">
        <f>IF($A602="","",IF(OR(NOT(ISNUMBER($O602)),NOT(ISNUMBER($T602))),"",$O602-$T602))</f>
        <v/>
      </c>
      <c r="V602" s="22">
        <f>IF(NOT(ISNUMBER($S602)),"",COUNTIFS($G$7:$G$850,$G602,$S$7:$S$850,"&gt;"&amp;$S602)+COUNTIFS($G$7:$G602,$G602,$S$7:$S602,$S602))</f>
        <v/>
      </c>
      <c r="W602" s="22">
        <f>IF(NOT(ISNUMBER($S602)),"",COUNTIFS($G$7:$G$850,$G602,$S$7:$S$850,"&lt;"&amp;$S602)+COUNTIFS($G$7:$G602,$G602,$S$7:$S602,$S602))</f>
        <v/>
      </c>
      <c r="X602" s="17">
        <f>IF($V602="","",$G602&amp;"|"&amp;$V602)</f>
        <v/>
      </c>
      <c r="Y602" s="17">
        <f>IF($W602="","",$G602&amp;"|"&amp;$W602)</f>
        <v/>
      </c>
    </row>
    <row r="603">
      <c r="A603" s="7" t="inlineStr">
        <is>
          <t>FR001400F711</t>
        </is>
      </c>
      <c r="B603" s="8">
        <f>IF($A603="","",PROPER(_xll.BDP($A603&amp;" Corp","NAME")))</f>
        <v/>
      </c>
      <c r="C603" s="8">
        <f>IF($A603="","",IFERROR(INDEX(Company_desc!$B$2:$B$1144,MATCH($A603,Company_desc!$A$2:$A$1144,0)),IFERROR(INDEX(SYZ_static!$Q$2:$Q$806,MATCH($A603,SYZ_static!$A$2:$A$806,0)),"")))</f>
        <v/>
      </c>
      <c r="D603" s="8">
        <f>IF($A603="","",IFERROR(INDEX(SYZ_static!$B$2:$B$806,MATCH($A603,SYZ_static!$A$2:$A$806,0)),""))</f>
        <v/>
      </c>
      <c r="E603" s="8">
        <f>IF($A603="","",_xll.BDP($A603&amp;" Corp","INDUSTRY_SECTOR"))</f>
        <v/>
      </c>
      <c r="F603" s="8">
        <f>IF($A603="","",PROPER(_xll.BDP($A603&amp;" Corp","COUNTRY_FULL_NAME")))</f>
        <v/>
      </c>
      <c r="G603" s="8">
        <f>IF($A603="","",_xll.BDP($A603&amp;" Corp","CRNCY"))</f>
        <v/>
      </c>
      <c r="H603" s="8">
        <f>IF($A603="","",IFERROR(INDEX(SYZ_static!$T$2:$T$806,MATCH($A603,SYZ_static!$A$2:$A$806,0)),_xll.BDP($A603&amp;" Corp","RTG_SP")))</f>
        <v/>
      </c>
      <c r="I603" s="8">
        <f>IF($A603="","",IFERROR(INDEX(SYZ_static!$S$2:$S$806,MATCH($A603,SYZ_static!$A$2:$A$806,0)),""))</f>
        <v/>
      </c>
      <c r="J603" s="8">
        <f>IF($A603="","",_xll.BDP($A603&amp;" Corp","PAYMENT_RANK"))</f>
        <v/>
      </c>
      <c r="K603" s="9">
        <f>IF($A603="","",_xll.BDP($A603&amp;" Corp","CPN"))</f>
        <v/>
      </c>
      <c r="L603" s="10">
        <f>IF($A603="","",_xll.BDP($A603&amp;" Corp","MATURITY"))</f>
        <v/>
      </c>
      <c r="M603" s="11">
        <f>IF($A603="","",IFERROR(_xll.BDP($A603&amp;" Corp","MIN_PIECE")/1000,""))</f>
        <v/>
      </c>
      <c r="N603" s="12">
        <f>IF($A603="","",_xll.BDP($A603&amp;" Corp","PX_LAST"))</f>
        <v/>
      </c>
      <c r="O603" s="12">
        <f>IF($A603="","",_xll.BDP($A603&amp;" Corp","YAS_BOND_YLD","YAS_YLD_FLAG=15"))</f>
        <v/>
      </c>
      <c r="P603" s="12">
        <f>IF($A603="","",_xll.BDP($A603&amp;" Corp","YAS_MOD_DUR"))</f>
        <v/>
      </c>
      <c r="Q603" s="13">
        <f>IF($A603="","",_xll.BDP($A603&amp;" Corp","YAS_OAS_SPRD"))</f>
        <v/>
      </c>
      <c r="R603" s="13">
        <f>IF($A603="","",_xll.BDP($A603&amp;" Corp","YAS_OAS_SPRD","SETTLE_DT",$B$2))</f>
        <v/>
      </c>
      <c r="S603" s="14">
        <f>IF($A603="","",IF(OR(NOT(ISNUMBER($Q603)),NOT(ISNUMBER($R603))),"",$Q603-$R603))</f>
        <v/>
      </c>
      <c r="T603" s="12">
        <f>IF($A603="","",_xll.BDP($A603&amp;" Corp","YAS_BOND_YLD","YAS_YLD_FLAG=15","SETTLE_DT",$B$2))</f>
        <v/>
      </c>
      <c r="U603" s="15">
        <f>IF($A603="","",IF(OR(NOT(ISNUMBER($O603)),NOT(ISNUMBER($T603))),"",$O603-$T603))</f>
        <v/>
      </c>
      <c r="V603" s="13">
        <f>IF(NOT(ISNUMBER($S603)),"",COUNTIFS($G$7:$G$850,$G603,$S$7:$S$850,"&gt;"&amp;$S603)+COUNTIFS($G$7:$G603,$G603,$S$7:$S603,$S603))</f>
        <v/>
      </c>
      <c r="W603" s="13">
        <f>IF(NOT(ISNUMBER($S603)),"",COUNTIFS($G$7:$G$850,$G603,$S$7:$S$850,"&lt;"&amp;$S603)+COUNTIFS($G$7:$G603,$G603,$S$7:$S603,$S603))</f>
        <v/>
      </c>
      <c r="X603" s="8">
        <f>IF($V603="","",$G603&amp;"|"&amp;$V603)</f>
        <v/>
      </c>
      <c r="Y603" s="8">
        <f>IF($W603="","",$G603&amp;"|"&amp;$W603)</f>
        <v/>
      </c>
    </row>
    <row r="604">
      <c r="A604" s="16" t="inlineStr">
        <is>
          <t>XS2576255249</t>
        </is>
      </c>
      <c r="B604" s="17">
        <f>IF($A604="","",PROPER(_xll.BDP($A604&amp;" Corp","NAME")))</f>
        <v/>
      </c>
      <c r="C604" s="17">
        <f>IF($A604="","",IFERROR(INDEX(Company_desc!$B$2:$B$1144,MATCH($A604,Company_desc!$A$2:$A$1144,0)),IFERROR(INDEX(SYZ_static!$Q$2:$Q$806,MATCH($A604,SYZ_static!$A$2:$A$806,0)),"")))</f>
        <v/>
      </c>
      <c r="D604" s="17">
        <f>IF($A604="","",IFERROR(INDEX(SYZ_static!$B$2:$B$806,MATCH($A604,SYZ_static!$A$2:$A$806,0)),""))</f>
        <v/>
      </c>
      <c r="E604" s="17">
        <f>IF($A604="","",_xll.BDP($A604&amp;" Corp","INDUSTRY_SECTOR"))</f>
        <v/>
      </c>
      <c r="F604" s="17">
        <f>IF($A604="","",PROPER(_xll.BDP($A604&amp;" Corp","COUNTRY_FULL_NAME")))</f>
        <v/>
      </c>
      <c r="G604" s="17">
        <f>IF($A604="","",_xll.BDP($A604&amp;" Corp","CRNCY"))</f>
        <v/>
      </c>
      <c r="H604" s="17">
        <f>IF($A604="","",IFERROR(INDEX(SYZ_static!$T$2:$T$806,MATCH($A604,SYZ_static!$A$2:$A$806,0)),_xll.BDP($A604&amp;" Corp","RTG_SP")))</f>
        <v/>
      </c>
      <c r="I604" s="17">
        <f>IF($A604="","",IFERROR(INDEX(SYZ_static!$S$2:$S$806,MATCH($A604,SYZ_static!$A$2:$A$806,0)),""))</f>
        <v/>
      </c>
      <c r="J604" s="17">
        <f>IF($A604="","",_xll.BDP($A604&amp;" Corp","PAYMENT_RANK"))</f>
        <v/>
      </c>
      <c r="K604" s="18">
        <f>IF($A604="","",_xll.BDP($A604&amp;" Corp","CPN"))</f>
        <v/>
      </c>
      <c r="L604" s="19">
        <f>IF($A604="","",_xll.BDP($A604&amp;" Corp","MATURITY"))</f>
        <v/>
      </c>
      <c r="M604" s="20">
        <f>IF($A604="","",IFERROR(_xll.BDP($A604&amp;" Corp","MIN_PIECE")/1000,""))</f>
        <v/>
      </c>
      <c r="N604" s="21">
        <f>IF($A604="","",_xll.BDP($A604&amp;" Corp","PX_LAST"))</f>
        <v/>
      </c>
      <c r="O604" s="21">
        <f>IF($A604="","",_xll.BDP($A604&amp;" Corp","YAS_BOND_YLD","YAS_YLD_FLAG=15"))</f>
        <v/>
      </c>
      <c r="P604" s="21">
        <f>IF($A604="","",_xll.BDP($A604&amp;" Corp","YAS_MOD_DUR"))</f>
        <v/>
      </c>
      <c r="Q604" s="22">
        <f>IF($A604="","",_xll.BDP($A604&amp;" Corp","YAS_OAS_SPRD"))</f>
        <v/>
      </c>
      <c r="R604" s="22">
        <f>IF($A604="","",_xll.BDP($A604&amp;" Corp","YAS_OAS_SPRD","SETTLE_DT",$B$2))</f>
        <v/>
      </c>
      <c r="S604" s="23">
        <f>IF($A604="","",IF(OR(NOT(ISNUMBER($Q604)),NOT(ISNUMBER($R604))),"",$Q604-$R604))</f>
        <v/>
      </c>
      <c r="T604" s="21">
        <f>IF($A604="","",_xll.BDP($A604&amp;" Corp","YAS_BOND_YLD","YAS_YLD_FLAG=15","SETTLE_DT",$B$2))</f>
        <v/>
      </c>
      <c r="U604" s="24">
        <f>IF($A604="","",IF(OR(NOT(ISNUMBER($O604)),NOT(ISNUMBER($T604))),"",$O604-$T604))</f>
        <v/>
      </c>
      <c r="V604" s="22">
        <f>IF(NOT(ISNUMBER($S604)),"",COUNTIFS($G$7:$G$850,$G604,$S$7:$S$850,"&gt;"&amp;$S604)+COUNTIFS($G$7:$G604,$G604,$S$7:$S604,$S604))</f>
        <v/>
      </c>
      <c r="W604" s="22">
        <f>IF(NOT(ISNUMBER($S604)),"",COUNTIFS($G$7:$G$850,$G604,$S$7:$S$850,"&lt;"&amp;$S604)+COUNTIFS($G$7:$G604,$G604,$S$7:$S604,$S604))</f>
        <v/>
      </c>
      <c r="X604" s="17">
        <f>IF($V604="","",$G604&amp;"|"&amp;$V604)</f>
        <v/>
      </c>
      <c r="Y604" s="17">
        <f>IF($W604="","",$G604&amp;"|"&amp;$W604)</f>
        <v/>
      </c>
    </row>
    <row r="605">
      <c r="A605" s="7" t="inlineStr">
        <is>
          <t>XS2448014808</t>
        </is>
      </c>
      <c r="B605" s="8">
        <f>IF($A605="","",PROPER(_xll.BDP($A605&amp;" Corp","NAME")))</f>
        <v/>
      </c>
      <c r="C605" s="8">
        <f>IF($A605="","",IFERROR(INDEX(Company_desc!$B$2:$B$1144,MATCH($A605,Company_desc!$A$2:$A$1144,0)),IFERROR(INDEX(SYZ_static!$Q$2:$Q$806,MATCH($A605,SYZ_static!$A$2:$A$806,0)),"")))</f>
        <v/>
      </c>
      <c r="D605" s="8">
        <f>IF($A605="","",IFERROR(INDEX(SYZ_static!$B$2:$B$806,MATCH($A605,SYZ_static!$A$2:$A$806,0)),""))</f>
        <v/>
      </c>
      <c r="E605" s="8">
        <f>IF($A605="","",_xll.BDP($A605&amp;" Corp","INDUSTRY_SECTOR"))</f>
        <v/>
      </c>
      <c r="F605" s="8">
        <f>IF($A605="","",PROPER(_xll.BDP($A605&amp;" Corp","COUNTRY_FULL_NAME")))</f>
        <v/>
      </c>
      <c r="G605" s="8">
        <f>IF($A605="","",_xll.BDP($A605&amp;" Corp","CRNCY"))</f>
        <v/>
      </c>
      <c r="H605" s="8">
        <f>IF($A605="","",IFERROR(INDEX(SYZ_static!$T$2:$T$806,MATCH($A605,SYZ_static!$A$2:$A$806,0)),_xll.BDP($A605&amp;" Corp","RTG_SP")))</f>
        <v/>
      </c>
      <c r="I605" s="8">
        <f>IF($A605="","",IFERROR(INDEX(SYZ_static!$S$2:$S$806,MATCH($A605,SYZ_static!$A$2:$A$806,0)),""))</f>
        <v/>
      </c>
      <c r="J605" s="8">
        <f>IF($A605="","",_xll.BDP($A605&amp;" Corp","PAYMENT_RANK"))</f>
        <v/>
      </c>
      <c r="K605" s="9">
        <f>IF($A605="","",_xll.BDP($A605&amp;" Corp","CPN"))</f>
        <v/>
      </c>
      <c r="L605" s="10">
        <f>IF($A605="","",_xll.BDP($A605&amp;" Corp","MATURITY"))</f>
        <v/>
      </c>
      <c r="M605" s="11">
        <f>IF($A605="","",IFERROR(_xll.BDP($A605&amp;" Corp","MIN_PIECE")/1000,""))</f>
        <v/>
      </c>
      <c r="N605" s="12">
        <f>IF($A605="","",_xll.BDP($A605&amp;" Corp","PX_LAST"))</f>
        <v/>
      </c>
      <c r="O605" s="12">
        <f>IF($A605="","",_xll.BDP($A605&amp;" Corp","YAS_BOND_YLD","YAS_YLD_FLAG=15"))</f>
        <v/>
      </c>
      <c r="P605" s="12">
        <f>IF($A605="","",_xll.BDP($A605&amp;" Corp","YAS_MOD_DUR"))</f>
        <v/>
      </c>
      <c r="Q605" s="13">
        <f>IF($A605="","",_xll.BDP($A605&amp;" Corp","YAS_OAS_SPRD"))</f>
        <v/>
      </c>
      <c r="R605" s="13">
        <f>IF($A605="","",_xll.BDP($A605&amp;" Corp","YAS_OAS_SPRD","SETTLE_DT",$B$2))</f>
        <v/>
      </c>
      <c r="S605" s="14">
        <f>IF($A605="","",IF(OR(NOT(ISNUMBER($Q605)),NOT(ISNUMBER($R605))),"",$Q605-$R605))</f>
        <v/>
      </c>
      <c r="T605" s="12">
        <f>IF($A605="","",_xll.BDP($A605&amp;" Corp","YAS_BOND_YLD","YAS_YLD_FLAG=15","SETTLE_DT",$B$2))</f>
        <v/>
      </c>
      <c r="U605" s="15">
        <f>IF($A605="","",IF(OR(NOT(ISNUMBER($O605)),NOT(ISNUMBER($T605))),"",$O605-$T605))</f>
        <v/>
      </c>
      <c r="V605" s="13">
        <f>IF(NOT(ISNUMBER($S605)),"",COUNTIFS($G$7:$G$850,$G605,$S$7:$S$850,"&gt;"&amp;$S605)+COUNTIFS($G$7:$G605,$G605,$S$7:$S605,$S605))</f>
        <v/>
      </c>
      <c r="W605" s="13">
        <f>IF(NOT(ISNUMBER($S605)),"",COUNTIFS($G$7:$G$850,$G605,$S$7:$S$850,"&lt;"&amp;$S605)+COUNTIFS($G$7:$G605,$G605,$S$7:$S605,$S605))</f>
        <v/>
      </c>
      <c r="X605" s="8">
        <f>IF($V605="","",$G605&amp;"|"&amp;$V605)</f>
        <v/>
      </c>
      <c r="Y605" s="8">
        <f>IF($W605="","",$G605&amp;"|"&amp;$W605)</f>
        <v/>
      </c>
    </row>
    <row r="606">
      <c r="A606" s="16" t="inlineStr">
        <is>
          <t>XS1709529520</t>
        </is>
      </c>
      <c r="B606" s="17">
        <f>IF($A606="","",PROPER(_xll.BDP($A606&amp;" Corp","NAME")))</f>
        <v/>
      </c>
      <c r="C606" s="17">
        <f>IF($A606="","",IFERROR(INDEX(Company_desc!$B$2:$B$1144,MATCH($A606,Company_desc!$A$2:$A$1144,0)),IFERROR(INDEX(SYZ_static!$Q$2:$Q$806,MATCH($A606,SYZ_static!$A$2:$A$806,0)),"")))</f>
        <v/>
      </c>
      <c r="D606" s="17">
        <f>IF($A606="","",IFERROR(INDEX(SYZ_static!$B$2:$B$806,MATCH($A606,SYZ_static!$A$2:$A$806,0)),""))</f>
        <v/>
      </c>
      <c r="E606" s="17">
        <f>IF($A606="","",_xll.BDP($A606&amp;" Corp","INDUSTRY_SECTOR"))</f>
        <v/>
      </c>
      <c r="F606" s="17">
        <f>IF($A606="","",PROPER(_xll.BDP($A606&amp;" Corp","COUNTRY_FULL_NAME")))</f>
        <v/>
      </c>
      <c r="G606" s="17">
        <f>IF($A606="","",_xll.BDP($A606&amp;" Corp","CRNCY"))</f>
        <v/>
      </c>
      <c r="H606" s="17">
        <f>IF($A606="","",IFERROR(INDEX(SYZ_static!$T$2:$T$806,MATCH($A606,SYZ_static!$A$2:$A$806,0)),_xll.BDP($A606&amp;" Corp","RTG_SP")))</f>
        <v/>
      </c>
      <c r="I606" s="17">
        <f>IF($A606="","",IFERROR(INDEX(SYZ_static!$S$2:$S$806,MATCH($A606,SYZ_static!$A$2:$A$806,0)),""))</f>
        <v/>
      </c>
      <c r="J606" s="17">
        <f>IF($A606="","",_xll.BDP($A606&amp;" Corp","PAYMENT_RANK"))</f>
        <v/>
      </c>
      <c r="K606" s="18">
        <f>IF($A606="","",_xll.BDP($A606&amp;" Corp","CPN"))</f>
        <v/>
      </c>
      <c r="L606" s="19">
        <f>IF($A606="","",_xll.BDP($A606&amp;" Corp","MATURITY"))</f>
        <v/>
      </c>
      <c r="M606" s="20">
        <f>IF($A606="","",IFERROR(_xll.BDP($A606&amp;" Corp","MIN_PIECE")/1000,""))</f>
        <v/>
      </c>
      <c r="N606" s="21">
        <f>IF($A606="","",_xll.BDP($A606&amp;" Corp","PX_LAST"))</f>
        <v/>
      </c>
      <c r="O606" s="21">
        <f>IF($A606="","",_xll.BDP($A606&amp;" Corp","YAS_BOND_YLD","YAS_YLD_FLAG=15"))</f>
        <v/>
      </c>
      <c r="P606" s="21">
        <f>IF($A606="","",_xll.BDP($A606&amp;" Corp","YAS_MOD_DUR"))</f>
        <v/>
      </c>
      <c r="Q606" s="22">
        <f>IF($A606="","",_xll.BDP($A606&amp;" Corp","YAS_OAS_SPRD"))</f>
        <v/>
      </c>
      <c r="R606" s="22">
        <f>IF($A606="","",_xll.BDP($A606&amp;" Corp","YAS_OAS_SPRD","SETTLE_DT",$B$2))</f>
        <v/>
      </c>
      <c r="S606" s="23">
        <f>IF($A606="","",IF(OR(NOT(ISNUMBER($Q606)),NOT(ISNUMBER($R606))),"",$Q606-$R606))</f>
        <v/>
      </c>
      <c r="T606" s="21">
        <f>IF($A606="","",_xll.BDP($A606&amp;" Corp","YAS_BOND_YLD","YAS_YLD_FLAG=15","SETTLE_DT",$B$2))</f>
        <v/>
      </c>
      <c r="U606" s="24">
        <f>IF($A606="","",IF(OR(NOT(ISNUMBER($O606)),NOT(ISNUMBER($T606))),"",$O606-$T606))</f>
        <v/>
      </c>
      <c r="V606" s="22">
        <f>IF(NOT(ISNUMBER($S606)),"",COUNTIFS($G$7:$G$850,$G606,$S$7:$S$850,"&gt;"&amp;$S606)+COUNTIFS($G$7:$G606,$G606,$S$7:$S606,$S606))</f>
        <v/>
      </c>
      <c r="W606" s="22">
        <f>IF(NOT(ISNUMBER($S606)),"",COUNTIFS($G$7:$G$850,$G606,$S$7:$S$850,"&lt;"&amp;$S606)+COUNTIFS($G$7:$G606,$G606,$S$7:$S606,$S606))</f>
        <v/>
      </c>
      <c r="X606" s="17">
        <f>IF($V606="","",$G606&amp;"|"&amp;$V606)</f>
        <v/>
      </c>
      <c r="Y606" s="17">
        <f>IF($W606="","",$G606&amp;"|"&amp;$W606)</f>
        <v/>
      </c>
    </row>
    <row r="607">
      <c r="A607" s="7" t="inlineStr">
        <is>
          <t>US57636QAX25</t>
        </is>
      </c>
      <c r="B607" s="8">
        <f>IF($A607="","",PROPER(_xll.BDP($A607&amp;" Corp","NAME")))</f>
        <v/>
      </c>
      <c r="C607" s="8">
        <f>IF($A607="","",IFERROR(INDEX(Company_desc!$B$2:$B$1144,MATCH($A607,Company_desc!$A$2:$A$1144,0)),IFERROR(INDEX(SYZ_static!$Q$2:$Q$806,MATCH($A607,SYZ_static!$A$2:$A$806,0)),"")))</f>
        <v/>
      </c>
      <c r="D607" s="8">
        <f>IF($A607="","",IFERROR(INDEX(SYZ_static!$B$2:$B$806,MATCH($A607,SYZ_static!$A$2:$A$806,0)),""))</f>
        <v/>
      </c>
      <c r="E607" s="8">
        <f>IF($A607="","",_xll.BDP($A607&amp;" Corp","INDUSTRY_SECTOR"))</f>
        <v/>
      </c>
      <c r="F607" s="8">
        <f>IF($A607="","",PROPER(_xll.BDP($A607&amp;" Corp","COUNTRY_FULL_NAME")))</f>
        <v/>
      </c>
      <c r="G607" s="8">
        <f>IF($A607="","",_xll.BDP($A607&amp;" Corp","CRNCY"))</f>
        <v/>
      </c>
      <c r="H607" s="8">
        <f>IF($A607="","",IFERROR(INDEX(SYZ_static!$T$2:$T$806,MATCH($A607,SYZ_static!$A$2:$A$806,0)),_xll.BDP($A607&amp;" Corp","RTG_SP")))</f>
        <v/>
      </c>
      <c r="I607" s="8">
        <f>IF($A607="","",IFERROR(INDEX(SYZ_static!$S$2:$S$806,MATCH($A607,SYZ_static!$A$2:$A$806,0)),""))</f>
        <v/>
      </c>
      <c r="J607" s="8">
        <f>IF($A607="","",_xll.BDP($A607&amp;" Corp","PAYMENT_RANK"))</f>
        <v/>
      </c>
      <c r="K607" s="9">
        <f>IF($A607="","",_xll.BDP($A607&amp;" Corp","CPN"))</f>
        <v/>
      </c>
      <c r="L607" s="10">
        <f>IF($A607="","",_xll.BDP($A607&amp;" Corp","MATURITY"))</f>
        <v/>
      </c>
      <c r="M607" s="11">
        <f>IF($A607="","",IFERROR(_xll.BDP($A607&amp;" Corp","MIN_PIECE")/1000,""))</f>
        <v/>
      </c>
      <c r="N607" s="12">
        <f>IF($A607="","",_xll.BDP($A607&amp;" Corp","PX_LAST"))</f>
        <v/>
      </c>
      <c r="O607" s="12">
        <f>IF($A607="","",_xll.BDP($A607&amp;" Corp","YAS_BOND_YLD","YAS_YLD_FLAG=15"))</f>
        <v/>
      </c>
      <c r="P607" s="12">
        <f>IF($A607="","",_xll.BDP($A607&amp;" Corp","YAS_MOD_DUR"))</f>
        <v/>
      </c>
      <c r="Q607" s="13">
        <f>IF($A607="","",_xll.BDP($A607&amp;" Corp","YAS_OAS_SPRD"))</f>
        <v/>
      </c>
      <c r="R607" s="13">
        <f>IF($A607="","",_xll.BDP($A607&amp;" Corp","YAS_OAS_SPRD","SETTLE_DT",$B$2))</f>
        <v/>
      </c>
      <c r="S607" s="14">
        <f>IF($A607="","",IF(OR(NOT(ISNUMBER($Q607)),NOT(ISNUMBER($R607))),"",$Q607-$R607))</f>
        <v/>
      </c>
      <c r="T607" s="12">
        <f>IF($A607="","",_xll.BDP($A607&amp;" Corp","YAS_BOND_YLD","YAS_YLD_FLAG=15","SETTLE_DT",$B$2))</f>
        <v/>
      </c>
      <c r="U607" s="15">
        <f>IF($A607="","",IF(OR(NOT(ISNUMBER($O607)),NOT(ISNUMBER($T607))),"",$O607-$T607))</f>
        <v/>
      </c>
      <c r="V607" s="13">
        <f>IF(NOT(ISNUMBER($S607)),"",COUNTIFS($G$7:$G$850,$G607,$S$7:$S$850,"&gt;"&amp;$S607)+COUNTIFS($G$7:$G607,$G607,$S$7:$S607,$S607))</f>
        <v/>
      </c>
      <c r="W607" s="13">
        <f>IF(NOT(ISNUMBER($S607)),"",COUNTIFS($G$7:$G$850,$G607,$S$7:$S$850,"&lt;"&amp;$S607)+COUNTIFS($G$7:$G607,$G607,$S$7:$S607,$S607))</f>
        <v/>
      </c>
      <c r="X607" s="8">
        <f>IF($V607="","",$G607&amp;"|"&amp;$V607)</f>
        <v/>
      </c>
      <c r="Y607" s="8">
        <f>IF($W607="","",$G607&amp;"|"&amp;$W607)</f>
        <v/>
      </c>
    </row>
    <row r="608">
      <c r="A608" s="16" t="inlineStr">
        <is>
          <t>DE000A1ZZ028</t>
        </is>
      </c>
      <c r="B608" s="17">
        <f>IF($A608="","",PROPER(_xll.BDP($A608&amp;" Corp","NAME")))</f>
        <v/>
      </c>
      <c r="C608" s="17">
        <f>IF($A608="","",IFERROR(INDEX(Company_desc!$B$2:$B$1144,MATCH($A608,Company_desc!$A$2:$A$1144,0)),IFERROR(INDEX(SYZ_static!$Q$2:$Q$806,MATCH($A608,SYZ_static!$A$2:$A$806,0)),"")))</f>
        <v/>
      </c>
      <c r="D608" s="17">
        <f>IF($A608="","",IFERROR(INDEX(SYZ_static!$B$2:$B$806,MATCH($A608,SYZ_static!$A$2:$A$806,0)),""))</f>
        <v/>
      </c>
      <c r="E608" s="17">
        <f>IF($A608="","",_xll.BDP($A608&amp;" Corp","INDUSTRY_SECTOR"))</f>
        <v/>
      </c>
      <c r="F608" s="17">
        <f>IF($A608="","",PROPER(_xll.BDP($A608&amp;" Corp","COUNTRY_FULL_NAME")))</f>
        <v/>
      </c>
      <c r="G608" s="17">
        <f>IF($A608="","",_xll.BDP($A608&amp;" Corp","CRNCY"))</f>
        <v/>
      </c>
      <c r="H608" s="17">
        <f>IF($A608="","",IFERROR(INDEX(SYZ_static!$T$2:$T$806,MATCH($A608,SYZ_static!$A$2:$A$806,0)),_xll.BDP($A608&amp;" Corp","RTG_SP")))</f>
        <v/>
      </c>
      <c r="I608" s="17">
        <f>IF($A608="","",IFERROR(INDEX(SYZ_static!$S$2:$S$806,MATCH($A608,SYZ_static!$A$2:$A$806,0)),""))</f>
        <v/>
      </c>
      <c r="J608" s="17">
        <f>IF($A608="","",_xll.BDP($A608&amp;" Corp","PAYMENT_RANK"))</f>
        <v/>
      </c>
      <c r="K608" s="18">
        <f>IF($A608="","",_xll.BDP($A608&amp;" Corp","CPN"))</f>
        <v/>
      </c>
      <c r="L608" s="19">
        <f>IF($A608="","",_xll.BDP($A608&amp;" Corp","MATURITY"))</f>
        <v/>
      </c>
      <c r="M608" s="20">
        <f>IF($A608="","",IFERROR(_xll.BDP($A608&amp;" Corp","MIN_PIECE")/1000,""))</f>
        <v/>
      </c>
      <c r="N608" s="21">
        <f>IF($A608="","",_xll.BDP($A608&amp;" Corp","PX_LAST"))</f>
        <v/>
      </c>
      <c r="O608" s="21">
        <f>IF($A608="","",_xll.BDP($A608&amp;" Corp","YAS_BOND_YLD","YAS_YLD_FLAG=15"))</f>
        <v/>
      </c>
      <c r="P608" s="21">
        <f>IF($A608="","",_xll.BDP($A608&amp;" Corp","YAS_MOD_DUR"))</f>
        <v/>
      </c>
      <c r="Q608" s="22">
        <f>IF($A608="","",_xll.BDP($A608&amp;" Corp","YAS_OAS_SPRD"))</f>
        <v/>
      </c>
      <c r="R608" s="22">
        <f>IF($A608="","",_xll.BDP($A608&amp;" Corp","YAS_OAS_SPRD","SETTLE_DT",$B$2))</f>
        <v/>
      </c>
      <c r="S608" s="23">
        <f>IF($A608="","",IF(OR(NOT(ISNUMBER($Q608)),NOT(ISNUMBER($R608))),"",$Q608-$R608))</f>
        <v/>
      </c>
      <c r="T608" s="21">
        <f>IF($A608="","",_xll.BDP($A608&amp;" Corp","YAS_BOND_YLD","YAS_YLD_FLAG=15","SETTLE_DT",$B$2))</f>
        <v/>
      </c>
      <c r="U608" s="24">
        <f>IF($A608="","",IF(OR(NOT(ISNUMBER($O608)),NOT(ISNUMBER($T608))),"",$O608-$T608))</f>
        <v/>
      </c>
      <c r="V608" s="22">
        <f>IF(NOT(ISNUMBER($S608)),"",COUNTIFS($G$7:$G$850,$G608,$S$7:$S$850,"&gt;"&amp;$S608)+COUNTIFS($G$7:$G608,$G608,$S$7:$S608,$S608))</f>
        <v/>
      </c>
      <c r="W608" s="22">
        <f>IF(NOT(ISNUMBER($S608)),"",COUNTIFS($G$7:$G$850,$G608,$S$7:$S$850,"&lt;"&amp;$S608)+COUNTIFS($G$7:$G608,$G608,$S$7:$S608,$S608))</f>
        <v/>
      </c>
      <c r="X608" s="17">
        <f>IF($V608="","",$G608&amp;"|"&amp;$V608)</f>
        <v/>
      </c>
      <c r="Y608" s="17">
        <f>IF($W608="","",$G608&amp;"|"&amp;$W608)</f>
        <v/>
      </c>
    </row>
    <row r="609">
      <c r="A609" s="7" t="inlineStr">
        <is>
          <t>XS2390400633</t>
        </is>
      </c>
      <c r="B609" s="8">
        <f>IF($A609="","",PROPER(_xll.BDP($A609&amp;" Corp","NAME")))</f>
        <v/>
      </c>
      <c r="C609" s="8">
        <f>IF($A609="","",IFERROR(INDEX(Company_desc!$B$2:$B$1144,MATCH($A609,Company_desc!$A$2:$A$1144,0)),IFERROR(INDEX(SYZ_static!$Q$2:$Q$806,MATCH($A609,SYZ_static!$A$2:$A$806,0)),"")))</f>
        <v/>
      </c>
      <c r="D609" s="8">
        <f>IF($A609="","",IFERROR(INDEX(SYZ_static!$B$2:$B$806,MATCH($A609,SYZ_static!$A$2:$A$806,0)),""))</f>
        <v/>
      </c>
      <c r="E609" s="8">
        <f>IF($A609="","",_xll.BDP($A609&amp;" Corp","INDUSTRY_SECTOR"))</f>
        <v/>
      </c>
      <c r="F609" s="8">
        <f>IF($A609="","",PROPER(_xll.BDP($A609&amp;" Corp","COUNTRY_FULL_NAME")))</f>
        <v/>
      </c>
      <c r="G609" s="8">
        <f>IF($A609="","",_xll.BDP($A609&amp;" Corp","CRNCY"))</f>
        <v/>
      </c>
      <c r="H609" s="8">
        <f>IF($A609="","",IFERROR(INDEX(SYZ_static!$T$2:$T$806,MATCH($A609,SYZ_static!$A$2:$A$806,0)),_xll.BDP($A609&amp;" Corp","RTG_SP")))</f>
        <v/>
      </c>
      <c r="I609" s="8">
        <f>IF($A609="","",IFERROR(INDEX(SYZ_static!$S$2:$S$806,MATCH($A609,SYZ_static!$A$2:$A$806,0)),""))</f>
        <v/>
      </c>
      <c r="J609" s="8">
        <f>IF($A609="","",_xll.BDP($A609&amp;" Corp","PAYMENT_RANK"))</f>
        <v/>
      </c>
      <c r="K609" s="9">
        <f>IF($A609="","",_xll.BDP($A609&amp;" Corp","CPN"))</f>
        <v/>
      </c>
      <c r="L609" s="10">
        <f>IF($A609="","",_xll.BDP($A609&amp;" Corp","MATURITY"))</f>
        <v/>
      </c>
      <c r="M609" s="11">
        <f>IF($A609="","",IFERROR(_xll.BDP($A609&amp;" Corp","MIN_PIECE")/1000,""))</f>
        <v/>
      </c>
      <c r="N609" s="12">
        <f>IF($A609="","",_xll.BDP($A609&amp;" Corp","PX_LAST"))</f>
        <v/>
      </c>
      <c r="O609" s="12">
        <f>IF($A609="","",_xll.BDP($A609&amp;" Corp","YAS_BOND_YLD","YAS_YLD_FLAG=15"))</f>
        <v/>
      </c>
      <c r="P609" s="12">
        <f>IF($A609="","",_xll.BDP($A609&amp;" Corp","YAS_MOD_DUR"))</f>
        <v/>
      </c>
      <c r="Q609" s="13">
        <f>IF($A609="","",_xll.BDP($A609&amp;" Corp","YAS_OAS_SPRD"))</f>
        <v/>
      </c>
      <c r="R609" s="13">
        <f>IF($A609="","",_xll.BDP($A609&amp;" Corp","YAS_OAS_SPRD","SETTLE_DT",$B$2))</f>
        <v/>
      </c>
      <c r="S609" s="14">
        <f>IF($A609="","",IF(OR(NOT(ISNUMBER($Q609)),NOT(ISNUMBER($R609))),"",$Q609-$R609))</f>
        <v/>
      </c>
      <c r="T609" s="12">
        <f>IF($A609="","",_xll.BDP($A609&amp;" Corp","YAS_BOND_YLD","YAS_YLD_FLAG=15","SETTLE_DT",$B$2))</f>
        <v/>
      </c>
      <c r="U609" s="15">
        <f>IF($A609="","",IF(OR(NOT(ISNUMBER($O609)),NOT(ISNUMBER($T609))),"",$O609-$T609))</f>
        <v/>
      </c>
      <c r="V609" s="13">
        <f>IF(NOT(ISNUMBER($S609)),"",COUNTIFS($G$7:$G$850,$G609,$S$7:$S$850,"&gt;"&amp;$S609)+COUNTIFS($G$7:$G609,$G609,$S$7:$S609,$S609))</f>
        <v/>
      </c>
      <c r="W609" s="13">
        <f>IF(NOT(ISNUMBER($S609)),"",COUNTIFS($G$7:$G$850,$G609,$S$7:$S$850,"&lt;"&amp;$S609)+COUNTIFS($G$7:$G609,$G609,$S$7:$S609,$S609))</f>
        <v/>
      </c>
      <c r="X609" s="8">
        <f>IF($V609="","",$G609&amp;"|"&amp;$V609)</f>
        <v/>
      </c>
      <c r="Y609" s="8">
        <f>IF($W609="","",$G609&amp;"|"&amp;$W609)</f>
        <v/>
      </c>
    </row>
    <row r="610">
      <c r="A610" s="16" t="inlineStr">
        <is>
          <t>US06368LGV27</t>
        </is>
      </c>
      <c r="B610" s="17">
        <f>IF($A610="","",PROPER(_xll.BDP($A610&amp;" Corp","NAME")))</f>
        <v/>
      </c>
      <c r="C610" s="17">
        <f>IF($A610="","",IFERROR(INDEX(Company_desc!$B$2:$B$1144,MATCH($A610,Company_desc!$A$2:$A$1144,0)),IFERROR(INDEX(SYZ_static!$Q$2:$Q$806,MATCH($A610,SYZ_static!$A$2:$A$806,0)),"")))</f>
        <v/>
      </c>
      <c r="D610" s="17">
        <f>IF($A610="","",IFERROR(INDEX(SYZ_static!$B$2:$B$806,MATCH($A610,SYZ_static!$A$2:$A$806,0)),""))</f>
        <v/>
      </c>
      <c r="E610" s="17">
        <f>IF($A610="","",_xll.BDP($A610&amp;" Corp","INDUSTRY_SECTOR"))</f>
        <v/>
      </c>
      <c r="F610" s="17">
        <f>IF($A610="","",PROPER(_xll.BDP($A610&amp;" Corp","COUNTRY_FULL_NAME")))</f>
        <v/>
      </c>
      <c r="G610" s="17">
        <f>IF($A610="","",_xll.BDP($A610&amp;" Corp","CRNCY"))</f>
        <v/>
      </c>
      <c r="H610" s="17">
        <f>IF($A610="","",IFERROR(INDEX(SYZ_static!$T$2:$T$806,MATCH($A610,SYZ_static!$A$2:$A$806,0)),_xll.BDP($A610&amp;" Corp","RTG_SP")))</f>
        <v/>
      </c>
      <c r="I610" s="17">
        <f>IF($A610="","",IFERROR(INDEX(SYZ_static!$S$2:$S$806,MATCH($A610,SYZ_static!$A$2:$A$806,0)),""))</f>
        <v/>
      </c>
      <c r="J610" s="17">
        <f>IF($A610="","",_xll.BDP($A610&amp;" Corp","PAYMENT_RANK"))</f>
        <v/>
      </c>
      <c r="K610" s="18">
        <f>IF($A610="","",_xll.BDP($A610&amp;" Corp","CPN"))</f>
        <v/>
      </c>
      <c r="L610" s="19">
        <f>IF($A610="","",_xll.BDP($A610&amp;" Corp","MATURITY"))</f>
        <v/>
      </c>
      <c r="M610" s="20">
        <f>IF($A610="","",IFERROR(_xll.BDP($A610&amp;" Corp","MIN_PIECE")/1000,""))</f>
        <v/>
      </c>
      <c r="N610" s="21">
        <f>IF($A610="","",_xll.BDP($A610&amp;" Corp","PX_LAST"))</f>
        <v/>
      </c>
      <c r="O610" s="21">
        <f>IF($A610="","",_xll.BDP($A610&amp;" Corp","YAS_BOND_YLD","YAS_YLD_FLAG=15"))</f>
        <v/>
      </c>
      <c r="P610" s="21">
        <f>IF($A610="","",_xll.BDP($A610&amp;" Corp","YAS_MOD_DUR"))</f>
        <v/>
      </c>
      <c r="Q610" s="22">
        <f>IF($A610="","",_xll.BDP($A610&amp;" Corp","YAS_OAS_SPRD"))</f>
        <v/>
      </c>
      <c r="R610" s="22">
        <f>IF($A610="","",_xll.BDP($A610&amp;" Corp","YAS_OAS_SPRD","SETTLE_DT",$B$2))</f>
        <v/>
      </c>
      <c r="S610" s="23">
        <f>IF($A610="","",IF(OR(NOT(ISNUMBER($Q610)),NOT(ISNUMBER($R610))),"",$Q610-$R610))</f>
        <v/>
      </c>
      <c r="T610" s="21">
        <f>IF($A610="","",_xll.BDP($A610&amp;" Corp","YAS_BOND_YLD","YAS_YLD_FLAG=15","SETTLE_DT",$B$2))</f>
        <v/>
      </c>
      <c r="U610" s="24">
        <f>IF($A610="","",IF(OR(NOT(ISNUMBER($O610)),NOT(ISNUMBER($T610))),"",$O610-$T610))</f>
        <v/>
      </c>
      <c r="V610" s="22">
        <f>IF(NOT(ISNUMBER($S610)),"",COUNTIFS($G$7:$G$850,$G610,$S$7:$S$850,"&gt;"&amp;$S610)+COUNTIFS($G$7:$G610,$G610,$S$7:$S610,$S610))</f>
        <v/>
      </c>
      <c r="W610" s="22">
        <f>IF(NOT(ISNUMBER($S610)),"",COUNTIFS($G$7:$G$850,$G610,$S$7:$S$850,"&lt;"&amp;$S610)+COUNTIFS($G$7:$G610,$G610,$S$7:$S610,$S610))</f>
        <v/>
      </c>
      <c r="X610" s="17">
        <f>IF($V610="","",$G610&amp;"|"&amp;$V610)</f>
        <v/>
      </c>
      <c r="Y610" s="17">
        <f>IF($W610="","",$G610&amp;"|"&amp;$W610)</f>
        <v/>
      </c>
    </row>
    <row r="611">
      <c r="A611" s="7" t="inlineStr">
        <is>
          <t>XS2572989817</t>
        </is>
      </c>
      <c r="B611" s="8">
        <f>IF($A611="","",PROPER(_xll.BDP($A611&amp;" Corp","NAME")))</f>
        <v/>
      </c>
      <c r="C611" s="8">
        <f>IF($A611="","",IFERROR(INDEX(Company_desc!$B$2:$B$1144,MATCH($A611,Company_desc!$A$2:$A$1144,0)),IFERROR(INDEX(SYZ_static!$Q$2:$Q$806,MATCH($A611,SYZ_static!$A$2:$A$806,0)),"")))</f>
        <v/>
      </c>
      <c r="D611" s="8">
        <f>IF($A611="","",IFERROR(INDEX(SYZ_static!$B$2:$B$806,MATCH($A611,SYZ_static!$A$2:$A$806,0)),""))</f>
        <v/>
      </c>
      <c r="E611" s="8">
        <f>IF($A611="","",_xll.BDP($A611&amp;" Corp","INDUSTRY_SECTOR"))</f>
        <v/>
      </c>
      <c r="F611" s="8">
        <f>IF($A611="","",PROPER(_xll.BDP($A611&amp;" Corp","COUNTRY_FULL_NAME")))</f>
        <v/>
      </c>
      <c r="G611" s="8">
        <f>IF($A611="","",_xll.BDP($A611&amp;" Corp","CRNCY"))</f>
        <v/>
      </c>
      <c r="H611" s="8">
        <f>IF($A611="","",IFERROR(INDEX(SYZ_static!$T$2:$T$806,MATCH($A611,SYZ_static!$A$2:$A$806,0)),_xll.BDP($A611&amp;" Corp","RTG_SP")))</f>
        <v/>
      </c>
      <c r="I611" s="8">
        <f>IF($A611="","",IFERROR(INDEX(SYZ_static!$S$2:$S$806,MATCH($A611,SYZ_static!$A$2:$A$806,0)),""))</f>
        <v/>
      </c>
      <c r="J611" s="8">
        <f>IF($A611="","",_xll.BDP($A611&amp;" Corp","PAYMENT_RANK"))</f>
        <v/>
      </c>
      <c r="K611" s="9">
        <f>IF($A611="","",_xll.BDP($A611&amp;" Corp","CPN"))</f>
        <v/>
      </c>
      <c r="L611" s="10">
        <f>IF($A611="","",_xll.BDP($A611&amp;" Corp","MATURITY"))</f>
        <v/>
      </c>
      <c r="M611" s="11">
        <f>IF($A611="","",IFERROR(_xll.BDP($A611&amp;" Corp","MIN_PIECE")/1000,""))</f>
        <v/>
      </c>
      <c r="N611" s="12">
        <f>IF($A611="","",_xll.BDP($A611&amp;" Corp","PX_LAST"))</f>
        <v/>
      </c>
      <c r="O611" s="12">
        <f>IF($A611="","",_xll.BDP($A611&amp;" Corp","YAS_BOND_YLD","YAS_YLD_FLAG=15"))</f>
        <v/>
      </c>
      <c r="P611" s="12">
        <f>IF($A611="","",_xll.BDP($A611&amp;" Corp","YAS_MOD_DUR"))</f>
        <v/>
      </c>
      <c r="Q611" s="13">
        <f>IF($A611="","",_xll.BDP($A611&amp;" Corp","YAS_OAS_SPRD"))</f>
        <v/>
      </c>
      <c r="R611" s="13">
        <f>IF($A611="","",_xll.BDP($A611&amp;" Corp","YAS_OAS_SPRD","SETTLE_DT",$B$2))</f>
        <v/>
      </c>
      <c r="S611" s="14">
        <f>IF($A611="","",IF(OR(NOT(ISNUMBER($Q611)),NOT(ISNUMBER($R611))),"",$Q611-$R611))</f>
        <v/>
      </c>
      <c r="T611" s="12">
        <f>IF($A611="","",_xll.BDP($A611&amp;" Corp","YAS_BOND_YLD","YAS_YLD_FLAG=15","SETTLE_DT",$B$2))</f>
        <v/>
      </c>
      <c r="U611" s="15">
        <f>IF($A611="","",IF(OR(NOT(ISNUMBER($O611)),NOT(ISNUMBER($T611))),"",$O611-$T611))</f>
        <v/>
      </c>
      <c r="V611" s="13">
        <f>IF(NOT(ISNUMBER($S611)),"",COUNTIFS($G$7:$G$850,$G611,$S$7:$S$850,"&gt;"&amp;$S611)+COUNTIFS($G$7:$G611,$G611,$S$7:$S611,$S611))</f>
        <v/>
      </c>
      <c r="W611" s="13">
        <f>IF(NOT(ISNUMBER($S611)),"",COUNTIFS($G$7:$G$850,$G611,$S$7:$S$850,"&lt;"&amp;$S611)+COUNTIFS($G$7:$G611,$G611,$S$7:$S611,$S611))</f>
        <v/>
      </c>
      <c r="X611" s="8">
        <f>IF($V611="","",$G611&amp;"|"&amp;$V611)</f>
        <v/>
      </c>
      <c r="Y611" s="8">
        <f>IF($W611="","",$G611&amp;"|"&amp;$W611)</f>
        <v/>
      </c>
    </row>
    <row r="612">
      <c r="A612" s="16" t="inlineStr">
        <is>
          <t>XS0096412548</t>
        </is>
      </c>
      <c r="B612" s="17">
        <f>IF($A612="","",PROPER(_xll.BDP($A612&amp;" Corp","NAME")))</f>
        <v/>
      </c>
      <c r="C612" s="17">
        <f>IF($A612="","",IFERROR(INDEX(Company_desc!$B$2:$B$1144,MATCH($A612,Company_desc!$A$2:$A$1144,0)),IFERROR(INDEX(SYZ_static!$Q$2:$Q$806,MATCH($A612,SYZ_static!$A$2:$A$806,0)),"")))</f>
        <v/>
      </c>
      <c r="D612" s="17">
        <f>IF($A612="","",IFERROR(INDEX(SYZ_static!$B$2:$B$806,MATCH($A612,SYZ_static!$A$2:$A$806,0)),""))</f>
        <v/>
      </c>
      <c r="E612" s="17">
        <f>IF($A612="","",_xll.BDP($A612&amp;" Corp","INDUSTRY_SECTOR"))</f>
        <v/>
      </c>
      <c r="F612" s="17">
        <f>IF($A612="","",PROPER(_xll.BDP($A612&amp;" Corp","COUNTRY_FULL_NAME")))</f>
        <v/>
      </c>
      <c r="G612" s="17">
        <f>IF($A612="","",_xll.BDP($A612&amp;" Corp","CRNCY"))</f>
        <v/>
      </c>
      <c r="H612" s="17">
        <f>IF($A612="","",IFERROR(INDEX(SYZ_static!$T$2:$T$806,MATCH($A612,SYZ_static!$A$2:$A$806,0)),_xll.BDP($A612&amp;" Corp","RTG_SP")))</f>
        <v/>
      </c>
      <c r="I612" s="17">
        <f>IF($A612="","",IFERROR(INDEX(SYZ_static!$S$2:$S$806,MATCH($A612,SYZ_static!$A$2:$A$806,0)),""))</f>
        <v/>
      </c>
      <c r="J612" s="17">
        <f>IF($A612="","",_xll.BDP($A612&amp;" Corp","PAYMENT_RANK"))</f>
        <v/>
      </c>
      <c r="K612" s="18">
        <f>IF($A612="","",_xll.BDP($A612&amp;" Corp","CPN"))</f>
        <v/>
      </c>
      <c r="L612" s="19">
        <f>IF($A612="","",_xll.BDP($A612&amp;" Corp","MATURITY"))</f>
        <v/>
      </c>
      <c r="M612" s="20">
        <f>IF($A612="","",IFERROR(_xll.BDP($A612&amp;" Corp","MIN_PIECE")/1000,""))</f>
        <v/>
      </c>
      <c r="N612" s="21">
        <f>IF($A612="","",_xll.BDP($A612&amp;" Corp","PX_LAST"))</f>
        <v/>
      </c>
      <c r="O612" s="21">
        <f>IF($A612="","",_xll.BDP($A612&amp;" Corp","YAS_BOND_YLD","YAS_YLD_FLAG=15"))</f>
        <v/>
      </c>
      <c r="P612" s="21">
        <f>IF($A612="","",_xll.BDP($A612&amp;" Corp","YAS_MOD_DUR"))</f>
        <v/>
      </c>
      <c r="Q612" s="22">
        <f>IF($A612="","",_xll.BDP($A612&amp;" Corp","YAS_OAS_SPRD"))</f>
        <v/>
      </c>
      <c r="R612" s="22">
        <f>IF($A612="","",_xll.BDP($A612&amp;" Corp","YAS_OAS_SPRD","SETTLE_DT",$B$2))</f>
        <v/>
      </c>
      <c r="S612" s="23">
        <f>IF($A612="","",IF(OR(NOT(ISNUMBER($Q612)),NOT(ISNUMBER($R612))),"",$Q612-$R612))</f>
        <v/>
      </c>
      <c r="T612" s="21">
        <f>IF($A612="","",_xll.BDP($A612&amp;" Corp","YAS_BOND_YLD","YAS_YLD_FLAG=15","SETTLE_DT",$B$2))</f>
        <v/>
      </c>
      <c r="U612" s="24">
        <f>IF($A612="","",IF(OR(NOT(ISNUMBER($O612)),NOT(ISNUMBER($T612))),"",$O612-$T612))</f>
        <v/>
      </c>
      <c r="V612" s="22">
        <f>IF(NOT(ISNUMBER($S612)),"",COUNTIFS($G$7:$G$850,$G612,$S$7:$S$850,"&gt;"&amp;$S612)+COUNTIFS($G$7:$G612,$G612,$S$7:$S612,$S612))</f>
        <v/>
      </c>
      <c r="W612" s="22">
        <f>IF(NOT(ISNUMBER($S612)),"",COUNTIFS($G$7:$G$850,$G612,$S$7:$S$850,"&lt;"&amp;$S612)+COUNTIFS($G$7:$G612,$G612,$S$7:$S612,$S612))</f>
        <v/>
      </c>
      <c r="X612" s="17">
        <f>IF($V612="","",$G612&amp;"|"&amp;$V612)</f>
        <v/>
      </c>
      <c r="Y612" s="17">
        <f>IF($W612="","",$G612&amp;"|"&amp;$W612)</f>
        <v/>
      </c>
    </row>
    <row r="613">
      <c r="A613" s="7" t="inlineStr">
        <is>
          <t>US105756AE07</t>
        </is>
      </c>
      <c r="B613" s="8">
        <f>IF($A613="","",PROPER(_xll.BDP($A613&amp;" Corp","NAME")))</f>
        <v/>
      </c>
      <c r="C613" s="8">
        <f>IF($A613="","",IFERROR(INDEX(Company_desc!$B$2:$B$1144,MATCH($A613,Company_desc!$A$2:$A$1144,0)),IFERROR(INDEX(SYZ_static!$Q$2:$Q$806,MATCH($A613,SYZ_static!$A$2:$A$806,0)),"")))</f>
        <v/>
      </c>
      <c r="D613" s="8">
        <f>IF($A613="","",IFERROR(INDEX(SYZ_static!$B$2:$B$806,MATCH($A613,SYZ_static!$A$2:$A$806,0)),""))</f>
        <v/>
      </c>
      <c r="E613" s="8">
        <f>IF($A613="","",_xll.BDP($A613&amp;" Corp","INDUSTRY_SECTOR"))</f>
        <v/>
      </c>
      <c r="F613" s="8">
        <f>IF($A613="","",PROPER(_xll.BDP($A613&amp;" Corp","COUNTRY_FULL_NAME")))</f>
        <v/>
      </c>
      <c r="G613" s="8">
        <f>IF($A613="","",_xll.BDP($A613&amp;" Corp","CRNCY"))</f>
        <v/>
      </c>
      <c r="H613" s="8">
        <f>IF($A613="","",IFERROR(INDEX(SYZ_static!$T$2:$T$806,MATCH($A613,SYZ_static!$A$2:$A$806,0)),_xll.BDP($A613&amp;" Corp","RTG_SP")))</f>
        <v/>
      </c>
      <c r="I613" s="8">
        <f>IF($A613="","",IFERROR(INDEX(SYZ_static!$S$2:$S$806,MATCH($A613,SYZ_static!$A$2:$A$806,0)),""))</f>
        <v/>
      </c>
      <c r="J613" s="8">
        <f>IF($A613="","",_xll.BDP($A613&amp;" Corp","PAYMENT_RANK"))</f>
        <v/>
      </c>
      <c r="K613" s="9">
        <f>IF($A613="","",_xll.BDP($A613&amp;" Corp","CPN"))</f>
        <v/>
      </c>
      <c r="L613" s="10">
        <f>IF($A613="","",_xll.BDP($A613&amp;" Corp","MATURITY"))</f>
        <v/>
      </c>
      <c r="M613" s="11">
        <f>IF($A613="","",IFERROR(_xll.BDP($A613&amp;" Corp","MIN_PIECE")/1000,""))</f>
        <v/>
      </c>
      <c r="N613" s="12">
        <f>IF($A613="","",_xll.BDP($A613&amp;" Corp","PX_LAST"))</f>
        <v/>
      </c>
      <c r="O613" s="12">
        <f>IF($A613="","",_xll.BDP($A613&amp;" Corp","YAS_BOND_YLD","YAS_YLD_FLAG=15"))</f>
        <v/>
      </c>
      <c r="P613" s="12">
        <f>IF($A613="","",_xll.BDP($A613&amp;" Corp","YAS_MOD_DUR"))</f>
        <v/>
      </c>
      <c r="Q613" s="13">
        <f>IF($A613="","",_xll.BDP($A613&amp;" Corp","YAS_OAS_SPRD"))</f>
        <v/>
      </c>
      <c r="R613" s="13">
        <f>IF($A613="","",_xll.BDP($A613&amp;" Corp","YAS_OAS_SPRD","SETTLE_DT",$B$2))</f>
        <v/>
      </c>
      <c r="S613" s="14">
        <f>IF($A613="","",IF(OR(NOT(ISNUMBER($Q613)),NOT(ISNUMBER($R613))),"",$Q613-$R613))</f>
        <v/>
      </c>
      <c r="T613" s="12">
        <f>IF($A613="","",_xll.BDP($A613&amp;" Corp","YAS_BOND_YLD","YAS_YLD_FLAG=15","SETTLE_DT",$B$2))</f>
        <v/>
      </c>
      <c r="U613" s="15">
        <f>IF($A613="","",IF(OR(NOT(ISNUMBER($O613)),NOT(ISNUMBER($T613))),"",$O613-$T613))</f>
        <v/>
      </c>
      <c r="V613" s="13">
        <f>IF(NOT(ISNUMBER($S613)),"",COUNTIFS($G$7:$G$850,$G613,$S$7:$S$850,"&gt;"&amp;$S613)+COUNTIFS($G$7:$G613,$G613,$S$7:$S613,$S613))</f>
        <v/>
      </c>
      <c r="W613" s="13">
        <f>IF(NOT(ISNUMBER($S613)),"",COUNTIFS($G$7:$G$850,$G613,$S$7:$S$850,"&lt;"&amp;$S613)+COUNTIFS($G$7:$G613,$G613,$S$7:$S613,$S613))</f>
        <v/>
      </c>
      <c r="X613" s="8">
        <f>IF($V613="","",$G613&amp;"|"&amp;$V613)</f>
        <v/>
      </c>
      <c r="Y613" s="8">
        <f>IF($W613="","",$G613&amp;"|"&amp;$W613)</f>
        <v/>
      </c>
    </row>
    <row r="614">
      <c r="A614" s="16" t="inlineStr">
        <is>
          <t>US00440KAC71</t>
        </is>
      </c>
      <c r="B614" s="17">
        <f>IF($A614="","",PROPER(_xll.BDP($A614&amp;" Corp","NAME")))</f>
        <v/>
      </c>
      <c r="C614" s="17">
        <f>IF($A614="","",IFERROR(INDEX(Company_desc!$B$2:$B$1144,MATCH($A614,Company_desc!$A$2:$A$1144,0)),IFERROR(INDEX(SYZ_static!$Q$2:$Q$806,MATCH($A614,SYZ_static!$A$2:$A$806,0)),"")))</f>
        <v/>
      </c>
      <c r="D614" s="17">
        <f>IF($A614="","",IFERROR(INDEX(SYZ_static!$B$2:$B$806,MATCH($A614,SYZ_static!$A$2:$A$806,0)),""))</f>
        <v/>
      </c>
      <c r="E614" s="17">
        <f>IF($A614="","",_xll.BDP($A614&amp;" Corp","INDUSTRY_SECTOR"))</f>
        <v/>
      </c>
      <c r="F614" s="17">
        <f>IF($A614="","",PROPER(_xll.BDP($A614&amp;" Corp","COUNTRY_FULL_NAME")))</f>
        <v/>
      </c>
      <c r="G614" s="17">
        <f>IF($A614="","",_xll.BDP($A614&amp;" Corp","CRNCY"))</f>
        <v/>
      </c>
      <c r="H614" s="17">
        <f>IF($A614="","",IFERROR(INDEX(SYZ_static!$T$2:$T$806,MATCH($A614,SYZ_static!$A$2:$A$806,0)),_xll.BDP($A614&amp;" Corp","RTG_SP")))</f>
        <v/>
      </c>
      <c r="I614" s="17">
        <f>IF($A614="","",IFERROR(INDEX(SYZ_static!$S$2:$S$806,MATCH($A614,SYZ_static!$A$2:$A$806,0)),""))</f>
        <v/>
      </c>
      <c r="J614" s="17">
        <f>IF($A614="","",_xll.BDP($A614&amp;" Corp","PAYMENT_RANK"))</f>
        <v/>
      </c>
      <c r="K614" s="18">
        <f>IF($A614="","",_xll.BDP($A614&amp;" Corp","CPN"))</f>
        <v/>
      </c>
      <c r="L614" s="19">
        <f>IF($A614="","",_xll.BDP($A614&amp;" Corp","MATURITY"))</f>
        <v/>
      </c>
      <c r="M614" s="20">
        <f>IF($A614="","",IFERROR(_xll.BDP($A614&amp;" Corp","MIN_PIECE")/1000,""))</f>
        <v/>
      </c>
      <c r="N614" s="21">
        <f>IF($A614="","",_xll.BDP($A614&amp;" Corp","PX_LAST"))</f>
        <v/>
      </c>
      <c r="O614" s="21">
        <f>IF($A614="","",_xll.BDP($A614&amp;" Corp","YAS_BOND_YLD","YAS_YLD_FLAG=15"))</f>
        <v/>
      </c>
      <c r="P614" s="21">
        <f>IF($A614="","",_xll.BDP($A614&amp;" Corp","YAS_MOD_DUR"))</f>
        <v/>
      </c>
      <c r="Q614" s="22">
        <f>IF($A614="","",_xll.BDP($A614&amp;" Corp","YAS_OAS_SPRD"))</f>
        <v/>
      </c>
      <c r="R614" s="22">
        <f>IF($A614="","",_xll.BDP($A614&amp;" Corp","YAS_OAS_SPRD","SETTLE_DT",$B$2))</f>
        <v/>
      </c>
      <c r="S614" s="23">
        <f>IF($A614="","",IF(OR(NOT(ISNUMBER($Q614)),NOT(ISNUMBER($R614))),"",$Q614-$R614))</f>
        <v/>
      </c>
      <c r="T614" s="21">
        <f>IF($A614="","",_xll.BDP($A614&amp;" Corp","YAS_BOND_YLD","YAS_YLD_FLAG=15","SETTLE_DT",$B$2))</f>
        <v/>
      </c>
      <c r="U614" s="24">
        <f>IF($A614="","",IF(OR(NOT(ISNUMBER($O614)),NOT(ISNUMBER($T614))),"",$O614-$T614))</f>
        <v/>
      </c>
      <c r="V614" s="22">
        <f>IF(NOT(ISNUMBER($S614)),"",COUNTIFS($G$7:$G$850,$G614,$S$7:$S$850,"&gt;"&amp;$S614)+COUNTIFS($G$7:$G614,$G614,$S$7:$S614,$S614))</f>
        <v/>
      </c>
      <c r="W614" s="22">
        <f>IF(NOT(ISNUMBER($S614)),"",COUNTIFS($G$7:$G$850,$G614,$S$7:$S$850,"&lt;"&amp;$S614)+COUNTIFS($G$7:$G614,$G614,$S$7:$S614,$S614))</f>
        <v/>
      </c>
      <c r="X614" s="17">
        <f>IF($V614="","",$G614&amp;"|"&amp;$V614)</f>
        <v/>
      </c>
      <c r="Y614" s="17">
        <f>IF($W614="","",$G614&amp;"|"&amp;$W614)</f>
        <v/>
      </c>
    </row>
    <row r="615">
      <c r="A615" s="7" t="inlineStr">
        <is>
          <t>XS1846632104</t>
        </is>
      </c>
      <c r="B615" s="8">
        <f>IF($A615="","",PROPER(_xll.BDP($A615&amp;" Corp","NAME")))</f>
        <v/>
      </c>
      <c r="C615" s="8">
        <f>IF($A615="","",IFERROR(INDEX(Company_desc!$B$2:$B$1144,MATCH($A615,Company_desc!$A$2:$A$1144,0)),IFERROR(INDEX(SYZ_static!$Q$2:$Q$806,MATCH($A615,SYZ_static!$A$2:$A$806,0)),"")))</f>
        <v/>
      </c>
      <c r="D615" s="8">
        <f>IF($A615="","",IFERROR(INDEX(SYZ_static!$B$2:$B$806,MATCH($A615,SYZ_static!$A$2:$A$806,0)),""))</f>
        <v/>
      </c>
      <c r="E615" s="8">
        <f>IF($A615="","",_xll.BDP($A615&amp;" Corp","INDUSTRY_SECTOR"))</f>
        <v/>
      </c>
      <c r="F615" s="8">
        <f>IF($A615="","",PROPER(_xll.BDP($A615&amp;" Corp","COUNTRY_FULL_NAME")))</f>
        <v/>
      </c>
      <c r="G615" s="8">
        <f>IF($A615="","",_xll.BDP($A615&amp;" Corp","CRNCY"))</f>
        <v/>
      </c>
      <c r="H615" s="8">
        <f>IF($A615="","",IFERROR(INDEX(SYZ_static!$T$2:$T$806,MATCH($A615,SYZ_static!$A$2:$A$806,0)),_xll.BDP($A615&amp;" Corp","RTG_SP")))</f>
        <v/>
      </c>
      <c r="I615" s="8">
        <f>IF($A615="","",IFERROR(INDEX(SYZ_static!$S$2:$S$806,MATCH($A615,SYZ_static!$A$2:$A$806,0)),""))</f>
        <v/>
      </c>
      <c r="J615" s="8">
        <f>IF($A615="","",_xll.BDP($A615&amp;" Corp","PAYMENT_RANK"))</f>
        <v/>
      </c>
      <c r="K615" s="9">
        <f>IF($A615="","",_xll.BDP($A615&amp;" Corp","CPN"))</f>
        <v/>
      </c>
      <c r="L615" s="10">
        <f>IF($A615="","",_xll.BDP($A615&amp;" Corp","MATURITY"))</f>
        <v/>
      </c>
      <c r="M615" s="11">
        <f>IF($A615="","",IFERROR(_xll.BDP($A615&amp;" Corp","MIN_PIECE")/1000,""))</f>
        <v/>
      </c>
      <c r="N615" s="12">
        <f>IF($A615="","",_xll.BDP($A615&amp;" Corp","PX_LAST"))</f>
        <v/>
      </c>
      <c r="O615" s="12">
        <f>IF($A615="","",_xll.BDP($A615&amp;" Corp","YAS_BOND_YLD","YAS_YLD_FLAG=15"))</f>
        <v/>
      </c>
      <c r="P615" s="12">
        <f>IF($A615="","",_xll.BDP($A615&amp;" Corp","YAS_MOD_DUR"))</f>
        <v/>
      </c>
      <c r="Q615" s="13">
        <f>IF($A615="","",_xll.BDP($A615&amp;" Corp","YAS_OAS_SPRD"))</f>
        <v/>
      </c>
      <c r="R615" s="13">
        <f>IF($A615="","",_xll.BDP($A615&amp;" Corp","YAS_OAS_SPRD","SETTLE_DT",$B$2))</f>
        <v/>
      </c>
      <c r="S615" s="14">
        <f>IF($A615="","",IF(OR(NOT(ISNUMBER($Q615)),NOT(ISNUMBER($R615))),"",$Q615-$R615))</f>
        <v/>
      </c>
      <c r="T615" s="12">
        <f>IF($A615="","",_xll.BDP($A615&amp;" Corp","YAS_BOND_YLD","YAS_YLD_FLAG=15","SETTLE_DT",$B$2))</f>
        <v/>
      </c>
      <c r="U615" s="15">
        <f>IF($A615="","",IF(OR(NOT(ISNUMBER($O615)),NOT(ISNUMBER($T615))),"",$O615-$T615))</f>
        <v/>
      </c>
      <c r="V615" s="13">
        <f>IF(NOT(ISNUMBER($S615)),"",COUNTIFS($G$7:$G$850,$G615,$S$7:$S$850,"&gt;"&amp;$S615)+COUNTIFS($G$7:$G615,$G615,$S$7:$S615,$S615))</f>
        <v/>
      </c>
      <c r="W615" s="13">
        <f>IF(NOT(ISNUMBER($S615)),"",COUNTIFS($G$7:$G$850,$G615,$S$7:$S$850,"&lt;"&amp;$S615)+COUNTIFS($G$7:$G615,$G615,$S$7:$S615,$S615))</f>
        <v/>
      </c>
      <c r="X615" s="8">
        <f>IF($V615="","",$G615&amp;"|"&amp;$V615)</f>
        <v/>
      </c>
      <c r="Y615" s="8">
        <f>IF($W615="","",$G615&amp;"|"&amp;$W615)</f>
        <v/>
      </c>
    </row>
    <row r="616">
      <c r="A616" s="16" t="inlineStr">
        <is>
          <t>XS2723549528</t>
        </is>
      </c>
      <c r="B616" s="17">
        <f>IF($A616="","",PROPER(_xll.BDP($A616&amp;" Corp","NAME")))</f>
        <v/>
      </c>
      <c r="C616" s="17">
        <f>IF($A616="","",IFERROR(INDEX(Company_desc!$B$2:$B$1144,MATCH($A616,Company_desc!$A$2:$A$1144,0)),IFERROR(INDEX(SYZ_static!$Q$2:$Q$806,MATCH($A616,SYZ_static!$A$2:$A$806,0)),"")))</f>
        <v/>
      </c>
      <c r="D616" s="17">
        <f>IF($A616="","",IFERROR(INDEX(SYZ_static!$B$2:$B$806,MATCH($A616,SYZ_static!$A$2:$A$806,0)),""))</f>
        <v/>
      </c>
      <c r="E616" s="17">
        <f>IF($A616="","",_xll.BDP($A616&amp;" Corp","INDUSTRY_SECTOR"))</f>
        <v/>
      </c>
      <c r="F616" s="17">
        <f>IF($A616="","",PROPER(_xll.BDP($A616&amp;" Corp","COUNTRY_FULL_NAME")))</f>
        <v/>
      </c>
      <c r="G616" s="17">
        <f>IF($A616="","",_xll.BDP($A616&amp;" Corp","CRNCY"))</f>
        <v/>
      </c>
      <c r="H616" s="17">
        <f>IF($A616="","",IFERROR(INDEX(SYZ_static!$T$2:$T$806,MATCH($A616,SYZ_static!$A$2:$A$806,0)),_xll.BDP($A616&amp;" Corp","RTG_SP")))</f>
        <v/>
      </c>
      <c r="I616" s="17">
        <f>IF($A616="","",IFERROR(INDEX(SYZ_static!$S$2:$S$806,MATCH($A616,SYZ_static!$A$2:$A$806,0)),""))</f>
        <v/>
      </c>
      <c r="J616" s="17">
        <f>IF($A616="","",_xll.BDP($A616&amp;" Corp","PAYMENT_RANK"))</f>
        <v/>
      </c>
      <c r="K616" s="18">
        <f>IF($A616="","",_xll.BDP($A616&amp;" Corp","CPN"))</f>
        <v/>
      </c>
      <c r="L616" s="19">
        <f>IF($A616="","",_xll.BDP($A616&amp;" Corp","MATURITY"))</f>
        <v/>
      </c>
      <c r="M616" s="20">
        <f>IF($A616="","",IFERROR(_xll.BDP($A616&amp;" Corp","MIN_PIECE")/1000,""))</f>
        <v/>
      </c>
      <c r="N616" s="21">
        <f>IF($A616="","",_xll.BDP($A616&amp;" Corp","PX_LAST"))</f>
        <v/>
      </c>
      <c r="O616" s="21">
        <f>IF($A616="","",_xll.BDP($A616&amp;" Corp","YAS_BOND_YLD","YAS_YLD_FLAG=15"))</f>
        <v/>
      </c>
      <c r="P616" s="21">
        <f>IF($A616="","",_xll.BDP($A616&amp;" Corp","YAS_MOD_DUR"))</f>
        <v/>
      </c>
      <c r="Q616" s="22">
        <f>IF($A616="","",_xll.BDP($A616&amp;" Corp","YAS_OAS_SPRD"))</f>
        <v/>
      </c>
      <c r="R616" s="22">
        <f>IF($A616="","",_xll.BDP($A616&amp;" Corp","YAS_OAS_SPRD","SETTLE_DT",$B$2))</f>
        <v/>
      </c>
      <c r="S616" s="23">
        <f>IF($A616="","",IF(OR(NOT(ISNUMBER($Q616)),NOT(ISNUMBER($R616))),"",$Q616-$R616))</f>
        <v/>
      </c>
      <c r="T616" s="21">
        <f>IF($A616="","",_xll.BDP($A616&amp;" Corp","YAS_BOND_YLD","YAS_YLD_FLAG=15","SETTLE_DT",$B$2))</f>
        <v/>
      </c>
      <c r="U616" s="24">
        <f>IF($A616="","",IF(OR(NOT(ISNUMBER($O616)),NOT(ISNUMBER($T616))),"",$O616-$T616))</f>
        <v/>
      </c>
      <c r="V616" s="22">
        <f>IF(NOT(ISNUMBER($S616)),"",COUNTIFS($G$7:$G$850,$G616,$S$7:$S$850,"&gt;"&amp;$S616)+COUNTIFS($G$7:$G616,$G616,$S$7:$S616,$S616))</f>
        <v/>
      </c>
      <c r="W616" s="22">
        <f>IF(NOT(ISNUMBER($S616)),"",COUNTIFS($G$7:$G$850,$G616,$S$7:$S$850,"&lt;"&amp;$S616)+COUNTIFS($G$7:$G616,$G616,$S$7:$S616,$S616))</f>
        <v/>
      </c>
      <c r="X616" s="17">
        <f>IF($V616="","",$G616&amp;"|"&amp;$V616)</f>
        <v/>
      </c>
      <c r="Y616" s="17">
        <f>IF($W616="","",$G616&amp;"|"&amp;$W616)</f>
        <v/>
      </c>
    </row>
    <row r="617">
      <c r="A617" s="7" t="inlineStr">
        <is>
          <t>XS2831017467</t>
        </is>
      </c>
      <c r="B617" s="8">
        <f>IF($A617="","",PROPER(_xll.BDP($A617&amp;" Corp","NAME")))</f>
        <v/>
      </c>
      <c r="C617" s="8">
        <f>IF($A617="","",IFERROR(INDEX(Company_desc!$B$2:$B$1144,MATCH($A617,Company_desc!$A$2:$A$1144,0)),IFERROR(INDEX(SYZ_static!$Q$2:$Q$806,MATCH($A617,SYZ_static!$A$2:$A$806,0)),"")))</f>
        <v/>
      </c>
      <c r="D617" s="8">
        <f>IF($A617="","",IFERROR(INDEX(SYZ_static!$B$2:$B$806,MATCH($A617,SYZ_static!$A$2:$A$806,0)),""))</f>
        <v/>
      </c>
      <c r="E617" s="8">
        <f>IF($A617="","",_xll.BDP($A617&amp;" Corp","INDUSTRY_SECTOR"))</f>
        <v/>
      </c>
      <c r="F617" s="8">
        <f>IF($A617="","",PROPER(_xll.BDP($A617&amp;" Corp","COUNTRY_FULL_NAME")))</f>
        <v/>
      </c>
      <c r="G617" s="8">
        <f>IF($A617="","",_xll.BDP($A617&amp;" Corp","CRNCY"))</f>
        <v/>
      </c>
      <c r="H617" s="8">
        <f>IF($A617="","",IFERROR(INDEX(SYZ_static!$T$2:$T$806,MATCH($A617,SYZ_static!$A$2:$A$806,0)),_xll.BDP($A617&amp;" Corp","RTG_SP")))</f>
        <v/>
      </c>
      <c r="I617" s="8">
        <f>IF($A617="","",IFERROR(INDEX(SYZ_static!$S$2:$S$806,MATCH($A617,SYZ_static!$A$2:$A$806,0)),""))</f>
        <v/>
      </c>
      <c r="J617" s="8">
        <f>IF($A617="","",_xll.BDP($A617&amp;" Corp","PAYMENT_RANK"))</f>
        <v/>
      </c>
      <c r="K617" s="9">
        <f>IF($A617="","",_xll.BDP($A617&amp;" Corp","CPN"))</f>
        <v/>
      </c>
      <c r="L617" s="10">
        <f>IF($A617="","",_xll.BDP($A617&amp;" Corp","MATURITY"))</f>
        <v/>
      </c>
      <c r="M617" s="11">
        <f>IF($A617="","",IFERROR(_xll.BDP($A617&amp;" Corp","MIN_PIECE")/1000,""))</f>
        <v/>
      </c>
      <c r="N617" s="12">
        <f>IF($A617="","",_xll.BDP($A617&amp;" Corp","PX_LAST"))</f>
        <v/>
      </c>
      <c r="O617" s="12">
        <f>IF($A617="","",_xll.BDP($A617&amp;" Corp","YAS_BOND_YLD","YAS_YLD_FLAG=15"))</f>
        <v/>
      </c>
      <c r="P617" s="12">
        <f>IF($A617="","",_xll.BDP($A617&amp;" Corp","YAS_MOD_DUR"))</f>
        <v/>
      </c>
      <c r="Q617" s="13">
        <f>IF($A617="","",_xll.BDP($A617&amp;" Corp","YAS_OAS_SPRD"))</f>
        <v/>
      </c>
      <c r="R617" s="13">
        <f>IF($A617="","",_xll.BDP($A617&amp;" Corp","YAS_OAS_SPRD","SETTLE_DT",$B$2))</f>
        <v/>
      </c>
      <c r="S617" s="14">
        <f>IF($A617="","",IF(OR(NOT(ISNUMBER($Q617)),NOT(ISNUMBER($R617))),"",$Q617-$R617))</f>
        <v/>
      </c>
      <c r="T617" s="12">
        <f>IF($A617="","",_xll.BDP($A617&amp;" Corp","YAS_BOND_YLD","YAS_YLD_FLAG=15","SETTLE_DT",$B$2))</f>
        <v/>
      </c>
      <c r="U617" s="15">
        <f>IF($A617="","",IF(OR(NOT(ISNUMBER($O617)),NOT(ISNUMBER($T617))),"",$O617-$T617))</f>
        <v/>
      </c>
      <c r="V617" s="13">
        <f>IF(NOT(ISNUMBER($S617)),"",COUNTIFS($G$7:$G$850,$G617,$S$7:$S$850,"&gt;"&amp;$S617)+COUNTIFS($G$7:$G617,$G617,$S$7:$S617,$S617))</f>
        <v/>
      </c>
      <c r="W617" s="13">
        <f>IF(NOT(ISNUMBER($S617)),"",COUNTIFS($G$7:$G$850,$G617,$S$7:$S$850,"&lt;"&amp;$S617)+COUNTIFS($G$7:$G617,$G617,$S$7:$S617,$S617))</f>
        <v/>
      </c>
      <c r="X617" s="8">
        <f>IF($V617="","",$G617&amp;"|"&amp;$V617)</f>
        <v/>
      </c>
      <c r="Y617" s="8">
        <f>IF($W617="","",$G617&amp;"|"&amp;$W617)</f>
        <v/>
      </c>
    </row>
    <row r="618">
      <c r="A618" s="16" t="inlineStr">
        <is>
          <t>XS2696749626</t>
        </is>
      </c>
      <c r="B618" s="17">
        <f>IF($A618="","",PROPER(_xll.BDP($A618&amp;" Corp","NAME")))</f>
        <v/>
      </c>
      <c r="C618" s="17">
        <f>IF($A618="","",IFERROR(INDEX(Company_desc!$B$2:$B$1144,MATCH($A618,Company_desc!$A$2:$A$1144,0)),IFERROR(INDEX(SYZ_static!$Q$2:$Q$806,MATCH($A618,SYZ_static!$A$2:$A$806,0)),"")))</f>
        <v/>
      </c>
      <c r="D618" s="17">
        <f>IF($A618="","",IFERROR(INDEX(SYZ_static!$B$2:$B$806,MATCH($A618,SYZ_static!$A$2:$A$806,0)),""))</f>
        <v/>
      </c>
      <c r="E618" s="17">
        <f>IF($A618="","",_xll.BDP($A618&amp;" Corp","INDUSTRY_SECTOR"))</f>
        <v/>
      </c>
      <c r="F618" s="17">
        <f>IF($A618="","",PROPER(_xll.BDP($A618&amp;" Corp","COUNTRY_FULL_NAME")))</f>
        <v/>
      </c>
      <c r="G618" s="17">
        <f>IF($A618="","",_xll.BDP($A618&amp;" Corp","CRNCY"))</f>
        <v/>
      </c>
      <c r="H618" s="17">
        <f>IF($A618="","",IFERROR(INDEX(SYZ_static!$T$2:$T$806,MATCH($A618,SYZ_static!$A$2:$A$806,0)),_xll.BDP($A618&amp;" Corp","RTG_SP")))</f>
        <v/>
      </c>
      <c r="I618" s="17">
        <f>IF($A618="","",IFERROR(INDEX(SYZ_static!$S$2:$S$806,MATCH($A618,SYZ_static!$A$2:$A$806,0)),""))</f>
        <v/>
      </c>
      <c r="J618" s="17">
        <f>IF($A618="","",_xll.BDP($A618&amp;" Corp","PAYMENT_RANK"))</f>
        <v/>
      </c>
      <c r="K618" s="18">
        <f>IF($A618="","",_xll.BDP($A618&amp;" Corp","CPN"))</f>
        <v/>
      </c>
      <c r="L618" s="19">
        <f>IF($A618="","",_xll.BDP($A618&amp;" Corp","MATURITY"))</f>
        <v/>
      </c>
      <c r="M618" s="20">
        <f>IF($A618="","",IFERROR(_xll.BDP($A618&amp;" Corp","MIN_PIECE")/1000,""))</f>
        <v/>
      </c>
      <c r="N618" s="21">
        <f>IF($A618="","",_xll.BDP($A618&amp;" Corp","PX_LAST"))</f>
        <v/>
      </c>
      <c r="O618" s="21">
        <f>IF($A618="","",_xll.BDP($A618&amp;" Corp","YAS_BOND_YLD","YAS_YLD_FLAG=15"))</f>
        <v/>
      </c>
      <c r="P618" s="21">
        <f>IF($A618="","",_xll.BDP($A618&amp;" Corp","YAS_MOD_DUR"))</f>
        <v/>
      </c>
      <c r="Q618" s="22">
        <f>IF($A618="","",_xll.BDP($A618&amp;" Corp","YAS_OAS_SPRD"))</f>
        <v/>
      </c>
      <c r="R618" s="22">
        <f>IF($A618="","",_xll.BDP($A618&amp;" Corp","YAS_OAS_SPRD","SETTLE_DT",$B$2))</f>
        <v/>
      </c>
      <c r="S618" s="23">
        <f>IF($A618="","",IF(OR(NOT(ISNUMBER($Q618)),NOT(ISNUMBER($R618))),"",$Q618-$R618))</f>
        <v/>
      </c>
      <c r="T618" s="21">
        <f>IF($A618="","",_xll.BDP($A618&amp;" Corp","YAS_BOND_YLD","YAS_YLD_FLAG=15","SETTLE_DT",$B$2))</f>
        <v/>
      </c>
      <c r="U618" s="24">
        <f>IF($A618="","",IF(OR(NOT(ISNUMBER($O618)),NOT(ISNUMBER($T618))),"",$O618-$T618))</f>
        <v/>
      </c>
      <c r="V618" s="22">
        <f>IF(NOT(ISNUMBER($S618)),"",COUNTIFS($G$7:$G$850,$G618,$S$7:$S$850,"&gt;"&amp;$S618)+COUNTIFS($G$7:$G618,$G618,$S$7:$S618,$S618))</f>
        <v/>
      </c>
      <c r="W618" s="22">
        <f>IF(NOT(ISNUMBER($S618)),"",COUNTIFS($G$7:$G$850,$G618,$S$7:$S$850,"&lt;"&amp;$S618)+COUNTIFS($G$7:$G618,$G618,$S$7:$S618,$S618))</f>
        <v/>
      </c>
      <c r="X618" s="17">
        <f>IF($V618="","",$G618&amp;"|"&amp;$V618)</f>
        <v/>
      </c>
      <c r="Y618" s="17">
        <f>IF($W618="","",$G618&amp;"|"&amp;$W618)</f>
        <v/>
      </c>
    </row>
    <row r="619">
      <c r="A619" s="7" t="inlineStr">
        <is>
          <t>XS2834282142</t>
        </is>
      </c>
      <c r="B619" s="8">
        <f>IF($A619="","",PROPER(_xll.BDP($A619&amp;" Corp","NAME")))</f>
        <v/>
      </c>
      <c r="C619" s="8">
        <f>IF($A619="","",IFERROR(INDEX(Company_desc!$B$2:$B$1144,MATCH($A619,Company_desc!$A$2:$A$1144,0)),IFERROR(INDEX(SYZ_static!$Q$2:$Q$806,MATCH($A619,SYZ_static!$A$2:$A$806,0)),"")))</f>
        <v/>
      </c>
      <c r="D619" s="8">
        <f>IF($A619="","",IFERROR(INDEX(SYZ_static!$B$2:$B$806,MATCH($A619,SYZ_static!$A$2:$A$806,0)),""))</f>
        <v/>
      </c>
      <c r="E619" s="8">
        <f>IF($A619="","",_xll.BDP($A619&amp;" Corp","INDUSTRY_SECTOR"))</f>
        <v/>
      </c>
      <c r="F619" s="8">
        <f>IF($A619="","",PROPER(_xll.BDP($A619&amp;" Corp","COUNTRY_FULL_NAME")))</f>
        <v/>
      </c>
      <c r="G619" s="8">
        <f>IF($A619="","",_xll.BDP($A619&amp;" Corp","CRNCY"))</f>
        <v/>
      </c>
      <c r="H619" s="8">
        <f>IF($A619="","",IFERROR(INDEX(SYZ_static!$T$2:$T$806,MATCH($A619,SYZ_static!$A$2:$A$806,0)),_xll.BDP($A619&amp;" Corp","RTG_SP")))</f>
        <v/>
      </c>
      <c r="I619" s="8">
        <f>IF($A619="","",IFERROR(INDEX(SYZ_static!$S$2:$S$806,MATCH($A619,SYZ_static!$A$2:$A$806,0)),""))</f>
        <v/>
      </c>
      <c r="J619" s="8">
        <f>IF($A619="","",_xll.BDP($A619&amp;" Corp","PAYMENT_RANK"))</f>
        <v/>
      </c>
      <c r="K619" s="9">
        <f>IF($A619="","",_xll.BDP($A619&amp;" Corp","CPN"))</f>
        <v/>
      </c>
      <c r="L619" s="10">
        <f>IF($A619="","",_xll.BDP($A619&amp;" Corp","MATURITY"))</f>
        <v/>
      </c>
      <c r="M619" s="11">
        <f>IF($A619="","",IFERROR(_xll.BDP($A619&amp;" Corp","MIN_PIECE")/1000,""))</f>
        <v/>
      </c>
      <c r="N619" s="12">
        <f>IF($A619="","",_xll.BDP($A619&amp;" Corp","PX_LAST"))</f>
        <v/>
      </c>
      <c r="O619" s="12">
        <f>IF($A619="","",_xll.BDP($A619&amp;" Corp","YAS_BOND_YLD","YAS_YLD_FLAG=15"))</f>
        <v/>
      </c>
      <c r="P619" s="12">
        <f>IF($A619="","",_xll.BDP($A619&amp;" Corp","YAS_MOD_DUR"))</f>
        <v/>
      </c>
      <c r="Q619" s="13">
        <f>IF($A619="","",_xll.BDP($A619&amp;" Corp","YAS_OAS_SPRD"))</f>
        <v/>
      </c>
      <c r="R619" s="13">
        <f>IF($A619="","",_xll.BDP($A619&amp;" Corp","YAS_OAS_SPRD","SETTLE_DT",$B$2))</f>
        <v/>
      </c>
      <c r="S619" s="14">
        <f>IF($A619="","",IF(OR(NOT(ISNUMBER($Q619)),NOT(ISNUMBER($R619))),"",$Q619-$R619))</f>
        <v/>
      </c>
      <c r="T619" s="12">
        <f>IF($A619="","",_xll.BDP($A619&amp;" Corp","YAS_BOND_YLD","YAS_YLD_FLAG=15","SETTLE_DT",$B$2))</f>
        <v/>
      </c>
      <c r="U619" s="15">
        <f>IF($A619="","",IF(OR(NOT(ISNUMBER($O619)),NOT(ISNUMBER($T619))),"",$O619-$T619))</f>
        <v/>
      </c>
      <c r="V619" s="13">
        <f>IF(NOT(ISNUMBER($S619)),"",COUNTIFS($G$7:$G$850,$G619,$S$7:$S$850,"&gt;"&amp;$S619)+COUNTIFS($G$7:$G619,$G619,$S$7:$S619,$S619))</f>
        <v/>
      </c>
      <c r="W619" s="13">
        <f>IF(NOT(ISNUMBER($S619)),"",COUNTIFS($G$7:$G$850,$G619,$S$7:$S$850,"&lt;"&amp;$S619)+COUNTIFS($G$7:$G619,$G619,$S$7:$S619,$S619))</f>
        <v/>
      </c>
      <c r="X619" s="8">
        <f>IF($V619="","",$G619&amp;"|"&amp;$V619)</f>
        <v/>
      </c>
      <c r="Y619" s="8">
        <f>IF($W619="","",$G619&amp;"|"&amp;$W619)</f>
        <v/>
      </c>
    </row>
    <row r="620">
      <c r="A620" s="16" t="inlineStr">
        <is>
          <t>XS0092541969</t>
        </is>
      </c>
      <c r="B620" s="17">
        <f>IF($A620="","",PROPER(_xll.BDP($A620&amp;" Corp","NAME")))</f>
        <v/>
      </c>
      <c r="C620" s="17">
        <f>IF($A620="","",IFERROR(INDEX(Company_desc!$B$2:$B$1144,MATCH($A620,Company_desc!$A$2:$A$1144,0)),IFERROR(INDEX(SYZ_static!$Q$2:$Q$806,MATCH($A620,SYZ_static!$A$2:$A$806,0)),"")))</f>
        <v/>
      </c>
      <c r="D620" s="17">
        <f>IF($A620="","",IFERROR(INDEX(SYZ_static!$B$2:$B$806,MATCH($A620,SYZ_static!$A$2:$A$806,0)),""))</f>
        <v/>
      </c>
      <c r="E620" s="17">
        <f>IF($A620="","",_xll.BDP($A620&amp;" Corp","INDUSTRY_SECTOR"))</f>
        <v/>
      </c>
      <c r="F620" s="17">
        <f>IF($A620="","",PROPER(_xll.BDP($A620&amp;" Corp","COUNTRY_FULL_NAME")))</f>
        <v/>
      </c>
      <c r="G620" s="17">
        <f>IF($A620="","",_xll.BDP($A620&amp;" Corp","CRNCY"))</f>
        <v/>
      </c>
      <c r="H620" s="17">
        <f>IF($A620="","",IFERROR(INDEX(SYZ_static!$T$2:$T$806,MATCH($A620,SYZ_static!$A$2:$A$806,0)),_xll.BDP($A620&amp;" Corp","RTG_SP")))</f>
        <v/>
      </c>
      <c r="I620" s="17">
        <f>IF($A620="","",IFERROR(INDEX(SYZ_static!$S$2:$S$806,MATCH($A620,SYZ_static!$A$2:$A$806,0)),""))</f>
        <v/>
      </c>
      <c r="J620" s="17">
        <f>IF($A620="","",_xll.BDP($A620&amp;" Corp","PAYMENT_RANK"))</f>
        <v/>
      </c>
      <c r="K620" s="18">
        <f>IF($A620="","",_xll.BDP($A620&amp;" Corp","CPN"))</f>
        <v/>
      </c>
      <c r="L620" s="19">
        <f>IF($A620="","",_xll.BDP($A620&amp;" Corp","MATURITY"))</f>
        <v/>
      </c>
      <c r="M620" s="20">
        <f>IF($A620="","",IFERROR(_xll.BDP($A620&amp;" Corp","MIN_PIECE")/1000,""))</f>
        <v/>
      </c>
      <c r="N620" s="21">
        <f>IF($A620="","",_xll.BDP($A620&amp;" Corp","PX_LAST"))</f>
        <v/>
      </c>
      <c r="O620" s="21">
        <f>IF($A620="","",_xll.BDP($A620&amp;" Corp","YAS_BOND_YLD","YAS_YLD_FLAG=15"))</f>
        <v/>
      </c>
      <c r="P620" s="21">
        <f>IF($A620="","",_xll.BDP($A620&amp;" Corp","YAS_MOD_DUR"))</f>
        <v/>
      </c>
      <c r="Q620" s="22">
        <f>IF($A620="","",_xll.BDP($A620&amp;" Corp","YAS_OAS_SPRD"))</f>
        <v/>
      </c>
      <c r="R620" s="22">
        <f>IF($A620="","",_xll.BDP($A620&amp;" Corp","YAS_OAS_SPRD","SETTLE_DT",$B$2))</f>
        <v/>
      </c>
      <c r="S620" s="23">
        <f>IF($A620="","",IF(OR(NOT(ISNUMBER($Q620)),NOT(ISNUMBER($R620))),"",$Q620-$R620))</f>
        <v/>
      </c>
      <c r="T620" s="21">
        <f>IF($A620="","",_xll.BDP($A620&amp;" Corp","YAS_BOND_YLD","YAS_YLD_FLAG=15","SETTLE_DT",$B$2))</f>
        <v/>
      </c>
      <c r="U620" s="24">
        <f>IF($A620="","",IF(OR(NOT(ISNUMBER($O620)),NOT(ISNUMBER($T620))),"",$O620-$T620))</f>
        <v/>
      </c>
      <c r="V620" s="22">
        <f>IF(NOT(ISNUMBER($S620)),"",COUNTIFS($G$7:$G$850,$G620,$S$7:$S$850,"&gt;"&amp;$S620)+COUNTIFS($G$7:$G620,$G620,$S$7:$S620,$S620))</f>
        <v/>
      </c>
      <c r="W620" s="22">
        <f>IF(NOT(ISNUMBER($S620)),"",COUNTIFS($G$7:$G$850,$G620,$S$7:$S$850,"&lt;"&amp;$S620)+COUNTIFS($G$7:$G620,$G620,$S$7:$S620,$S620))</f>
        <v/>
      </c>
      <c r="X620" s="17">
        <f>IF($V620="","",$G620&amp;"|"&amp;$V620)</f>
        <v/>
      </c>
      <c r="Y620" s="17">
        <f>IF($W620="","",$G620&amp;"|"&amp;$W620)</f>
        <v/>
      </c>
    </row>
    <row r="621">
      <c r="A621" s="7" t="inlineStr">
        <is>
          <t>US872898AD36</t>
        </is>
      </c>
      <c r="B621" s="8">
        <f>IF($A621="","",PROPER(_xll.BDP($A621&amp;" Corp","NAME")))</f>
        <v/>
      </c>
      <c r="C621" s="8">
        <f>IF($A621="","",IFERROR(INDEX(Company_desc!$B$2:$B$1144,MATCH($A621,Company_desc!$A$2:$A$1144,0)),IFERROR(INDEX(SYZ_static!$Q$2:$Q$806,MATCH($A621,SYZ_static!$A$2:$A$806,0)),"")))</f>
        <v/>
      </c>
      <c r="D621" s="8">
        <f>IF($A621="","",IFERROR(INDEX(SYZ_static!$B$2:$B$806,MATCH($A621,SYZ_static!$A$2:$A$806,0)),""))</f>
        <v/>
      </c>
      <c r="E621" s="8">
        <f>IF($A621="","",_xll.BDP($A621&amp;" Corp","INDUSTRY_SECTOR"))</f>
        <v/>
      </c>
      <c r="F621" s="8">
        <f>IF($A621="","",PROPER(_xll.BDP($A621&amp;" Corp","COUNTRY_FULL_NAME")))</f>
        <v/>
      </c>
      <c r="G621" s="8">
        <f>IF($A621="","",_xll.BDP($A621&amp;" Corp","CRNCY"))</f>
        <v/>
      </c>
      <c r="H621" s="8">
        <f>IF($A621="","",IFERROR(INDEX(SYZ_static!$T$2:$T$806,MATCH($A621,SYZ_static!$A$2:$A$806,0)),_xll.BDP($A621&amp;" Corp","RTG_SP")))</f>
        <v/>
      </c>
      <c r="I621" s="8">
        <f>IF($A621="","",IFERROR(INDEX(SYZ_static!$S$2:$S$806,MATCH($A621,SYZ_static!$A$2:$A$806,0)),""))</f>
        <v/>
      </c>
      <c r="J621" s="8">
        <f>IF($A621="","",_xll.BDP($A621&amp;" Corp","PAYMENT_RANK"))</f>
        <v/>
      </c>
      <c r="K621" s="9">
        <f>IF($A621="","",_xll.BDP($A621&amp;" Corp","CPN"))</f>
        <v/>
      </c>
      <c r="L621" s="10">
        <f>IF($A621="","",_xll.BDP($A621&amp;" Corp","MATURITY"))</f>
        <v/>
      </c>
      <c r="M621" s="11">
        <f>IF($A621="","",IFERROR(_xll.BDP($A621&amp;" Corp","MIN_PIECE")/1000,""))</f>
        <v/>
      </c>
      <c r="N621" s="12">
        <f>IF($A621="","",_xll.BDP($A621&amp;" Corp","PX_LAST"))</f>
        <v/>
      </c>
      <c r="O621" s="12">
        <f>IF($A621="","",_xll.BDP($A621&amp;" Corp","YAS_BOND_YLD","YAS_YLD_FLAG=15"))</f>
        <v/>
      </c>
      <c r="P621" s="12">
        <f>IF($A621="","",_xll.BDP($A621&amp;" Corp","YAS_MOD_DUR"))</f>
        <v/>
      </c>
      <c r="Q621" s="13">
        <f>IF($A621="","",_xll.BDP($A621&amp;" Corp","YAS_OAS_SPRD"))</f>
        <v/>
      </c>
      <c r="R621" s="13">
        <f>IF($A621="","",_xll.BDP($A621&amp;" Corp","YAS_OAS_SPRD","SETTLE_DT",$B$2))</f>
        <v/>
      </c>
      <c r="S621" s="14">
        <f>IF($A621="","",IF(OR(NOT(ISNUMBER($Q621)),NOT(ISNUMBER($R621))),"",$Q621-$R621))</f>
        <v/>
      </c>
      <c r="T621" s="12">
        <f>IF($A621="","",_xll.BDP($A621&amp;" Corp","YAS_BOND_YLD","YAS_YLD_FLAG=15","SETTLE_DT",$B$2))</f>
        <v/>
      </c>
      <c r="U621" s="15">
        <f>IF($A621="","",IF(OR(NOT(ISNUMBER($O621)),NOT(ISNUMBER($T621))),"",$O621-$T621))</f>
        <v/>
      </c>
      <c r="V621" s="13">
        <f>IF(NOT(ISNUMBER($S621)),"",COUNTIFS($G$7:$G$850,$G621,$S$7:$S$850,"&gt;"&amp;$S621)+COUNTIFS($G$7:$G621,$G621,$S$7:$S621,$S621))</f>
        <v/>
      </c>
      <c r="W621" s="13">
        <f>IF(NOT(ISNUMBER($S621)),"",COUNTIFS($G$7:$G$850,$G621,$S$7:$S$850,"&lt;"&amp;$S621)+COUNTIFS($G$7:$G621,$G621,$S$7:$S621,$S621))</f>
        <v/>
      </c>
      <c r="X621" s="8">
        <f>IF($V621="","",$G621&amp;"|"&amp;$V621)</f>
        <v/>
      </c>
      <c r="Y621" s="8">
        <f>IF($W621="","",$G621&amp;"|"&amp;$W621)</f>
        <v/>
      </c>
    </row>
    <row r="622">
      <c r="A622" s="16" t="inlineStr">
        <is>
          <t>XS2583741934</t>
        </is>
      </c>
      <c r="B622" s="17">
        <f>IF($A622="","",PROPER(_xll.BDP($A622&amp;" Corp","NAME")))</f>
        <v/>
      </c>
      <c r="C622" s="17">
        <f>IF($A622="","",IFERROR(INDEX(Company_desc!$B$2:$B$1144,MATCH($A622,Company_desc!$A$2:$A$1144,0)),IFERROR(INDEX(SYZ_static!$Q$2:$Q$806,MATCH($A622,SYZ_static!$A$2:$A$806,0)),"")))</f>
        <v/>
      </c>
      <c r="D622" s="17">
        <f>IF($A622="","",IFERROR(INDEX(SYZ_static!$B$2:$B$806,MATCH($A622,SYZ_static!$A$2:$A$806,0)),""))</f>
        <v/>
      </c>
      <c r="E622" s="17">
        <f>IF($A622="","",_xll.BDP($A622&amp;" Corp","INDUSTRY_SECTOR"))</f>
        <v/>
      </c>
      <c r="F622" s="17">
        <f>IF($A622="","",PROPER(_xll.BDP($A622&amp;" Corp","COUNTRY_FULL_NAME")))</f>
        <v/>
      </c>
      <c r="G622" s="17">
        <f>IF($A622="","",_xll.BDP($A622&amp;" Corp","CRNCY"))</f>
        <v/>
      </c>
      <c r="H622" s="17">
        <f>IF($A622="","",IFERROR(INDEX(SYZ_static!$T$2:$T$806,MATCH($A622,SYZ_static!$A$2:$A$806,0)),_xll.BDP($A622&amp;" Corp","RTG_SP")))</f>
        <v/>
      </c>
      <c r="I622" s="17">
        <f>IF($A622="","",IFERROR(INDEX(SYZ_static!$S$2:$S$806,MATCH($A622,SYZ_static!$A$2:$A$806,0)),""))</f>
        <v/>
      </c>
      <c r="J622" s="17">
        <f>IF($A622="","",_xll.BDP($A622&amp;" Corp","PAYMENT_RANK"))</f>
        <v/>
      </c>
      <c r="K622" s="18">
        <f>IF($A622="","",_xll.BDP($A622&amp;" Corp","CPN"))</f>
        <v/>
      </c>
      <c r="L622" s="19">
        <f>IF($A622="","",_xll.BDP($A622&amp;" Corp","MATURITY"))</f>
        <v/>
      </c>
      <c r="M622" s="20">
        <f>IF($A622="","",IFERROR(_xll.BDP($A622&amp;" Corp","MIN_PIECE")/1000,""))</f>
        <v/>
      </c>
      <c r="N622" s="21">
        <f>IF($A622="","",_xll.BDP($A622&amp;" Corp","PX_LAST"))</f>
        <v/>
      </c>
      <c r="O622" s="21">
        <f>IF($A622="","",_xll.BDP($A622&amp;" Corp","YAS_BOND_YLD","YAS_YLD_FLAG=15"))</f>
        <v/>
      </c>
      <c r="P622" s="21">
        <f>IF($A622="","",_xll.BDP($A622&amp;" Corp","YAS_MOD_DUR"))</f>
        <v/>
      </c>
      <c r="Q622" s="22">
        <f>IF($A622="","",_xll.BDP($A622&amp;" Corp","YAS_OAS_SPRD"))</f>
        <v/>
      </c>
      <c r="R622" s="22">
        <f>IF($A622="","",_xll.BDP($A622&amp;" Corp","YAS_OAS_SPRD","SETTLE_DT",$B$2))</f>
        <v/>
      </c>
      <c r="S622" s="23">
        <f>IF($A622="","",IF(OR(NOT(ISNUMBER($Q622)),NOT(ISNUMBER($R622))),"",$Q622-$R622))</f>
        <v/>
      </c>
      <c r="T622" s="21">
        <f>IF($A622="","",_xll.BDP($A622&amp;" Corp","YAS_BOND_YLD","YAS_YLD_FLAG=15","SETTLE_DT",$B$2))</f>
        <v/>
      </c>
      <c r="U622" s="24">
        <f>IF($A622="","",IF(OR(NOT(ISNUMBER($O622)),NOT(ISNUMBER($T622))),"",$O622-$T622))</f>
        <v/>
      </c>
      <c r="V622" s="22">
        <f>IF(NOT(ISNUMBER($S622)),"",COUNTIFS($G$7:$G$850,$G622,$S$7:$S$850,"&gt;"&amp;$S622)+COUNTIFS($G$7:$G622,$G622,$S$7:$S622,$S622))</f>
        <v/>
      </c>
      <c r="W622" s="22">
        <f>IF(NOT(ISNUMBER($S622)),"",COUNTIFS($G$7:$G$850,$G622,$S$7:$S$850,"&lt;"&amp;$S622)+COUNTIFS($G$7:$G622,$G622,$S$7:$S622,$S622))</f>
        <v/>
      </c>
      <c r="X622" s="17">
        <f>IF($V622="","",$G622&amp;"|"&amp;$V622)</f>
        <v/>
      </c>
      <c r="Y622" s="17">
        <f>IF($W622="","",$G622&amp;"|"&amp;$W622)</f>
        <v/>
      </c>
    </row>
    <row r="623">
      <c r="A623" s="7" t="inlineStr">
        <is>
          <t>US459200LF63</t>
        </is>
      </c>
      <c r="B623" s="8">
        <f>IF($A623="","",PROPER(_xll.BDP($A623&amp;" Corp","NAME")))</f>
        <v/>
      </c>
      <c r="C623" s="8">
        <f>IF($A623="","",IFERROR(INDEX(Company_desc!$B$2:$B$1144,MATCH($A623,Company_desc!$A$2:$A$1144,0)),IFERROR(INDEX(SYZ_static!$Q$2:$Q$806,MATCH($A623,SYZ_static!$A$2:$A$806,0)),"")))</f>
        <v/>
      </c>
      <c r="D623" s="8">
        <f>IF($A623="","",IFERROR(INDEX(SYZ_static!$B$2:$B$806,MATCH($A623,SYZ_static!$A$2:$A$806,0)),""))</f>
        <v/>
      </c>
      <c r="E623" s="8">
        <f>IF($A623="","",_xll.BDP($A623&amp;" Corp","INDUSTRY_SECTOR"))</f>
        <v/>
      </c>
      <c r="F623" s="8">
        <f>IF($A623="","",PROPER(_xll.BDP($A623&amp;" Corp","COUNTRY_FULL_NAME")))</f>
        <v/>
      </c>
      <c r="G623" s="8">
        <f>IF($A623="","",_xll.BDP($A623&amp;" Corp","CRNCY"))</f>
        <v/>
      </c>
      <c r="H623" s="8">
        <f>IF($A623="","",IFERROR(INDEX(SYZ_static!$T$2:$T$806,MATCH($A623,SYZ_static!$A$2:$A$806,0)),_xll.BDP($A623&amp;" Corp","RTG_SP")))</f>
        <v/>
      </c>
      <c r="I623" s="8">
        <f>IF($A623="","",IFERROR(INDEX(SYZ_static!$S$2:$S$806,MATCH($A623,SYZ_static!$A$2:$A$806,0)),""))</f>
        <v/>
      </c>
      <c r="J623" s="8">
        <f>IF($A623="","",_xll.BDP($A623&amp;" Corp","PAYMENT_RANK"))</f>
        <v/>
      </c>
      <c r="K623" s="9">
        <f>IF($A623="","",_xll.BDP($A623&amp;" Corp","CPN"))</f>
        <v/>
      </c>
      <c r="L623" s="10">
        <f>IF($A623="","",_xll.BDP($A623&amp;" Corp","MATURITY"))</f>
        <v/>
      </c>
      <c r="M623" s="11">
        <f>IF($A623="","",IFERROR(_xll.BDP($A623&amp;" Corp","MIN_PIECE")/1000,""))</f>
        <v/>
      </c>
      <c r="N623" s="12">
        <f>IF($A623="","",_xll.BDP($A623&amp;" Corp","PX_LAST"))</f>
        <v/>
      </c>
      <c r="O623" s="12">
        <f>IF($A623="","",_xll.BDP($A623&amp;" Corp","YAS_BOND_YLD","YAS_YLD_FLAG=15"))</f>
        <v/>
      </c>
      <c r="P623" s="12">
        <f>IF($A623="","",_xll.BDP($A623&amp;" Corp","YAS_MOD_DUR"))</f>
        <v/>
      </c>
      <c r="Q623" s="13">
        <f>IF($A623="","",_xll.BDP($A623&amp;" Corp","YAS_OAS_SPRD"))</f>
        <v/>
      </c>
      <c r="R623" s="13">
        <f>IF($A623="","",_xll.BDP($A623&amp;" Corp","YAS_OAS_SPRD","SETTLE_DT",$B$2))</f>
        <v/>
      </c>
      <c r="S623" s="14">
        <f>IF($A623="","",IF(OR(NOT(ISNUMBER($Q623)),NOT(ISNUMBER($R623))),"",$Q623-$R623))</f>
        <v/>
      </c>
      <c r="T623" s="12">
        <f>IF($A623="","",_xll.BDP($A623&amp;" Corp","YAS_BOND_YLD","YAS_YLD_FLAG=15","SETTLE_DT",$B$2))</f>
        <v/>
      </c>
      <c r="U623" s="15">
        <f>IF($A623="","",IF(OR(NOT(ISNUMBER($O623)),NOT(ISNUMBER($T623))),"",$O623-$T623))</f>
        <v/>
      </c>
      <c r="V623" s="13">
        <f>IF(NOT(ISNUMBER($S623)),"",COUNTIFS($G$7:$G$850,$G623,$S$7:$S$850,"&gt;"&amp;$S623)+COUNTIFS($G$7:$G623,$G623,$S$7:$S623,$S623))</f>
        <v/>
      </c>
      <c r="W623" s="13">
        <f>IF(NOT(ISNUMBER($S623)),"",COUNTIFS($G$7:$G$850,$G623,$S$7:$S$850,"&lt;"&amp;$S623)+COUNTIFS($G$7:$G623,$G623,$S$7:$S623,$S623))</f>
        <v/>
      </c>
      <c r="X623" s="8">
        <f>IF($V623="","",$G623&amp;"|"&amp;$V623)</f>
        <v/>
      </c>
      <c r="Y623" s="8">
        <f>IF($W623="","",$G623&amp;"|"&amp;$W623)</f>
        <v/>
      </c>
    </row>
    <row r="624">
      <c r="A624" s="16" t="inlineStr">
        <is>
          <t>XS1956037664</t>
        </is>
      </c>
      <c r="B624" s="17">
        <f>IF($A624="","",PROPER(_xll.BDP($A624&amp;" Corp","NAME")))</f>
        <v/>
      </c>
      <c r="C624" s="17">
        <f>IF($A624="","",IFERROR(INDEX(Company_desc!$B$2:$B$1144,MATCH($A624,Company_desc!$A$2:$A$1144,0)),IFERROR(INDEX(SYZ_static!$Q$2:$Q$806,MATCH($A624,SYZ_static!$A$2:$A$806,0)),"")))</f>
        <v/>
      </c>
      <c r="D624" s="17">
        <f>IF($A624="","",IFERROR(INDEX(SYZ_static!$B$2:$B$806,MATCH($A624,SYZ_static!$A$2:$A$806,0)),""))</f>
        <v/>
      </c>
      <c r="E624" s="17">
        <f>IF($A624="","",_xll.BDP($A624&amp;" Corp","INDUSTRY_SECTOR"))</f>
        <v/>
      </c>
      <c r="F624" s="17">
        <f>IF($A624="","",PROPER(_xll.BDP($A624&amp;" Corp","COUNTRY_FULL_NAME")))</f>
        <v/>
      </c>
      <c r="G624" s="17">
        <f>IF($A624="","",_xll.BDP($A624&amp;" Corp","CRNCY"))</f>
        <v/>
      </c>
      <c r="H624" s="17">
        <f>IF($A624="","",IFERROR(INDEX(SYZ_static!$T$2:$T$806,MATCH($A624,SYZ_static!$A$2:$A$806,0)),_xll.BDP($A624&amp;" Corp","RTG_SP")))</f>
        <v/>
      </c>
      <c r="I624" s="17">
        <f>IF($A624="","",IFERROR(INDEX(SYZ_static!$S$2:$S$806,MATCH($A624,SYZ_static!$A$2:$A$806,0)),""))</f>
        <v/>
      </c>
      <c r="J624" s="17">
        <f>IF($A624="","",_xll.BDP($A624&amp;" Corp","PAYMENT_RANK"))</f>
        <v/>
      </c>
      <c r="K624" s="18">
        <f>IF($A624="","",_xll.BDP($A624&amp;" Corp","CPN"))</f>
        <v/>
      </c>
      <c r="L624" s="19">
        <f>IF($A624="","",_xll.BDP($A624&amp;" Corp","MATURITY"))</f>
        <v/>
      </c>
      <c r="M624" s="20">
        <f>IF($A624="","",IFERROR(_xll.BDP($A624&amp;" Corp","MIN_PIECE")/1000,""))</f>
        <v/>
      </c>
      <c r="N624" s="21">
        <f>IF($A624="","",_xll.BDP($A624&amp;" Corp","PX_LAST"))</f>
        <v/>
      </c>
      <c r="O624" s="21">
        <f>IF($A624="","",_xll.BDP($A624&amp;" Corp","YAS_BOND_YLD","YAS_YLD_FLAG=15"))</f>
        <v/>
      </c>
      <c r="P624" s="21">
        <f>IF($A624="","",_xll.BDP($A624&amp;" Corp","YAS_MOD_DUR"))</f>
        <v/>
      </c>
      <c r="Q624" s="22">
        <f>IF($A624="","",_xll.BDP($A624&amp;" Corp","YAS_OAS_SPRD"))</f>
        <v/>
      </c>
      <c r="R624" s="22">
        <f>IF($A624="","",_xll.BDP($A624&amp;" Corp","YAS_OAS_SPRD","SETTLE_DT",$B$2))</f>
        <v/>
      </c>
      <c r="S624" s="23">
        <f>IF($A624="","",IF(OR(NOT(ISNUMBER($Q624)),NOT(ISNUMBER($R624))),"",$Q624-$R624))</f>
        <v/>
      </c>
      <c r="T624" s="21">
        <f>IF($A624="","",_xll.BDP($A624&amp;" Corp","YAS_BOND_YLD","YAS_YLD_FLAG=15","SETTLE_DT",$B$2))</f>
        <v/>
      </c>
      <c r="U624" s="24">
        <f>IF($A624="","",IF(OR(NOT(ISNUMBER($O624)),NOT(ISNUMBER($T624))),"",$O624-$T624))</f>
        <v/>
      </c>
      <c r="V624" s="22">
        <f>IF(NOT(ISNUMBER($S624)),"",COUNTIFS($G$7:$G$850,$G624,$S$7:$S$850,"&gt;"&amp;$S624)+COUNTIFS($G$7:$G624,$G624,$S$7:$S624,$S624))</f>
        <v/>
      </c>
      <c r="W624" s="22">
        <f>IF(NOT(ISNUMBER($S624)),"",COUNTIFS($G$7:$G$850,$G624,$S$7:$S$850,"&lt;"&amp;$S624)+COUNTIFS($G$7:$G624,$G624,$S$7:$S624,$S624))</f>
        <v/>
      </c>
      <c r="X624" s="17">
        <f>IF($V624="","",$G624&amp;"|"&amp;$V624)</f>
        <v/>
      </c>
      <c r="Y624" s="17">
        <f>IF($W624="","",$G624&amp;"|"&amp;$W624)</f>
        <v/>
      </c>
    </row>
    <row r="625">
      <c r="A625" s="7" t="inlineStr">
        <is>
          <t>BE6312821612</t>
        </is>
      </c>
      <c r="B625" s="8">
        <f>IF($A625="","",PROPER(_xll.BDP($A625&amp;" Corp","NAME")))</f>
        <v/>
      </c>
      <c r="C625" s="8">
        <f>IF($A625="","",IFERROR(INDEX(Company_desc!$B$2:$B$1144,MATCH($A625,Company_desc!$A$2:$A$1144,0)),IFERROR(INDEX(SYZ_static!$Q$2:$Q$806,MATCH($A625,SYZ_static!$A$2:$A$806,0)),"")))</f>
        <v/>
      </c>
      <c r="D625" s="8">
        <f>IF($A625="","",IFERROR(INDEX(SYZ_static!$B$2:$B$806,MATCH($A625,SYZ_static!$A$2:$A$806,0)),""))</f>
        <v/>
      </c>
      <c r="E625" s="8">
        <f>IF($A625="","",_xll.BDP($A625&amp;" Corp","INDUSTRY_SECTOR"))</f>
        <v/>
      </c>
      <c r="F625" s="8">
        <f>IF($A625="","",PROPER(_xll.BDP($A625&amp;" Corp","COUNTRY_FULL_NAME")))</f>
        <v/>
      </c>
      <c r="G625" s="8">
        <f>IF($A625="","",_xll.BDP($A625&amp;" Corp","CRNCY"))</f>
        <v/>
      </c>
      <c r="H625" s="8">
        <f>IF($A625="","",IFERROR(INDEX(SYZ_static!$T$2:$T$806,MATCH($A625,SYZ_static!$A$2:$A$806,0)),_xll.BDP($A625&amp;" Corp","RTG_SP")))</f>
        <v/>
      </c>
      <c r="I625" s="8">
        <f>IF($A625="","",IFERROR(INDEX(SYZ_static!$S$2:$S$806,MATCH($A625,SYZ_static!$A$2:$A$806,0)),""))</f>
        <v/>
      </c>
      <c r="J625" s="8">
        <f>IF($A625="","",_xll.BDP($A625&amp;" Corp","PAYMENT_RANK"))</f>
        <v/>
      </c>
      <c r="K625" s="9">
        <f>IF($A625="","",_xll.BDP($A625&amp;" Corp","CPN"))</f>
        <v/>
      </c>
      <c r="L625" s="10">
        <f>IF($A625="","",_xll.BDP($A625&amp;" Corp","MATURITY"))</f>
        <v/>
      </c>
      <c r="M625" s="11">
        <f>IF($A625="","",IFERROR(_xll.BDP($A625&amp;" Corp","MIN_PIECE")/1000,""))</f>
        <v/>
      </c>
      <c r="N625" s="12">
        <f>IF($A625="","",_xll.BDP($A625&amp;" Corp","PX_LAST"))</f>
        <v/>
      </c>
      <c r="O625" s="12">
        <f>IF($A625="","",_xll.BDP($A625&amp;" Corp","YAS_BOND_YLD","YAS_YLD_FLAG=15"))</f>
        <v/>
      </c>
      <c r="P625" s="12">
        <f>IF($A625="","",_xll.BDP($A625&amp;" Corp","YAS_MOD_DUR"))</f>
        <v/>
      </c>
      <c r="Q625" s="13">
        <f>IF($A625="","",_xll.BDP($A625&amp;" Corp","YAS_OAS_SPRD"))</f>
        <v/>
      </c>
      <c r="R625" s="13">
        <f>IF($A625="","",_xll.BDP($A625&amp;" Corp","YAS_OAS_SPRD","SETTLE_DT",$B$2))</f>
        <v/>
      </c>
      <c r="S625" s="14">
        <f>IF($A625="","",IF(OR(NOT(ISNUMBER($Q625)),NOT(ISNUMBER($R625))),"",$Q625-$R625))</f>
        <v/>
      </c>
      <c r="T625" s="12">
        <f>IF($A625="","",_xll.BDP($A625&amp;" Corp","YAS_BOND_YLD","YAS_YLD_FLAG=15","SETTLE_DT",$B$2))</f>
        <v/>
      </c>
      <c r="U625" s="15">
        <f>IF($A625="","",IF(OR(NOT(ISNUMBER($O625)),NOT(ISNUMBER($T625))),"",$O625-$T625))</f>
        <v/>
      </c>
      <c r="V625" s="13">
        <f>IF(NOT(ISNUMBER($S625)),"",COUNTIFS($G$7:$G$850,$G625,$S$7:$S$850,"&gt;"&amp;$S625)+COUNTIFS($G$7:$G625,$G625,$S$7:$S625,$S625))</f>
        <v/>
      </c>
      <c r="W625" s="13">
        <f>IF(NOT(ISNUMBER($S625)),"",COUNTIFS($G$7:$G$850,$G625,$S$7:$S$850,"&lt;"&amp;$S625)+COUNTIFS($G$7:$G625,$G625,$S$7:$S625,$S625))</f>
        <v/>
      </c>
      <c r="X625" s="8">
        <f>IF($V625="","",$G625&amp;"|"&amp;$V625)</f>
        <v/>
      </c>
      <c r="Y625" s="8">
        <f>IF($W625="","",$G625&amp;"|"&amp;$W625)</f>
        <v/>
      </c>
    </row>
    <row r="626">
      <c r="A626" s="16" t="inlineStr">
        <is>
          <t>FR001400FKA7</t>
        </is>
      </c>
      <c r="B626" s="17">
        <f>IF($A626="","",PROPER(_xll.BDP($A626&amp;" Corp","NAME")))</f>
        <v/>
      </c>
      <c r="C626" s="17">
        <f>IF($A626="","",IFERROR(INDEX(Company_desc!$B$2:$B$1144,MATCH($A626,Company_desc!$A$2:$A$1144,0)),IFERROR(INDEX(SYZ_static!$Q$2:$Q$806,MATCH($A626,SYZ_static!$A$2:$A$806,0)),"")))</f>
        <v/>
      </c>
      <c r="D626" s="17">
        <f>IF($A626="","",IFERROR(INDEX(SYZ_static!$B$2:$B$806,MATCH($A626,SYZ_static!$A$2:$A$806,0)),""))</f>
        <v/>
      </c>
      <c r="E626" s="17">
        <f>IF($A626="","",_xll.BDP($A626&amp;" Corp","INDUSTRY_SECTOR"))</f>
        <v/>
      </c>
      <c r="F626" s="17">
        <f>IF($A626="","",PROPER(_xll.BDP($A626&amp;" Corp","COUNTRY_FULL_NAME")))</f>
        <v/>
      </c>
      <c r="G626" s="17">
        <f>IF($A626="","",_xll.BDP($A626&amp;" Corp","CRNCY"))</f>
        <v/>
      </c>
      <c r="H626" s="17">
        <f>IF($A626="","",IFERROR(INDEX(SYZ_static!$T$2:$T$806,MATCH($A626,SYZ_static!$A$2:$A$806,0)),_xll.BDP($A626&amp;" Corp","RTG_SP")))</f>
        <v/>
      </c>
      <c r="I626" s="17">
        <f>IF($A626="","",IFERROR(INDEX(SYZ_static!$S$2:$S$806,MATCH($A626,SYZ_static!$A$2:$A$806,0)),""))</f>
        <v/>
      </c>
      <c r="J626" s="17">
        <f>IF($A626="","",_xll.BDP($A626&amp;" Corp","PAYMENT_RANK"))</f>
        <v/>
      </c>
      <c r="K626" s="18">
        <f>IF($A626="","",_xll.BDP($A626&amp;" Corp","CPN"))</f>
        <v/>
      </c>
      <c r="L626" s="19">
        <f>IF($A626="","",_xll.BDP($A626&amp;" Corp","MATURITY"))</f>
        <v/>
      </c>
      <c r="M626" s="20">
        <f>IF($A626="","",IFERROR(_xll.BDP($A626&amp;" Corp","MIN_PIECE")/1000,""))</f>
        <v/>
      </c>
      <c r="N626" s="21">
        <f>IF($A626="","",_xll.BDP($A626&amp;" Corp","PX_LAST"))</f>
        <v/>
      </c>
      <c r="O626" s="21">
        <f>IF($A626="","",_xll.BDP($A626&amp;" Corp","YAS_BOND_YLD","YAS_YLD_FLAG=15"))</f>
        <v/>
      </c>
      <c r="P626" s="21">
        <f>IF($A626="","",_xll.BDP($A626&amp;" Corp","YAS_MOD_DUR"))</f>
        <v/>
      </c>
      <c r="Q626" s="22">
        <f>IF($A626="","",_xll.BDP($A626&amp;" Corp","YAS_OAS_SPRD"))</f>
        <v/>
      </c>
      <c r="R626" s="22">
        <f>IF($A626="","",_xll.BDP($A626&amp;" Corp","YAS_OAS_SPRD","SETTLE_DT",$B$2))</f>
        <v/>
      </c>
      <c r="S626" s="23">
        <f>IF($A626="","",IF(OR(NOT(ISNUMBER($Q626)),NOT(ISNUMBER($R626))),"",$Q626-$R626))</f>
        <v/>
      </c>
      <c r="T626" s="21">
        <f>IF($A626="","",_xll.BDP($A626&amp;" Corp","YAS_BOND_YLD","YAS_YLD_FLAG=15","SETTLE_DT",$B$2))</f>
        <v/>
      </c>
      <c r="U626" s="24">
        <f>IF($A626="","",IF(OR(NOT(ISNUMBER($O626)),NOT(ISNUMBER($T626))),"",$O626-$T626))</f>
        <v/>
      </c>
      <c r="V626" s="22">
        <f>IF(NOT(ISNUMBER($S626)),"",COUNTIFS($G$7:$G$850,$G626,$S$7:$S$850,"&gt;"&amp;$S626)+COUNTIFS($G$7:$G626,$G626,$S$7:$S626,$S626))</f>
        <v/>
      </c>
      <c r="W626" s="22">
        <f>IF(NOT(ISNUMBER($S626)),"",COUNTIFS($G$7:$G$850,$G626,$S$7:$S$850,"&lt;"&amp;$S626)+COUNTIFS($G$7:$G626,$G626,$S$7:$S626,$S626))</f>
        <v/>
      </c>
      <c r="X626" s="17">
        <f>IF($V626="","",$G626&amp;"|"&amp;$V626)</f>
        <v/>
      </c>
      <c r="Y626" s="17">
        <f>IF($W626="","",$G626&amp;"|"&amp;$W626)</f>
        <v/>
      </c>
    </row>
    <row r="627">
      <c r="A627" s="7" t="inlineStr">
        <is>
          <t>US30303M8N52</t>
        </is>
      </c>
      <c r="B627" s="8">
        <f>IF($A627="","",PROPER(_xll.BDP($A627&amp;" Corp","NAME")))</f>
        <v/>
      </c>
      <c r="C627" s="8">
        <f>IF($A627="","",IFERROR(INDEX(Company_desc!$B$2:$B$1144,MATCH($A627,Company_desc!$A$2:$A$1144,0)),IFERROR(INDEX(SYZ_static!$Q$2:$Q$806,MATCH($A627,SYZ_static!$A$2:$A$806,0)),"")))</f>
        <v/>
      </c>
      <c r="D627" s="8">
        <f>IF($A627="","",IFERROR(INDEX(SYZ_static!$B$2:$B$806,MATCH($A627,SYZ_static!$A$2:$A$806,0)),""))</f>
        <v/>
      </c>
      <c r="E627" s="8">
        <f>IF($A627="","",_xll.BDP($A627&amp;" Corp","INDUSTRY_SECTOR"))</f>
        <v/>
      </c>
      <c r="F627" s="8">
        <f>IF($A627="","",PROPER(_xll.BDP($A627&amp;" Corp","COUNTRY_FULL_NAME")))</f>
        <v/>
      </c>
      <c r="G627" s="8">
        <f>IF($A627="","",_xll.BDP($A627&amp;" Corp","CRNCY"))</f>
        <v/>
      </c>
      <c r="H627" s="8">
        <f>IF($A627="","",IFERROR(INDEX(SYZ_static!$T$2:$T$806,MATCH($A627,SYZ_static!$A$2:$A$806,0)),_xll.BDP($A627&amp;" Corp","RTG_SP")))</f>
        <v/>
      </c>
      <c r="I627" s="8">
        <f>IF($A627="","",IFERROR(INDEX(SYZ_static!$S$2:$S$806,MATCH($A627,SYZ_static!$A$2:$A$806,0)),""))</f>
        <v/>
      </c>
      <c r="J627" s="8">
        <f>IF($A627="","",_xll.BDP($A627&amp;" Corp","PAYMENT_RANK"))</f>
        <v/>
      </c>
      <c r="K627" s="9">
        <f>IF($A627="","",_xll.BDP($A627&amp;" Corp","CPN"))</f>
        <v/>
      </c>
      <c r="L627" s="10">
        <f>IF($A627="","",_xll.BDP($A627&amp;" Corp","MATURITY"))</f>
        <v/>
      </c>
      <c r="M627" s="11">
        <f>IF($A627="","",IFERROR(_xll.BDP($A627&amp;" Corp","MIN_PIECE")/1000,""))</f>
        <v/>
      </c>
      <c r="N627" s="12">
        <f>IF($A627="","",_xll.BDP($A627&amp;" Corp","PX_LAST"))</f>
        <v/>
      </c>
      <c r="O627" s="12">
        <f>IF($A627="","",_xll.BDP($A627&amp;" Corp","YAS_BOND_YLD","YAS_YLD_FLAG=15"))</f>
        <v/>
      </c>
      <c r="P627" s="12">
        <f>IF($A627="","",_xll.BDP($A627&amp;" Corp","YAS_MOD_DUR"))</f>
        <v/>
      </c>
      <c r="Q627" s="13">
        <f>IF($A627="","",_xll.BDP($A627&amp;" Corp","YAS_OAS_SPRD"))</f>
        <v/>
      </c>
      <c r="R627" s="13">
        <f>IF($A627="","",_xll.BDP($A627&amp;" Corp","YAS_OAS_SPRD","SETTLE_DT",$B$2))</f>
        <v/>
      </c>
      <c r="S627" s="14">
        <f>IF($A627="","",IF(OR(NOT(ISNUMBER($Q627)),NOT(ISNUMBER($R627))),"",$Q627-$R627))</f>
        <v/>
      </c>
      <c r="T627" s="12">
        <f>IF($A627="","",_xll.BDP($A627&amp;" Corp","YAS_BOND_YLD","YAS_YLD_FLAG=15","SETTLE_DT",$B$2))</f>
        <v/>
      </c>
      <c r="U627" s="15">
        <f>IF($A627="","",IF(OR(NOT(ISNUMBER($O627)),NOT(ISNUMBER($T627))),"",$O627-$T627))</f>
        <v/>
      </c>
      <c r="V627" s="13">
        <f>IF(NOT(ISNUMBER($S627)),"",COUNTIFS($G$7:$G$850,$G627,$S$7:$S$850,"&gt;"&amp;$S627)+COUNTIFS($G$7:$G627,$G627,$S$7:$S627,$S627))</f>
        <v/>
      </c>
      <c r="W627" s="13">
        <f>IF(NOT(ISNUMBER($S627)),"",COUNTIFS($G$7:$G$850,$G627,$S$7:$S$850,"&lt;"&amp;$S627)+COUNTIFS($G$7:$G627,$G627,$S$7:$S627,$S627))</f>
        <v/>
      </c>
      <c r="X627" s="8">
        <f>IF($V627="","",$G627&amp;"|"&amp;$V627)</f>
        <v/>
      </c>
      <c r="Y627" s="8">
        <f>IF($W627="","",$G627&amp;"|"&amp;$W627)</f>
        <v/>
      </c>
    </row>
    <row r="628">
      <c r="A628" s="16" t="inlineStr">
        <is>
          <t>XS2572989650</t>
        </is>
      </c>
      <c r="B628" s="17">
        <f>IF($A628="","",PROPER(_xll.BDP($A628&amp;" Corp","NAME")))</f>
        <v/>
      </c>
      <c r="C628" s="17">
        <f>IF($A628="","",IFERROR(INDEX(Company_desc!$B$2:$B$1144,MATCH($A628,Company_desc!$A$2:$A$1144,0)),IFERROR(INDEX(SYZ_static!$Q$2:$Q$806,MATCH($A628,SYZ_static!$A$2:$A$806,0)),"")))</f>
        <v/>
      </c>
      <c r="D628" s="17">
        <f>IF($A628="","",IFERROR(INDEX(SYZ_static!$B$2:$B$806,MATCH($A628,SYZ_static!$A$2:$A$806,0)),""))</f>
        <v/>
      </c>
      <c r="E628" s="17">
        <f>IF($A628="","",_xll.BDP($A628&amp;" Corp","INDUSTRY_SECTOR"))</f>
        <v/>
      </c>
      <c r="F628" s="17">
        <f>IF($A628="","",PROPER(_xll.BDP($A628&amp;" Corp","COUNTRY_FULL_NAME")))</f>
        <v/>
      </c>
      <c r="G628" s="17">
        <f>IF($A628="","",_xll.BDP($A628&amp;" Corp","CRNCY"))</f>
        <v/>
      </c>
      <c r="H628" s="17">
        <f>IF($A628="","",IFERROR(INDEX(SYZ_static!$T$2:$T$806,MATCH($A628,SYZ_static!$A$2:$A$806,0)),_xll.BDP($A628&amp;" Corp","RTG_SP")))</f>
        <v/>
      </c>
      <c r="I628" s="17">
        <f>IF($A628="","",IFERROR(INDEX(SYZ_static!$S$2:$S$806,MATCH($A628,SYZ_static!$A$2:$A$806,0)),""))</f>
        <v/>
      </c>
      <c r="J628" s="17">
        <f>IF($A628="","",_xll.BDP($A628&amp;" Corp","PAYMENT_RANK"))</f>
        <v/>
      </c>
      <c r="K628" s="18">
        <f>IF($A628="","",_xll.BDP($A628&amp;" Corp","CPN"))</f>
        <v/>
      </c>
      <c r="L628" s="19">
        <f>IF($A628="","",_xll.BDP($A628&amp;" Corp","MATURITY"))</f>
        <v/>
      </c>
      <c r="M628" s="20">
        <f>IF($A628="","",IFERROR(_xll.BDP($A628&amp;" Corp","MIN_PIECE")/1000,""))</f>
        <v/>
      </c>
      <c r="N628" s="21">
        <f>IF($A628="","",_xll.BDP($A628&amp;" Corp","PX_LAST"))</f>
        <v/>
      </c>
      <c r="O628" s="21">
        <f>IF($A628="","",_xll.BDP($A628&amp;" Corp","YAS_BOND_YLD","YAS_YLD_FLAG=15"))</f>
        <v/>
      </c>
      <c r="P628" s="21">
        <f>IF($A628="","",_xll.BDP($A628&amp;" Corp","YAS_MOD_DUR"))</f>
        <v/>
      </c>
      <c r="Q628" s="22">
        <f>IF($A628="","",_xll.BDP($A628&amp;" Corp","YAS_OAS_SPRD"))</f>
        <v/>
      </c>
      <c r="R628" s="22">
        <f>IF($A628="","",_xll.BDP($A628&amp;" Corp","YAS_OAS_SPRD","SETTLE_DT",$B$2))</f>
        <v/>
      </c>
      <c r="S628" s="23">
        <f>IF($A628="","",IF(OR(NOT(ISNUMBER($Q628)),NOT(ISNUMBER($R628))),"",$Q628-$R628))</f>
        <v/>
      </c>
      <c r="T628" s="21">
        <f>IF($A628="","",_xll.BDP($A628&amp;" Corp","YAS_BOND_YLD","YAS_YLD_FLAG=15","SETTLE_DT",$B$2))</f>
        <v/>
      </c>
      <c r="U628" s="24">
        <f>IF($A628="","",IF(OR(NOT(ISNUMBER($O628)),NOT(ISNUMBER($T628))),"",$O628-$T628))</f>
        <v/>
      </c>
      <c r="V628" s="22">
        <f>IF(NOT(ISNUMBER($S628)),"",COUNTIFS($G$7:$G$850,$G628,$S$7:$S$850,"&gt;"&amp;$S628)+COUNTIFS($G$7:$G628,$G628,$S$7:$S628,$S628))</f>
        <v/>
      </c>
      <c r="W628" s="22">
        <f>IF(NOT(ISNUMBER($S628)),"",COUNTIFS($G$7:$G$850,$G628,$S$7:$S$850,"&lt;"&amp;$S628)+COUNTIFS($G$7:$G628,$G628,$S$7:$S628,$S628))</f>
        <v/>
      </c>
      <c r="X628" s="17">
        <f>IF($V628="","",$G628&amp;"|"&amp;$V628)</f>
        <v/>
      </c>
      <c r="Y628" s="17">
        <f>IF($W628="","",$G628&amp;"|"&amp;$W628)</f>
        <v/>
      </c>
    </row>
    <row r="629">
      <c r="A629" s="7" t="inlineStr">
        <is>
          <t>US718172DM83</t>
        </is>
      </c>
      <c r="B629" s="8">
        <f>IF($A629="","",PROPER(_xll.BDP($A629&amp;" Corp","NAME")))</f>
        <v/>
      </c>
      <c r="C629" s="8">
        <f>IF($A629="","",IFERROR(INDEX(Company_desc!$B$2:$B$1144,MATCH($A629,Company_desc!$A$2:$A$1144,0)),IFERROR(INDEX(SYZ_static!$Q$2:$Q$806,MATCH($A629,SYZ_static!$A$2:$A$806,0)),"")))</f>
        <v/>
      </c>
      <c r="D629" s="8">
        <f>IF($A629="","",IFERROR(INDEX(SYZ_static!$B$2:$B$806,MATCH($A629,SYZ_static!$A$2:$A$806,0)),""))</f>
        <v/>
      </c>
      <c r="E629" s="8">
        <f>IF($A629="","",_xll.BDP($A629&amp;" Corp","INDUSTRY_SECTOR"))</f>
        <v/>
      </c>
      <c r="F629" s="8">
        <f>IF($A629="","",PROPER(_xll.BDP($A629&amp;" Corp","COUNTRY_FULL_NAME")))</f>
        <v/>
      </c>
      <c r="G629" s="8">
        <f>IF($A629="","",_xll.BDP($A629&amp;" Corp","CRNCY"))</f>
        <v/>
      </c>
      <c r="H629" s="8">
        <f>IF($A629="","",IFERROR(INDEX(SYZ_static!$T$2:$T$806,MATCH($A629,SYZ_static!$A$2:$A$806,0)),_xll.BDP($A629&amp;" Corp","RTG_SP")))</f>
        <v/>
      </c>
      <c r="I629" s="8">
        <f>IF($A629="","",IFERROR(INDEX(SYZ_static!$S$2:$S$806,MATCH($A629,SYZ_static!$A$2:$A$806,0)),""))</f>
        <v/>
      </c>
      <c r="J629" s="8">
        <f>IF($A629="","",_xll.BDP($A629&amp;" Corp","PAYMENT_RANK"))</f>
        <v/>
      </c>
      <c r="K629" s="9">
        <f>IF($A629="","",_xll.BDP($A629&amp;" Corp","CPN"))</f>
        <v/>
      </c>
      <c r="L629" s="10">
        <f>IF($A629="","",_xll.BDP($A629&amp;" Corp","MATURITY"))</f>
        <v/>
      </c>
      <c r="M629" s="11">
        <f>IF($A629="","",IFERROR(_xll.BDP($A629&amp;" Corp","MIN_PIECE")/1000,""))</f>
        <v/>
      </c>
      <c r="N629" s="12">
        <f>IF($A629="","",_xll.BDP($A629&amp;" Corp","PX_LAST"))</f>
        <v/>
      </c>
      <c r="O629" s="12">
        <f>IF($A629="","",_xll.BDP($A629&amp;" Corp","YAS_BOND_YLD","YAS_YLD_FLAG=15"))</f>
        <v/>
      </c>
      <c r="P629" s="12">
        <f>IF($A629="","",_xll.BDP($A629&amp;" Corp","YAS_MOD_DUR"))</f>
        <v/>
      </c>
      <c r="Q629" s="13">
        <f>IF($A629="","",_xll.BDP($A629&amp;" Corp","YAS_OAS_SPRD"))</f>
        <v/>
      </c>
      <c r="R629" s="13">
        <f>IF($A629="","",_xll.BDP($A629&amp;" Corp","YAS_OAS_SPRD","SETTLE_DT",$B$2))</f>
        <v/>
      </c>
      <c r="S629" s="14">
        <f>IF($A629="","",IF(OR(NOT(ISNUMBER($Q629)),NOT(ISNUMBER($R629))),"",$Q629-$R629))</f>
        <v/>
      </c>
      <c r="T629" s="12">
        <f>IF($A629="","",_xll.BDP($A629&amp;" Corp","YAS_BOND_YLD","YAS_YLD_FLAG=15","SETTLE_DT",$B$2))</f>
        <v/>
      </c>
      <c r="U629" s="15">
        <f>IF($A629="","",IF(OR(NOT(ISNUMBER($O629)),NOT(ISNUMBER($T629))),"",$O629-$T629))</f>
        <v/>
      </c>
      <c r="V629" s="13">
        <f>IF(NOT(ISNUMBER($S629)),"",COUNTIFS($G$7:$G$850,$G629,$S$7:$S$850,"&gt;"&amp;$S629)+COUNTIFS($G$7:$G629,$G629,$S$7:$S629,$S629))</f>
        <v/>
      </c>
      <c r="W629" s="13">
        <f>IF(NOT(ISNUMBER($S629)),"",COUNTIFS($G$7:$G$850,$G629,$S$7:$S$850,"&lt;"&amp;$S629)+COUNTIFS($G$7:$G629,$G629,$S$7:$S629,$S629))</f>
        <v/>
      </c>
      <c r="X629" s="8">
        <f>IF($V629="","",$G629&amp;"|"&amp;$V629)</f>
        <v/>
      </c>
      <c r="Y629" s="8">
        <f>IF($W629="","",$G629&amp;"|"&amp;$W629)</f>
        <v/>
      </c>
    </row>
    <row r="630">
      <c r="A630" s="16" t="inlineStr">
        <is>
          <t>FR001400KJP7</t>
        </is>
      </c>
      <c r="B630" s="17">
        <f>IF($A630="","",PROPER(_xll.BDP($A630&amp;" Corp","NAME")))</f>
        <v/>
      </c>
      <c r="C630" s="17">
        <f>IF($A630="","",IFERROR(INDEX(Company_desc!$B$2:$B$1144,MATCH($A630,Company_desc!$A$2:$A$1144,0)),IFERROR(INDEX(SYZ_static!$Q$2:$Q$806,MATCH($A630,SYZ_static!$A$2:$A$806,0)),"")))</f>
        <v/>
      </c>
      <c r="D630" s="17">
        <f>IF($A630="","",IFERROR(INDEX(SYZ_static!$B$2:$B$806,MATCH($A630,SYZ_static!$A$2:$A$806,0)),""))</f>
        <v/>
      </c>
      <c r="E630" s="17">
        <f>IF($A630="","",_xll.BDP($A630&amp;" Corp","INDUSTRY_SECTOR"))</f>
        <v/>
      </c>
      <c r="F630" s="17">
        <f>IF($A630="","",PROPER(_xll.BDP($A630&amp;" Corp","COUNTRY_FULL_NAME")))</f>
        <v/>
      </c>
      <c r="G630" s="17">
        <f>IF($A630="","",_xll.BDP($A630&amp;" Corp","CRNCY"))</f>
        <v/>
      </c>
      <c r="H630" s="17">
        <f>IF($A630="","",IFERROR(INDEX(SYZ_static!$T$2:$T$806,MATCH($A630,SYZ_static!$A$2:$A$806,0)),_xll.BDP($A630&amp;" Corp","RTG_SP")))</f>
        <v/>
      </c>
      <c r="I630" s="17">
        <f>IF($A630="","",IFERROR(INDEX(SYZ_static!$S$2:$S$806,MATCH($A630,SYZ_static!$A$2:$A$806,0)),""))</f>
        <v/>
      </c>
      <c r="J630" s="17">
        <f>IF($A630="","",_xll.BDP($A630&amp;" Corp","PAYMENT_RANK"))</f>
        <v/>
      </c>
      <c r="K630" s="18">
        <f>IF($A630="","",_xll.BDP($A630&amp;" Corp","CPN"))</f>
        <v/>
      </c>
      <c r="L630" s="19">
        <f>IF($A630="","",_xll.BDP($A630&amp;" Corp","MATURITY"))</f>
        <v/>
      </c>
      <c r="M630" s="20">
        <f>IF($A630="","",IFERROR(_xll.BDP($A630&amp;" Corp","MIN_PIECE")/1000,""))</f>
        <v/>
      </c>
      <c r="N630" s="21">
        <f>IF($A630="","",_xll.BDP($A630&amp;" Corp","PX_LAST"))</f>
        <v/>
      </c>
      <c r="O630" s="21">
        <f>IF($A630="","",_xll.BDP($A630&amp;" Corp","YAS_BOND_YLD","YAS_YLD_FLAG=15"))</f>
        <v/>
      </c>
      <c r="P630" s="21">
        <f>IF($A630="","",_xll.BDP($A630&amp;" Corp","YAS_MOD_DUR"))</f>
        <v/>
      </c>
      <c r="Q630" s="22">
        <f>IF($A630="","",_xll.BDP($A630&amp;" Corp","YAS_OAS_SPRD"))</f>
        <v/>
      </c>
      <c r="R630" s="22">
        <f>IF($A630="","",_xll.BDP($A630&amp;" Corp","YAS_OAS_SPRD","SETTLE_DT",$B$2))</f>
        <v/>
      </c>
      <c r="S630" s="23">
        <f>IF($A630="","",IF(OR(NOT(ISNUMBER($Q630)),NOT(ISNUMBER($R630))),"",$Q630-$R630))</f>
        <v/>
      </c>
      <c r="T630" s="21">
        <f>IF($A630="","",_xll.BDP($A630&amp;" Corp","YAS_BOND_YLD","YAS_YLD_FLAG=15","SETTLE_DT",$B$2))</f>
        <v/>
      </c>
      <c r="U630" s="24">
        <f>IF($A630="","",IF(OR(NOT(ISNUMBER($O630)),NOT(ISNUMBER($T630))),"",$O630-$T630))</f>
        <v/>
      </c>
      <c r="V630" s="22">
        <f>IF(NOT(ISNUMBER($S630)),"",COUNTIFS($G$7:$G$850,$G630,$S$7:$S$850,"&gt;"&amp;$S630)+COUNTIFS($G$7:$G630,$G630,$S$7:$S630,$S630))</f>
        <v/>
      </c>
      <c r="W630" s="22">
        <f>IF(NOT(ISNUMBER($S630)),"",COUNTIFS($G$7:$G$850,$G630,$S$7:$S$850,"&lt;"&amp;$S630)+COUNTIFS($G$7:$G630,$G630,$S$7:$S630,$S630))</f>
        <v/>
      </c>
      <c r="X630" s="17">
        <f>IF($V630="","",$G630&amp;"|"&amp;$V630)</f>
        <v/>
      </c>
      <c r="Y630" s="17">
        <f>IF($W630="","",$G630&amp;"|"&amp;$W630)</f>
        <v/>
      </c>
    </row>
    <row r="631">
      <c r="A631" s="7" t="inlineStr">
        <is>
          <t>XS2895631567</t>
        </is>
      </c>
      <c r="B631" s="8">
        <f>IF($A631="","",PROPER(_xll.BDP($A631&amp;" Corp","NAME")))</f>
        <v/>
      </c>
      <c r="C631" s="8">
        <f>IF($A631="","",IFERROR(INDEX(Company_desc!$B$2:$B$1144,MATCH($A631,Company_desc!$A$2:$A$1144,0)),IFERROR(INDEX(SYZ_static!$Q$2:$Q$806,MATCH($A631,SYZ_static!$A$2:$A$806,0)),"")))</f>
        <v/>
      </c>
      <c r="D631" s="8">
        <f>IF($A631="","",IFERROR(INDEX(SYZ_static!$B$2:$B$806,MATCH($A631,SYZ_static!$A$2:$A$806,0)),""))</f>
        <v/>
      </c>
      <c r="E631" s="8">
        <f>IF($A631="","",_xll.BDP($A631&amp;" Corp","INDUSTRY_SECTOR"))</f>
        <v/>
      </c>
      <c r="F631" s="8">
        <f>IF($A631="","",PROPER(_xll.BDP($A631&amp;" Corp","COUNTRY_FULL_NAME")))</f>
        <v/>
      </c>
      <c r="G631" s="8">
        <f>IF($A631="","",_xll.BDP($A631&amp;" Corp","CRNCY"))</f>
        <v/>
      </c>
      <c r="H631" s="8">
        <f>IF($A631="","",IFERROR(INDEX(SYZ_static!$T$2:$T$806,MATCH($A631,SYZ_static!$A$2:$A$806,0)),_xll.BDP($A631&amp;" Corp","RTG_SP")))</f>
        <v/>
      </c>
      <c r="I631" s="8">
        <f>IF($A631="","",IFERROR(INDEX(SYZ_static!$S$2:$S$806,MATCH($A631,SYZ_static!$A$2:$A$806,0)),""))</f>
        <v/>
      </c>
      <c r="J631" s="8">
        <f>IF($A631="","",_xll.BDP($A631&amp;" Corp","PAYMENT_RANK"))</f>
        <v/>
      </c>
      <c r="K631" s="9">
        <f>IF($A631="","",_xll.BDP($A631&amp;" Corp","CPN"))</f>
        <v/>
      </c>
      <c r="L631" s="10">
        <f>IF($A631="","",_xll.BDP($A631&amp;" Corp","MATURITY"))</f>
        <v/>
      </c>
      <c r="M631" s="11">
        <f>IF($A631="","",IFERROR(_xll.BDP($A631&amp;" Corp","MIN_PIECE")/1000,""))</f>
        <v/>
      </c>
      <c r="N631" s="12">
        <f>IF($A631="","",_xll.BDP($A631&amp;" Corp","PX_LAST"))</f>
        <v/>
      </c>
      <c r="O631" s="12">
        <f>IF($A631="","",_xll.BDP($A631&amp;" Corp","YAS_BOND_YLD","YAS_YLD_FLAG=15"))</f>
        <v/>
      </c>
      <c r="P631" s="12">
        <f>IF($A631="","",_xll.BDP($A631&amp;" Corp","YAS_MOD_DUR"))</f>
        <v/>
      </c>
      <c r="Q631" s="13">
        <f>IF($A631="","",_xll.BDP($A631&amp;" Corp","YAS_OAS_SPRD"))</f>
        <v/>
      </c>
      <c r="R631" s="13">
        <f>IF($A631="","",_xll.BDP($A631&amp;" Corp","YAS_OAS_SPRD","SETTLE_DT",$B$2))</f>
        <v/>
      </c>
      <c r="S631" s="14">
        <f>IF($A631="","",IF(OR(NOT(ISNUMBER($Q631)),NOT(ISNUMBER($R631))),"",$Q631-$R631))</f>
        <v/>
      </c>
      <c r="T631" s="12">
        <f>IF($A631="","",_xll.BDP($A631&amp;" Corp","YAS_BOND_YLD","YAS_YLD_FLAG=15","SETTLE_DT",$B$2))</f>
        <v/>
      </c>
      <c r="U631" s="15">
        <f>IF($A631="","",IF(OR(NOT(ISNUMBER($O631)),NOT(ISNUMBER($T631))),"",$O631-$T631))</f>
        <v/>
      </c>
      <c r="V631" s="13">
        <f>IF(NOT(ISNUMBER($S631)),"",COUNTIFS($G$7:$G$850,$G631,$S$7:$S$850,"&gt;"&amp;$S631)+COUNTIFS($G$7:$G631,$G631,$S$7:$S631,$S631))</f>
        <v/>
      </c>
      <c r="W631" s="13">
        <f>IF(NOT(ISNUMBER($S631)),"",COUNTIFS($G$7:$G$850,$G631,$S$7:$S$850,"&lt;"&amp;$S631)+COUNTIFS($G$7:$G631,$G631,$S$7:$S631,$S631))</f>
        <v/>
      </c>
      <c r="X631" s="8">
        <f>IF($V631="","",$G631&amp;"|"&amp;$V631)</f>
        <v/>
      </c>
      <c r="Y631" s="8">
        <f>IF($W631="","",$G631&amp;"|"&amp;$W631)</f>
        <v/>
      </c>
    </row>
    <row r="632">
      <c r="A632" s="16" t="inlineStr">
        <is>
          <t>XS1854532949</t>
        </is>
      </c>
      <c r="B632" s="17">
        <f>IF($A632="","",PROPER(_xll.BDP($A632&amp;" Corp","NAME")))</f>
        <v/>
      </c>
      <c r="C632" s="17">
        <f>IF($A632="","",IFERROR(INDEX(Company_desc!$B$2:$B$1144,MATCH($A632,Company_desc!$A$2:$A$1144,0)),IFERROR(INDEX(SYZ_static!$Q$2:$Q$806,MATCH($A632,SYZ_static!$A$2:$A$806,0)),"")))</f>
        <v/>
      </c>
      <c r="D632" s="17">
        <f>IF($A632="","",IFERROR(INDEX(SYZ_static!$B$2:$B$806,MATCH($A632,SYZ_static!$A$2:$A$806,0)),""))</f>
        <v/>
      </c>
      <c r="E632" s="17">
        <f>IF($A632="","",_xll.BDP($A632&amp;" Corp","INDUSTRY_SECTOR"))</f>
        <v/>
      </c>
      <c r="F632" s="17">
        <f>IF($A632="","",PROPER(_xll.BDP($A632&amp;" Corp","COUNTRY_FULL_NAME")))</f>
        <v/>
      </c>
      <c r="G632" s="17">
        <f>IF($A632="","",_xll.BDP($A632&amp;" Corp","CRNCY"))</f>
        <v/>
      </c>
      <c r="H632" s="17">
        <f>IF($A632="","",IFERROR(INDEX(SYZ_static!$T$2:$T$806,MATCH($A632,SYZ_static!$A$2:$A$806,0)),_xll.BDP($A632&amp;" Corp","RTG_SP")))</f>
        <v/>
      </c>
      <c r="I632" s="17">
        <f>IF($A632="","",IFERROR(INDEX(SYZ_static!$S$2:$S$806,MATCH($A632,SYZ_static!$A$2:$A$806,0)),""))</f>
        <v/>
      </c>
      <c r="J632" s="17">
        <f>IF($A632="","",_xll.BDP($A632&amp;" Corp","PAYMENT_RANK"))</f>
        <v/>
      </c>
      <c r="K632" s="18">
        <f>IF($A632="","",_xll.BDP($A632&amp;" Corp","CPN"))</f>
        <v/>
      </c>
      <c r="L632" s="19">
        <f>IF($A632="","",_xll.BDP($A632&amp;" Corp","MATURITY"))</f>
        <v/>
      </c>
      <c r="M632" s="20">
        <f>IF($A632="","",IFERROR(_xll.BDP($A632&amp;" Corp","MIN_PIECE")/1000,""))</f>
        <v/>
      </c>
      <c r="N632" s="21">
        <f>IF($A632="","",_xll.BDP($A632&amp;" Corp","PX_LAST"))</f>
        <v/>
      </c>
      <c r="O632" s="21">
        <f>IF($A632="","",_xll.BDP($A632&amp;" Corp","YAS_BOND_YLD","YAS_YLD_FLAG=15"))</f>
        <v/>
      </c>
      <c r="P632" s="21">
        <f>IF($A632="","",_xll.BDP($A632&amp;" Corp","YAS_MOD_DUR"))</f>
        <v/>
      </c>
      <c r="Q632" s="22">
        <f>IF($A632="","",_xll.BDP($A632&amp;" Corp","YAS_OAS_SPRD"))</f>
        <v/>
      </c>
      <c r="R632" s="22">
        <f>IF($A632="","",_xll.BDP($A632&amp;" Corp","YAS_OAS_SPRD","SETTLE_DT",$B$2))</f>
        <v/>
      </c>
      <c r="S632" s="23">
        <f>IF($A632="","",IF(OR(NOT(ISNUMBER($Q632)),NOT(ISNUMBER($R632))),"",$Q632-$R632))</f>
        <v/>
      </c>
      <c r="T632" s="21">
        <f>IF($A632="","",_xll.BDP($A632&amp;" Corp","YAS_BOND_YLD","YAS_YLD_FLAG=15","SETTLE_DT",$B$2))</f>
        <v/>
      </c>
      <c r="U632" s="24">
        <f>IF($A632="","",IF(OR(NOT(ISNUMBER($O632)),NOT(ISNUMBER($T632))),"",$O632-$T632))</f>
        <v/>
      </c>
      <c r="V632" s="22">
        <f>IF(NOT(ISNUMBER($S632)),"",COUNTIFS($G$7:$G$850,$G632,$S$7:$S$850,"&gt;"&amp;$S632)+COUNTIFS($G$7:$G632,$G632,$S$7:$S632,$S632))</f>
        <v/>
      </c>
      <c r="W632" s="22">
        <f>IF(NOT(ISNUMBER($S632)),"",COUNTIFS($G$7:$G$850,$G632,$S$7:$S$850,"&lt;"&amp;$S632)+COUNTIFS($G$7:$G632,$G632,$S$7:$S632,$S632))</f>
        <v/>
      </c>
      <c r="X632" s="17">
        <f>IF($V632="","",$G632&amp;"|"&amp;$V632)</f>
        <v/>
      </c>
      <c r="Y632" s="17">
        <f>IF($W632="","",$G632&amp;"|"&amp;$W632)</f>
        <v/>
      </c>
    </row>
    <row r="633">
      <c r="A633" s="7" t="inlineStr">
        <is>
          <t>US532457CF35</t>
        </is>
      </c>
      <c r="B633" s="8">
        <f>IF($A633="","",PROPER(_xll.BDP($A633&amp;" Corp","NAME")))</f>
        <v/>
      </c>
      <c r="C633" s="8">
        <f>IF($A633="","",IFERROR(INDEX(Company_desc!$B$2:$B$1144,MATCH($A633,Company_desc!$A$2:$A$1144,0)),IFERROR(INDEX(SYZ_static!$Q$2:$Q$806,MATCH($A633,SYZ_static!$A$2:$A$806,0)),"")))</f>
        <v/>
      </c>
      <c r="D633" s="8">
        <f>IF($A633="","",IFERROR(INDEX(SYZ_static!$B$2:$B$806,MATCH($A633,SYZ_static!$A$2:$A$806,0)),""))</f>
        <v/>
      </c>
      <c r="E633" s="8">
        <f>IF($A633="","",_xll.BDP($A633&amp;" Corp","INDUSTRY_SECTOR"))</f>
        <v/>
      </c>
      <c r="F633" s="8">
        <f>IF($A633="","",PROPER(_xll.BDP($A633&amp;" Corp","COUNTRY_FULL_NAME")))</f>
        <v/>
      </c>
      <c r="G633" s="8">
        <f>IF($A633="","",_xll.BDP($A633&amp;" Corp","CRNCY"))</f>
        <v/>
      </c>
      <c r="H633" s="8">
        <f>IF($A633="","",IFERROR(INDEX(SYZ_static!$T$2:$T$806,MATCH($A633,SYZ_static!$A$2:$A$806,0)),_xll.BDP($A633&amp;" Corp","RTG_SP")))</f>
        <v/>
      </c>
      <c r="I633" s="8">
        <f>IF($A633="","",IFERROR(INDEX(SYZ_static!$S$2:$S$806,MATCH($A633,SYZ_static!$A$2:$A$806,0)),""))</f>
        <v/>
      </c>
      <c r="J633" s="8">
        <f>IF($A633="","",_xll.BDP($A633&amp;" Corp","PAYMENT_RANK"))</f>
        <v/>
      </c>
      <c r="K633" s="9">
        <f>IF($A633="","",_xll.BDP($A633&amp;" Corp","CPN"))</f>
        <v/>
      </c>
      <c r="L633" s="10">
        <f>IF($A633="","",_xll.BDP($A633&amp;" Corp","MATURITY"))</f>
        <v/>
      </c>
      <c r="M633" s="11">
        <f>IF($A633="","",IFERROR(_xll.BDP($A633&amp;" Corp","MIN_PIECE")/1000,""))</f>
        <v/>
      </c>
      <c r="N633" s="12">
        <f>IF($A633="","",_xll.BDP($A633&amp;" Corp","PX_LAST"))</f>
        <v/>
      </c>
      <c r="O633" s="12">
        <f>IF($A633="","",_xll.BDP($A633&amp;" Corp","YAS_BOND_YLD","YAS_YLD_FLAG=15"))</f>
        <v/>
      </c>
      <c r="P633" s="12">
        <f>IF($A633="","",_xll.BDP($A633&amp;" Corp","YAS_MOD_DUR"))</f>
        <v/>
      </c>
      <c r="Q633" s="13">
        <f>IF($A633="","",_xll.BDP($A633&amp;" Corp","YAS_OAS_SPRD"))</f>
        <v/>
      </c>
      <c r="R633" s="13">
        <f>IF($A633="","",_xll.BDP($A633&amp;" Corp","YAS_OAS_SPRD","SETTLE_DT",$B$2))</f>
        <v/>
      </c>
      <c r="S633" s="14">
        <f>IF($A633="","",IF(OR(NOT(ISNUMBER($Q633)),NOT(ISNUMBER($R633))),"",$Q633-$R633))</f>
        <v/>
      </c>
      <c r="T633" s="12">
        <f>IF($A633="","",_xll.BDP($A633&amp;" Corp","YAS_BOND_YLD","YAS_YLD_FLAG=15","SETTLE_DT",$B$2))</f>
        <v/>
      </c>
      <c r="U633" s="15">
        <f>IF($A633="","",IF(OR(NOT(ISNUMBER($O633)),NOT(ISNUMBER($T633))),"",$O633-$T633))</f>
        <v/>
      </c>
      <c r="V633" s="13">
        <f>IF(NOT(ISNUMBER($S633)),"",COUNTIFS($G$7:$G$850,$G633,$S$7:$S$850,"&gt;"&amp;$S633)+COUNTIFS($G$7:$G633,$G633,$S$7:$S633,$S633))</f>
        <v/>
      </c>
      <c r="W633" s="13">
        <f>IF(NOT(ISNUMBER($S633)),"",COUNTIFS($G$7:$G$850,$G633,$S$7:$S$850,"&lt;"&amp;$S633)+COUNTIFS($G$7:$G633,$G633,$S$7:$S633,$S633))</f>
        <v/>
      </c>
      <c r="X633" s="8">
        <f>IF($V633="","",$G633&amp;"|"&amp;$V633)</f>
        <v/>
      </c>
      <c r="Y633" s="8">
        <f>IF($W633="","",$G633&amp;"|"&amp;$W633)</f>
        <v/>
      </c>
    </row>
    <row r="634">
      <c r="A634" s="16" t="inlineStr">
        <is>
          <t>FR001400CVE3</t>
        </is>
      </c>
      <c r="B634" s="17">
        <f>IF($A634="","",PROPER(_xll.BDP($A634&amp;" Corp","NAME")))</f>
        <v/>
      </c>
      <c r="C634" s="17">
        <f>IF($A634="","",IFERROR(INDEX(Company_desc!$B$2:$B$1144,MATCH($A634,Company_desc!$A$2:$A$1144,0)),IFERROR(INDEX(SYZ_static!$Q$2:$Q$806,MATCH($A634,SYZ_static!$A$2:$A$806,0)),"")))</f>
        <v/>
      </c>
      <c r="D634" s="17">
        <f>IF($A634="","",IFERROR(INDEX(SYZ_static!$B$2:$B$806,MATCH($A634,SYZ_static!$A$2:$A$806,0)),""))</f>
        <v/>
      </c>
      <c r="E634" s="17">
        <f>IF($A634="","",_xll.BDP($A634&amp;" Corp","INDUSTRY_SECTOR"))</f>
        <v/>
      </c>
      <c r="F634" s="17">
        <f>IF($A634="","",PROPER(_xll.BDP($A634&amp;" Corp","COUNTRY_FULL_NAME")))</f>
        <v/>
      </c>
      <c r="G634" s="17">
        <f>IF($A634="","",_xll.BDP($A634&amp;" Corp","CRNCY"))</f>
        <v/>
      </c>
      <c r="H634" s="17">
        <f>IF($A634="","",IFERROR(INDEX(SYZ_static!$T$2:$T$806,MATCH($A634,SYZ_static!$A$2:$A$806,0)),_xll.BDP($A634&amp;" Corp","RTG_SP")))</f>
        <v/>
      </c>
      <c r="I634" s="17">
        <f>IF($A634="","",IFERROR(INDEX(SYZ_static!$S$2:$S$806,MATCH($A634,SYZ_static!$A$2:$A$806,0)),""))</f>
        <v/>
      </c>
      <c r="J634" s="17">
        <f>IF($A634="","",_xll.BDP($A634&amp;" Corp","PAYMENT_RANK"))</f>
        <v/>
      </c>
      <c r="K634" s="18">
        <f>IF($A634="","",_xll.BDP($A634&amp;" Corp","CPN"))</f>
        <v/>
      </c>
      <c r="L634" s="19">
        <f>IF($A634="","",_xll.BDP($A634&amp;" Corp","MATURITY"))</f>
        <v/>
      </c>
      <c r="M634" s="20">
        <f>IF($A634="","",IFERROR(_xll.BDP($A634&amp;" Corp","MIN_PIECE")/1000,""))</f>
        <v/>
      </c>
      <c r="N634" s="21">
        <f>IF($A634="","",_xll.BDP($A634&amp;" Corp","PX_LAST"))</f>
        <v/>
      </c>
      <c r="O634" s="21">
        <f>IF($A634="","",_xll.BDP($A634&amp;" Corp","YAS_BOND_YLD","YAS_YLD_FLAG=15"))</f>
        <v/>
      </c>
      <c r="P634" s="21">
        <f>IF($A634="","",_xll.BDP($A634&amp;" Corp","YAS_MOD_DUR"))</f>
        <v/>
      </c>
      <c r="Q634" s="22">
        <f>IF($A634="","",_xll.BDP($A634&amp;" Corp","YAS_OAS_SPRD"))</f>
        <v/>
      </c>
      <c r="R634" s="22">
        <f>IF($A634="","",_xll.BDP($A634&amp;" Corp","YAS_OAS_SPRD","SETTLE_DT",$B$2))</f>
        <v/>
      </c>
      <c r="S634" s="23">
        <f>IF($A634="","",IF(OR(NOT(ISNUMBER($Q634)),NOT(ISNUMBER($R634))),"",$Q634-$R634))</f>
        <v/>
      </c>
      <c r="T634" s="21">
        <f>IF($A634="","",_xll.BDP($A634&amp;" Corp","YAS_BOND_YLD","YAS_YLD_FLAG=15","SETTLE_DT",$B$2))</f>
        <v/>
      </c>
      <c r="U634" s="24">
        <f>IF($A634="","",IF(OR(NOT(ISNUMBER($O634)),NOT(ISNUMBER($T634))),"",$O634-$T634))</f>
        <v/>
      </c>
      <c r="V634" s="22">
        <f>IF(NOT(ISNUMBER($S634)),"",COUNTIFS($G$7:$G$850,$G634,$S$7:$S$850,"&gt;"&amp;$S634)+COUNTIFS($G$7:$G634,$G634,$S$7:$S634,$S634))</f>
        <v/>
      </c>
      <c r="W634" s="22">
        <f>IF(NOT(ISNUMBER($S634)),"",COUNTIFS($G$7:$G$850,$G634,$S$7:$S$850,"&lt;"&amp;$S634)+COUNTIFS($G$7:$G634,$G634,$S$7:$S634,$S634))</f>
        <v/>
      </c>
      <c r="X634" s="17">
        <f>IF($V634="","",$G634&amp;"|"&amp;$V634)</f>
        <v/>
      </c>
      <c r="Y634" s="17">
        <f>IF($W634="","",$G634&amp;"|"&amp;$W634)</f>
        <v/>
      </c>
    </row>
    <row r="635">
      <c r="A635" s="7" t="inlineStr">
        <is>
          <t>US532457CW67</t>
        </is>
      </c>
      <c r="B635" s="8">
        <f>IF($A635="","",PROPER(_xll.BDP($A635&amp;" Corp","NAME")))</f>
        <v/>
      </c>
      <c r="C635" s="8">
        <f>IF($A635="","",IFERROR(INDEX(Company_desc!$B$2:$B$1144,MATCH($A635,Company_desc!$A$2:$A$1144,0)),IFERROR(INDEX(SYZ_static!$Q$2:$Q$806,MATCH($A635,SYZ_static!$A$2:$A$806,0)),"")))</f>
        <v/>
      </c>
      <c r="D635" s="8">
        <f>IF($A635="","",IFERROR(INDEX(SYZ_static!$B$2:$B$806,MATCH($A635,SYZ_static!$A$2:$A$806,0)),""))</f>
        <v/>
      </c>
      <c r="E635" s="8">
        <f>IF($A635="","",_xll.BDP($A635&amp;" Corp","INDUSTRY_SECTOR"))</f>
        <v/>
      </c>
      <c r="F635" s="8">
        <f>IF($A635="","",PROPER(_xll.BDP($A635&amp;" Corp","COUNTRY_FULL_NAME")))</f>
        <v/>
      </c>
      <c r="G635" s="8">
        <f>IF($A635="","",_xll.BDP($A635&amp;" Corp","CRNCY"))</f>
        <v/>
      </c>
      <c r="H635" s="8">
        <f>IF($A635="","",IFERROR(INDEX(SYZ_static!$T$2:$T$806,MATCH($A635,SYZ_static!$A$2:$A$806,0)),_xll.BDP($A635&amp;" Corp","RTG_SP")))</f>
        <v/>
      </c>
      <c r="I635" s="8">
        <f>IF($A635="","",IFERROR(INDEX(SYZ_static!$S$2:$S$806,MATCH($A635,SYZ_static!$A$2:$A$806,0)),""))</f>
        <v/>
      </c>
      <c r="J635" s="8">
        <f>IF($A635="","",_xll.BDP($A635&amp;" Corp","PAYMENT_RANK"))</f>
        <v/>
      </c>
      <c r="K635" s="9">
        <f>IF($A635="","",_xll.BDP($A635&amp;" Corp","CPN"))</f>
        <v/>
      </c>
      <c r="L635" s="10">
        <f>IF($A635="","",_xll.BDP($A635&amp;" Corp","MATURITY"))</f>
        <v/>
      </c>
      <c r="M635" s="11">
        <f>IF($A635="","",IFERROR(_xll.BDP($A635&amp;" Corp","MIN_PIECE")/1000,""))</f>
        <v/>
      </c>
      <c r="N635" s="12">
        <f>IF($A635="","",_xll.BDP($A635&amp;" Corp","PX_LAST"))</f>
        <v/>
      </c>
      <c r="O635" s="12">
        <f>IF($A635="","",_xll.BDP($A635&amp;" Corp","YAS_BOND_YLD","YAS_YLD_FLAG=15"))</f>
        <v/>
      </c>
      <c r="P635" s="12">
        <f>IF($A635="","",_xll.BDP($A635&amp;" Corp","YAS_MOD_DUR"))</f>
        <v/>
      </c>
      <c r="Q635" s="13">
        <f>IF($A635="","",_xll.BDP($A635&amp;" Corp","YAS_OAS_SPRD"))</f>
        <v/>
      </c>
      <c r="R635" s="13">
        <f>IF($A635="","",_xll.BDP($A635&amp;" Corp","YAS_OAS_SPRD","SETTLE_DT",$B$2))</f>
        <v/>
      </c>
      <c r="S635" s="14">
        <f>IF($A635="","",IF(OR(NOT(ISNUMBER($Q635)),NOT(ISNUMBER($R635))),"",$Q635-$R635))</f>
        <v/>
      </c>
      <c r="T635" s="12">
        <f>IF($A635="","",_xll.BDP($A635&amp;" Corp","YAS_BOND_YLD","YAS_YLD_FLAG=15","SETTLE_DT",$B$2))</f>
        <v/>
      </c>
      <c r="U635" s="15">
        <f>IF($A635="","",IF(OR(NOT(ISNUMBER($O635)),NOT(ISNUMBER($T635))),"",$O635-$T635))</f>
        <v/>
      </c>
      <c r="V635" s="13">
        <f>IF(NOT(ISNUMBER($S635)),"",COUNTIFS($G$7:$G$850,$G635,$S$7:$S$850,"&gt;"&amp;$S635)+COUNTIFS($G$7:$G635,$G635,$S$7:$S635,$S635))</f>
        <v/>
      </c>
      <c r="W635" s="13">
        <f>IF(NOT(ISNUMBER($S635)),"",COUNTIFS($G$7:$G$850,$G635,$S$7:$S$850,"&lt;"&amp;$S635)+COUNTIFS($G$7:$G635,$G635,$S$7:$S635,$S635))</f>
        <v/>
      </c>
      <c r="X635" s="8">
        <f>IF($V635="","",$G635&amp;"|"&amp;$V635)</f>
        <v/>
      </c>
      <c r="Y635" s="8">
        <f>IF($W635="","",$G635&amp;"|"&amp;$W635)</f>
        <v/>
      </c>
    </row>
    <row r="636">
      <c r="A636" s="16" t="inlineStr">
        <is>
          <t>US61746BCY02</t>
        </is>
      </c>
      <c r="B636" s="17">
        <f>IF($A636="","",PROPER(_xll.BDP($A636&amp;" Corp","NAME")))</f>
        <v/>
      </c>
      <c r="C636" s="17">
        <f>IF($A636="","",IFERROR(INDEX(Company_desc!$B$2:$B$1144,MATCH($A636,Company_desc!$A$2:$A$1144,0)),IFERROR(INDEX(SYZ_static!$Q$2:$Q$806,MATCH($A636,SYZ_static!$A$2:$A$806,0)),"")))</f>
        <v/>
      </c>
      <c r="D636" s="17">
        <f>IF($A636="","",IFERROR(INDEX(SYZ_static!$B$2:$B$806,MATCH($A636,SYZ_static!$A$2:$A$806,0)),""))</f>
        <v/>
      </c>
      <c r="E636" s="17">
        <f>IF($A636="","",_xll.BDP($A636&amp;" Corp","INDUSTRY_SECTOR"))</f>
        <v/>
      </c>
      <c r="F636" s="17">
        <f>IF($A636="","",PROPER(_xll.BDP($A636&amp;" Corp","COUNTRY_FULL_NAME")))</f>
        <v/>
      </c>
      <c r="G636" s="17">
        <f>IF($A636="","",_xll.BDP($A636&amp;" Corp","CRNCY"))</f>
        <v/>
      </c>
      <c r="H636" s="17">
        <f>IF($A636="","",IFERROR(INDEX(SYZ_static!$T$2:$T$806,MATCH($A636,SYZ_static!$A$2:$A$806,0)),_xll.BDP($A636&amp;" Corp","RTG_SP")))</f>
        <v/>
      </c>
      <c r="I636" s="17">
        <f>IF($A636="","",IFERROR(INDEX(SYZ_static!$S$2:$S$806,MATCH($A636,SYZ_static!$A$2:$A$806,0)),""))</f>
        <v/>
      </c>
      <c r="J636" s="17">
        <f>IF($A636="","",_xll.BDP($A636&amp;" Corp","PAYMENT_RANK"))</f>
        <v/>
      </c>
      <c r="K636" s="18">
        <f>IF($A636="","",_xll.BDP($A636&amp;" Corp","CPN"))</f>
        <v/>
      </c>
      <c r="L636" s="19">
        <f>IF($A636="","",_xll.BDP($A636&amp;" Corp","MATURITY"))</f>
        <v/>
      </c>
      <c r="M636" s="20">
        <f>IF($A636="","",IFERROR(_xll.BDP($A636&amp;" Corp","MIN_PIECE")/1000,""))</f>
        <v/>
      </c>
      <c r="N636" s="21">
        <f>IF($A636="","",_xll.BDP($A636&amp;" Corp","PX_LAST"))</f>
        <v/>
      </c>
      <c r="O636" s="21">
        <f>IF($A636="","",_xll.BDP($A636&amp;" Corp","YAS_BOND_YLD","YAS_YLD_FLAG=15"))</f>
        <v/>
      </c>
      <c r="P636" s="21">
        <f>IF($A636="","",_xll.BDP($A636&amp;" Corp","YAS_MOD_DUR"))</f>
        <v/>
      </c>
      <c r="Q636" s="22">
        <f>IF($A636="","",_xll.BDP($A636&amp;" Corp","YAS_OAS_SPRD"))</f>
        <v/>
      </c>
      <c r="R636" s="22">
        <f>IF($A636="","",_xll.BDP($A636&amp;" Corp","YAS_OAS_SPRD","SETTLE_DT",$B$2))</f>
        <v/>
      </c>
      <c r="S636" s="23">
        <f>IF($A636="","",IF(OR(NOT(ISNUMBER($Q636)),NOT(ISNUMBER($R636))),"",$Q636-$R636))</f>
        <v/>
      </c>
      <c r="T636" s="21">
        <f>IF($A636="","",_xll.BDP($A636&amp;" Corp","YAS_BOND_YLD","YAS_YLD_FLAG=15","SETTLE_DT",$B$2))</f>
        <v/>
      </c>
      <c r="U636" s="24">
        <f>IF($A636="","",IF(OR(NOT(ISNUMBER($O636)),NOT(ISNUMBER($T636))),"",$O636-$T636))</f>
        <v/>
      </c>
      <c r="V636" s="22">
        <f>IF(NOT(ISNUMBER($S636)),"",COUNTIFS($G$7:$G$850,$G636,$S$7:$S$850,"&gt;"&amp;$S636)+COUNTIFS($G$7:$G636,$G636,$S$7:$S636,$S636))</f>
        <v/>
      </c>
      <c r="W636" s="22">
        <f>IF(NOT(ISNUMBER($S636)),"",COUNTIFS($G$7:$G$850,$G636,$S$7:$S$850,"&lt;"&amp;$S636)+COUNTIFS($G$7:$G636,$G636,$S$7:$S636,$S636))</f>
        <v/>
      </c>
      <c r="X636" s="17">
        <f>IF($V636="","",$G636&amp;"|"&amp;$V636)</f>
        <v/>
      </c>
      <c r="Y636" s="17">
        <f>IF($W636="","",$G636&amp;"|"&amp;$W636)</f>
        <v/>
      </c>
    </row>
    <row r="637">
      <c r="A637" s="7" t="inlineStr">
        <is>
          <t>FR001400H7V7</t>
        </is>
      </c>
      <c r="B637" s="8">
        <f>IF($A637="","",PROPER(_xll.BDP($A637&amp;" Corp","NAME")))</f>
        <v/>
      </c>
      <c r="C637" s="8">
        <f>IF($A637="","",IFERROR(INDEX(Company_desc!$B$2:$B$1144,MATCH($A637,Company_desc!$A$2:$A$1144,0)),IFERROR(INDEX(SYZ_static!$Q$2:$Q$806,MATCH($A637,SYZ_static!$A$2:$A$806,0)),"")))</f>
        <v/>
      </c>
      <c r="D637" s="8">
        <f>IF($A637="","",IFERROR(INDEX(SYZ_static!$B$2:$B$806,MATCH($A637,SYZ_static!$A$2:$A$806,0)),""))</f>
        <v/>
      </c>
      <c r="E637" s="8">
        <f>IF($A637="","",_xll.BDP($A637&amp;" Corp","INDUSTRY_SECTOR"))</f>
        <v/>
      </c>
      <c r="F637" s="8">
        <f>IF($A637="","",PROPER(_xll.BDP($A637&amp;" Corp","COUNTRY_FULL_NAME")))</f>
        <v/>
      </c>
      <c r="G637" s="8">
        <f>IF($A637="","",_xll.BDP($A637&amp;" Corp","CRNCY"))</f>
        <v/>
      </c>
      <c r="H637" s="8">
        <f>IF($A637="","",IFERROR(INDEX(SYZ_static!$T$2:$T$806,MATCH($A637,SYZ_static!$A$2:$A$806,0)),_xll.BDP($A637&amp;" Corp","RTG_SP")))</f>
        <v/>
      </c>
      <c r="I637" s="8">
        <f>IF($A637="","",IFERROR(INDEX(SYZ_static!$S$2:$S$806,MATCH($A637,SYZ_static!$A$2:$A$806,0)),""))</f>
        <v/>
      </c>
      <c r="J637" s="8">
        <f>IF($A637="","",_xll.BDP($A637&amp;" Corp","PAYMENT_RANK"))</f>
        <v/>
      </c>
      <c r="K637" s="9">
        <f>IF($A637="","",_xll.BDP($A637&amp;" Corp","CPN"))</f>
        <v/>
      </c>
      <c r="L637" s="10">
        <f>IF($A637="","",_xll.BDP($A637&amp;" Corp","MATURITY"))</f>
        <v/>
      </c>
      <c r="M637" s="11">
        <f>IF($A637="","",IFERROR(_xll.BDP($A637&amp;" Corp","MIN_PIECE")/1000,""))</f>
        <v/>
      </c>
      <c r="N637" s="12">
        <f>IF($A637="","",_xll.BDP($A637&amp;" Corp","PX_LAST"))</f>
        <v/>
      </c>
      <c r="O637" s="12">
        <f>IF($A637="","",_xll.BDP($A637&amp;" Corp","YAS_BOND_YLD","YAS_YLD_FLAG=15"))</f>
        <v/>
      </c>
      <c r="P637" s="12">
        <f>IF($A637="","",_xll.BDP($A637&amp;" Corp","YAS_MOD_DUR"))</f>
        <v/>
      </c>
      <c r="Q637" s="13">
        <f>IF($A637="","",_xll.BDP($A637&amp;" Corp","YAS_OAS_SPRD"))</f>
        <v/>
      </c>
      <c r="R637" s="13">
        <f>IF($A637="","",_xll.BDP($A637&amp;" Corp","YAS_OAS_SPRD","SETTLE_DT",$B$2))</f>
        <v/>
      </c>
      <c r="S637" s="14">
        <f>IF($A637="","",IF(OR(NOT(ISNUMBER($Q637)),NOT(ISNUMBER($R637))),"",$Q637-$R637))</f>
        <v/>
      </c>
      <c r="T637" s="12">
        <f>IF($A637="","",_xll.BDP($A637&amp;" Corp","YAS_BOND_YLD","YAS_YLD_FLAG=15","SETTLE_DT",$B$2))</f>
        <v/>
      </c>
      <c r="U637" s="15">
        <f>IF($A637="","",IF(OR(NOT(ISNUMBER($O637)),NOT(ISNUMBER($T637))),"",$O637-$T637))</f>
        <v/>
      </c>
      <c r="V637" s="13">
        <f>IF(NOT(ISNUMBER($S637)),"",COUNTIFS($G$7:$G$850,$G637,$S$7:$S$850,"&gt;"&amp;$S637)+COUNTIFS($G$7:$G637,$G637,$S$7:$S637,$S637))</f>
        <v/>
      </c>
      <c r="W637" s="13">
        <f>IF(NOT(ISNUMBER($S637)),"",COUNTIFS($G$7:$G$850,$G637,$S$7:$S$850,"&lt;"&amp;$S637)+COUNTIFS($G$7:$G637,$G637,$S$7:$S637,$S637))</f>
        <v/>
      </c>
      <c r="X637" s="8">
        <f>IF($V637="","",$G637&amp;"|"&amp;$V637)</f>
        <v/>
      </c>
      <c r="Y637" s="8">
        <f>IF($W637="","",$G637&amp;"|"&amp;$W637)</f>
        <v/>
      </c>
    </row>
    <row r="638">
      <c r="A638" s="16" t="inlineStr">
        <is>
          <t>XS2451376219</t>
        </is>
      </c>
      <c r="B638" s="17">
        <f>IF($A638="","",PROPER(_xll.BDP($A638&amp;" Corp","NAME")))</f>
        <v/>
      </c>
      <c r="C638" s="17">
        <f>IF($A638="","",IFERROR(INDEX(Company_desc!$B$2:$B$1144,MATCH($A638,Company_desc!$A$2:$A$1144,0)),IFERROR(INDEX(SYZ_static!$Q$2:$Q$806,MATCH($A638,SYZ_static!$A$2:$A$806,0)),"")))</f>
        <v/>
      </c>
      <c r="D638" s="17">
        <f>IF($A638="","",IFERROR(INDEX(SYZ_static!$B$2:$B$806,MATCH($A638,SYZ_static!$A$2:$A$806,0)),""))</f>
        <v/>
      </c>
      <c r="E638" s="17">
        <f>IF($A638="","",_xll.BDP($A638&amp;" Corp","INDUSTRY_SECTOR"))</f>
        <v/>
      </c>
      <c r="F638" s="17">
        <f>IF($A638="","",PROPER(_xll.BDP($A638&amp;" Corp","COUNTRY_FULL_NAME")))</f>
        <v/>
      </c>
      <c r="G638" s="17">
        <f>IF($A638="","",_xll.BDP($A638&amp;" Corp","CRNCY"))</f>
        <v/>
      </c>
      <c r="H638" s="17">
        <f>IF($A638="","",IFERROR(INDEX(SYZ_static!$T$2:$T$806,MATCH($A638,SYZ_static!$A$2:$A$806,0)),_xll.BDP($A638&amp;" Corp","RTG_SP")))</f>
        <v/>
      </c>
      <c r="I638" s="17">
        <f>IF($A638="","",IFERROR(INDEX(SYZ_static!$S$2:$S$806,MATCH($A638,SYZ_static!$A$2:$A$806,0)),""))</f>
        <v/>
      </c>
      <c r="J638" s="17">
        <f>IF($A638="","",_xll.BDP($A638&amp;" Corp","PAYMENT_RANK"))</f>
        <v/>
      </c>
      <c r="K638" s="18">
        <f>IF($A638="","",_xll.BDP($A638&amp;" Corp","CPN"))</f>
        <v/>
      </c>
      <c r="L638" s="19">
        <f>IF($A638="","",_xll.BDP($A638&amp;" Corp","MATURITY"))</f>
        <v/>
      </c>
      <c r="M638" s="20">
        <f>IF($A638="","",IFERROR(_xll.BDP($A638&amp;" Corp","MIN_PIECE")/1000,""))</f>
        <v/>
      </c>
      <c r="N638" s="21">
        <f>IF($A638="","",_xll.BDP($A638&amp;" Corp","PX_LAST"))</f>
        <v/>
      </c>
      <c r="O638" s="21">
        <f>IF($A638="","",_xll.BDP($A638&amp;" Corp","YAS_BOND_YLD","YAS_YLD_FLAG=15"))</f>
        <v/>
      </c>
      <c r="P638" s="21">
        <f>IF($A638="","",_xll.BDP($A638&amp;" Corp","YAS_MOD_DUR"))</f>
        <v/>
      </c>
      <c r="Q638" s="22">
        <f>IF($A638="","",_xll.BDP($A638&amp;" Corp","YAS_OAS_SPRD"))</f>
        <v/>
      </c>
      <c r="R638" s="22">
        <f>IF($A638="","",_xll.BDP($A638&amp;" Corp","YAS_OAS_SPRD","SETTLE_DT",$B$2))</f>
        <v/>
      </c>
      <c r="S638" s="23">
        <f>IF($A638="","",IF(OR(NOT(ISNUMBER($Q638)),NOT(ISNUMBER($R638))),"",$Q638-$R638))</f>
        <v/>
      </c>
      <c r="T638" s="21">
        <f>IF($A638="","",_xll.BDP($A638&amp;" Corp","YAS_BOND_YLD","YAS_YLD_FLAG=15","SETTLE_DT",$B$2))</f>
        <v/>
      </c>
      <c r="U638" s="24">
        <f>IF($A638="","",IF(OR(NOT(ISNUMBER($O638)),NOT(ISNUMBER($T638))),"",$O638-$T638))</f>
        <v/>
      </c>
      <c r="V638" s="22">
        <f>IF(NOT(ISNUMBER($S638)),"",COUNTIFS($G$7:$G$850,$G638,$S$7:$S$850,"&gt;"&amp;$S638)+COUNTIFS($G$7:$G638,$G638,$S$7:$S638,$S638))</f>
        <v/>
      </c>
      <c r="W638" s="22">
        <f>IF(NOT(ISNUMBER($S638)),"",COUNTIFS($G$7:$G$850,$G638,$S$7:$S$850,"&lt;"&amp;$S638)+COUNTIFS($G$7:$G638,$G638,$S$7:$S638,$S638))</f>
        <v/>
      </c>
      <c r="X638" s="17">
        <f>IF($V638="","",$G638&amp;"|"&amp;$V638)</f>
        <v/>
      </c>
      <c r="Y638" s="17">
        <f>IF($W638="","",$G638&amp;"|"&amp;$W638)</f>
        <v/>
      </c>
    </row>
    <row r="639">
      <c r="A639" s="7" t="inlineStr">
        <is>
          <t>XS2593105476</t>
        </is>
      </c>
      <c r="B639" s="8">
        <f>IF($A639="","",PROPER(_xll.BDP($A639&amp;" Corp","NAME")))</f>
        <v/>
      </c>
      <c r="C639" s="8">
        <f>IF($A639="","",IFERROR(INDEX(Company_desc!$B$2:$B$1144,MATCH($A639,Company_desc!$A$2:$A$1144,0)),IFERROR(INDEX(SYZ_static!$Q$2:$Q$806,MATCH($A639,SYZ_static!$A$2:$A$806,0)),"")))</f>
        <v/>
      </c>
      <c r="D639" s="8">
        <f>IF($A639="","",IFERROR(INDEX(SYZ_static!$B$2:$B$806,MATCH($A639,SYZ_static!$A$2:$A$806,0)),""))</f>
        <v/>
      </c>
      <c r="E639" s="8">
        <f>IF($A639="","",_xll.BDP($A639&amp;" Corp","INDUSTRY_SECTOR"))</f>
        <v/>
      </c>
      <c r="F639" s="8">
        <f>IF($A639="","",PROPER(_xll.BDP($A639&amp;" Corp","COUNTRY_FULL_NAME")))</f>
        <v/>
      </c>
      <c r="G639" s="8">
        <f>IF($A639="","",_xll.BDP($A639&amp;" Corp","CRNCY"))</f>
        <v/>
      </c>
      <c r="H639" s="8">
        <f>IF($A639="","",IFERROR(INDEX(SYZ_static!$T$2:$T$806,MATCH($A639,SYZ_static!$A$2:$A$806,0)),_xll.BDP($A639&amp;" Corp","RTG_SP")))</f>
        <v/>
      </c>
      <c r="I639" s="8">
        <f>IF($A639="","",IFERROR(INDEX(SYZ_static!$S$2:$S$806,MATCH($A639,SYZ_static!$A$2:$A$806,0)),""))</f>
        <v/>
      </c>
      <c r="J639" s="8">
        <f>IF($A639="","",_xll.BDP($A639&amp;" Corp","PAYMENT_RANK"))</f>
        <v/>
      </c>
      <c r="K639" s="9">
        <f>IF($A639="","",_xll.BDP($A639&amp;" Corp","CPN"))</f>
        <v/>
      </c>
      <c r="L639" s="10">
        <f>IF($A639="","",_xll.BDP($A639&amp;" Corp","MATURITY"))</f>
        <v/>
      </c>
      <c r="M639" s="11">
        <f>IF($A639="","",IFERROR(_xll.BDP($A639&amp;" Corp","MIN_PIECE")/1000,""))</f>
        <v/>
      </c>
      <c r="N639" s="12">
        <f>IF($A639="","",_xll.BDP($A639&amp;" Corp","PX_LAST"))</f>
        <v/>
      </c>
      <c r="O639" s="12">
        <f>IF($A639="","",_xll.BDP($A639&amp;" Corp","YAS_BOND_YLD","YAS_YLD_FLAG=15"))</f>
        <v/>
      </c>
      <c r="P639" s="12">
        <f>IF($A639="","",_xll.BDP($A639&amp;" Corp","YAS_MOD_DUR"))</f>
        <v/>
      </c>
      <c r="Q639" s="13">
        <f>IF($A639="","",_xll.BDP($A639&amp;" Corp","YAS_OAS_SPRD"))</f>
        <v/>
      </c>
      <c r="R639" s="13">
        <f>IF($A639="","",_xll.BDP($A639&amp;" Corp","YAS_OAS_SPRD","SETTLE_DT",$B$2))</f>
        <v/>
      </c>
      <c r="S639" s="14">
        <f>IF($A639="","",IF(OR(NOT(ISNUMBER($Q639)),NOT(ISNUMBER($R639))),"",$Q639-$R639))</f>
        <v/>
      </c>
      <c r="T639" s="12">
        <f>IF($A639="","",_xll.BDP($A639&amp;" Corp","YAS_BOND_YLD","YAS_YLD_FLAG=15","SETTLE_DT",$B$2))</f>
        <v/>
      </c>
      <c r="U639" s="15">
        <f>IF($A639="","",IF(OR(NOT(ISNUMBER($O639)),NOT(ISNUMBER($T639))),"",$O639-$T639))</f>
        <v/>
      </c>
      <c r="V639" s="13">
        <f>IF(NOT(ISNUMBER($S639)),"",COUNTIFS($G$7:$G$850,$G639,$S$7:$S$850,"&gt;"&amp;$S639)+COUNTIFS($G$7:$G639,$G639,$S$7:$S639,$S639))</f>
        <v/>
      </c>
      <c r="W639" s="13">
        <f>IF(NOT(ISNUMBER($S639)),"",COUNTIFS($G$7:$G$850,$G639,$S$7:$S$850,"&lt;"&amp;$S639)+COUNTIFS($G$7:$G639,$G639,$S$7:$S639,$S639))</f>
        <v/>
      </c>
      <c r="X639" s="8">
        <f>IF($V639="","",$G639&amp;"|"&amp;$V639)</f>
        <v/>
      </c>
      <c r="Y639" s="8">
        <f>IF($W639="","",$G639&amp;"|"&amp;$W639)</f>
        <v/>
      </c>
    </row>
    <row r="640">
      <c r="A640" s="16" t="inlineStr">
        <is>
          <t>XS1982100643</t>
        </is>
      </c>
      <c r="B640" s="17">
        <f>IF($A640="","",PROPER(_xll.BDP($A640&amp;" Corp","NAME")))</f>
        <v/>
      </c>
      <c r="C640" s="17">
        <f>IF($A640="","",IFERROR(INDEX(Company_desc!$B$2:$B$1144,MATCH($A640,Company_desc!$A$2:$A$1144,0)),IFERROR(INDEX(SYZ_static!$Q$2:$Q$806,MATCH($A640,SYZ_static!$A$2:$A$806,0)),"")))</f>
        <v/>
      </c>
      <c r="D640" s="17">
        <f>IF($A640="","",IFERROR(INDEX(SYZ_static!$B$2:$B$806,MATCH($A640,SYZ_static!$A$2:$A$806,0)),""))</f>
        <v/>
      </c>
      <c r="E640" s="17">
        <f>IF($A640="","",_xll.BDP($A640&amp;" Corp","INDUSTRY_SECTOR"))</f>
        <v/>
      </c>
      <c r="F640" s="17">
        <f>IF($A640="","",PROPER(_xll.BDP($A640&amp;" Corp","COUNTRY_FULL_NAME")))</f>
        <v/>
      </c>
      <c r="G640" s="17">
        <f>IF($A640="","",_xll.BDP($A640&amp;" Corp","CRNCY"))</f>
        <v/>
      </c>
      <c r="H640" s="17">
        <f>IF($A640="","",IFERROR(INDEX(SYZ_static!$T$2:$T$806,MATCH($A640,SYZ_static!$A$2:$A$806,0)),_xll.BDP($A640&amp;" Corp","RTG_SP")))</f>
        <v/>
      </c>
      <c r="I640" s="17">
        <f>IF($A640="","",IFERROR(INDEX(SYZ_static!$S$2:$S$806,MATCH($A640,SYZ_static!$A$2:$A$806,0)),""))</f>
        <v/>
      </c>
      <c r="J640" s="17">
        <f>IF($A640="","",_xll.BDP($A640&amp;" Corp","PAYMENT_RANK"))</f>
        <v/>
      </c>
      <c r="K640" s="18">
        <f>IF($A640="","",_xll.BDP($A640&amp;" Corp","CPN"))</f>
        <v/>
      </c>
      <c r="L640" s="19">
        <f>IF($A640="","",_xll.BDP($A640&amp;" Corp","MATURITY"))</f>
        <v/>
      </c>
      <c r="M640" s="20">
        <f>IF($A640="","",IFERROR(_xll.BDP($A640&amp;" Corp","MIN_PIECE")/1000,""))</f>
        <v/>
      </c>
      <c r="N640" s="21">
        <f>IF($A640="","",_xll.BDP($A640&amp;" Corp","PX_LAST"))</f>
        <v/>
      </c>
      <c r="O640" s="21">
        <f>IF($A640="","",_xll.BDP($A640&amp;" Corp","YAS_BOND_YLD","YAS_YLD_FLAG=15"))</f>
        <v/>
      </c>
      <c r="P640" s="21">
        <f>IF($A640="","",_xll.BDP($A640&amp;" Corp","YAS_MOD_DUR"))</f>
        <v/>
      </c>
      <c r="Q640" s="22">
        <f>IF($A640="","",_xll.BDP($A640&amp;" Corp","YAS_OAS_SPRD"))</f>
        <v/>
      </c>
      <c r="R640" s="22">
        <f>IF($A640="","",_xll.BDP($A640&amp;" Corp","YAS_OAS_SPRD","SETTLE_DT",$B$2))</f>
        <v/>
      </c>
      <c r="S640" s="23">
        <f>IF($A640="","",IF(OR(NOT(ISNUMBER($Q640)),NOT(ISNUMBER($R640))),"",$Q640-$R640))</f>
        <v/>
      </c>
      <c r="T640" s="21">
        <f>IF($A640="","",_xll.BDP($A640&amp;" Corp","YAS_BOND_YLD","YAS_YLD_FLAG=15","SETTLE_DT",$B$2))</f>
        <v/>
      </c>
      <c r="U640" s="24">
        <f>IF($A640="","",IF(OR(NOT(ISNUMBER($O640)),NOT(ISNUMBER($T640))),"",$O640-$T640))</f>
        <v/>
      </c>
      <c r="V640" s="22">
        <f>IF(NOT(ISNUMBER($S640)),"",COUNTIFS($G$7:$G$850,$G640,$S$7:$S$850,"&gt;"&amp;$S640)+COUNTIFS($G$7:$G640,$G640,$S$7:$S640,$S640))</f>
        <v/>
      </c>
      <c r="W640" s="22">
        <f>IF(NOT(ISNUMBER($S640)),"",COUNTIFS($G$7:$G$850,$G640,$S$7:$S$850,"&lt;"&amp;$S640)+COUNTIFS($G$7:$G640,$G640,$S$7:$S640,$S640))</f>
        <v/>
      </c>
      <c r="X640" s="17">
        <f>IF($V640="","",$G640&amp;"|"&amp;$V640)</f>
        <v/>
      </c>
      <c r="Y640" s="17">
        <f>IF($W640="","",$G640&amp;"|"&amp;$W640)</f>
        <v/>
      </c>
    </row>
    <row r="641">
      <c r="A641" s="7" t="inlineStr">
        <is>
          <t>XS2575555938</t>
        </is>
      </c>
      <c r="B641" s="8">
        <f>IF($A641="","",PROPER(_xll.BDP($A641&amp;" Corp","NAME")))</f>
        <v/>
      </c>
      <c r="C641" s="8">
        <f>IF($A641="","",IFERROR(INDEX(Company_desc!$B$2:$B$1144,MATCH($A641,Company_desc!$A$2:$A$1144,0)),IFERROR(INDEX(SYZ_static!$Q$2:$Q$806,MATCH($A641,SYZ_static!$A$2:$A$806,0)),"")))</f>
        <v/>
      </c>
      <c r="D641" s="8">
        <f>IF($A641="","",IFERROR(INDEX(SYZ_static!$B$2:$B$806,MATCH($A641,SYZ_static!$A$2:$A$806,0)),""))</f>
        <v/>
      </c>
      <c r="E641" s="8">
        <f>IF($A641="","",_xll.BDP($A641&amp;" Corp","INDUSTRY_SECTOR"))</f>
        <v/>
      </c>
      <c r="F641" s="8">
        <f>IF($A641="","",PROPER(_xll.BDP($A641&amp;" Corp","COUNTRY_FULL_NAME")))</f>
        <v/>
      </c>
      <c r="G641" s="8">
        <f>IF($A641="","",_xll.BDP($A641&amp;" Corp","CRNCY"))</f>
        <v/>
      </c>
      <c r="H641" s="8">
        <f>IF($A641="","",IFERROR(INDEX(SYZ_static!$T$2:$T$806,MATCH($A641,SYZ_static!$A$2:$A$806,0)),_xll.BDP($A641&amp;" Corp","RTG_SP")))</f>
        <v/>
      </c>
      <c r="I641" s="8">
        <f>IF($A641="","",IFERROR(INDEX(SYZ_static!$S$2:$S$806,MATCH($A641,SYZ_static!$A$2:$A$806,0)),""))</f>
        <v/>
      </c>
      <c r="J641" s="8">
        <f>IF($A641="","",_xll.BDP($A641&amp;" Corp","PAYMENT_RANK"))</f>
        <v/>
      </c>
      <c r="K641" s="9">
        <f>IF($A641="","",_xll.BDP($A641&amp;" Corp","CPN"))</f>
        <v/>
      </c>
      <c r="L641" s="10">
        <f>IF($A641="","",_xll.BDP($A641&amp;" Corp","MATURITY"))</f>
        <v/>
      </c>
      <c r="M641" s="11">
        <f>IF($A641="","",IFERROR(_xll.BDP($A641&amp;" Corp","MIN_PIECE")/1000,""))</f>
        <v/>
      </c>
      <c r="N641" s="12">
        <f>IF($A641="","",_xll.BDP($A641&amp;" Corp","PX_LAST"))</f>
        <v/>
      </c>
      <c r="O641" s="12">
        <f>IF($A641="","",_xll.BDP($A641&amp;" Corp","YAS_BOND_YLD","YAS_YLD_FLAG=15"))</f>
        <v/>
      </c>
      <c r="P641" s="12">
        <f>IF($A641="","",_xll.BDP($A641&amp;" Corp","YAS_MOD_DUR"))</f>
        <v/>
      </c>
      <c r="Q641" s="13">
        <f>IF($A641="","",_xll.BDP($A641&amp;" Corp","YAS_OAS_SPRD"))</f>
        <v/>
      </c>
      <c r="R641" s="13">
        <f>IF($A641="","",_xll.BDP($A641&amp;" Corp","YAS_OAS_SPRD","SETTLE_DT",$B$2))</f>
        <v/>
      </c>
      <c r="S641" s="14">
        <f>IF($A641="","",IF(OR(NOT(ISNUMBER($Q641)),NOT(ISNUMBER($R641))),"",$Q641-$R641))</f>
        <v/>
      </c>
      <c r="T641" s="12">
        <f>IF($A641="","",_xll.BDP($A641&amp;" Corp","YAS_BOND_YLD","YAS_YLD_FLAG=15","SETTLE_DT",$B$2))</f>
        <v/>
      </c>
      <c r="U641" s="15">
        <f>IF($A641="","",IF(OR(NOT(ISNUMBER($O641)),NOT(ISNUMBER($T641))),"",$O641-$T641))</f>
        <v/>
      </c>
      <c r="V641" s="13">
        <f>IF(NOT(ISNUMBER($S641)),"",COUNTIFS($G$7:$G$850,$G641,$S$7:$S$850,"&gt;"&amp;$S641)+COUNTIFS($G$7:$G641,$G641,$S$7:$S641,$S641))</f>
        <v/>
      </c>
      <c r="W641" s="13">
        <f>IF(NOT(ISNUMBER($S641)),"",COUNTIFS($G$7:$G$850,$G641,$S$7:$S$850,"&lt;"&amp;$S641)+COUNTIFS($G$7:$G641,$G641,$S$7:$S641,$S641))</f>
        <v/>
      </c>
      <c r="X641" s="8">
        <f>IF($V641="","",$G641&amp;"|"&amp;$V641)</f>
        <v/>
      </c>
      <c r="Y641" s="8">
        <f>IF($W641="","",$G641&amp;"|"&amp;$W641)</f>
        <v/>
      </c>
    </row>
    <row r="642">
      <c r="A642" s="16" t="inlineStr">
        <is>
          <t>US78016FZW75</t>
        </is>
      </c>
      <c r="B642" s="17">
        <f>IF($A642="","",PROPER(_xll.BDP($A642&amp;" Corp","NAME")))</f>
        <v/>
      </c>
      <c r="C642" s="17">
        <f>IF($A642="","",IFERROR(INDEX(Company_desc!$B$2:$B$1144,MATCH($A642,Company_desc!$A$2:$A$1144,0)),IFERROR(INDEX(SYZ_static!$Q$2:$Q$806,MATCH($A642,SYZ_static!$A$2:$A$806,0)),"")))</f>
        <v/>
      </c>
      <c r="D642" s="17">
        <f>IF($A642="","",IFERROR(INDEX(SYZ_static!$B$2:$B$806,MATCH($A642,SYZ_static!$A$2:$A$806,0)),""))</f>
        <v/>
      </c>
      <c r="E642" s="17">
        <f>IF($A642="","",_xll.BDP($A642&amp;" Corp","INDUSTRY_SECTOR"))</f>
        <v/>
      </c>
      <c r="F642" s="17">
        <f>IF($A642="","",PROPER(_xll.BDP($A642&amp;" Corp","COUNTRY_FULL_NAME")))</f>
        <v/>
      </c>
      <c r="G642" s="17">
        <f>IF($A642="","",_xll.BDP($A642&amp;" Corp","CRNCY"))</f>
        <v/>
      </c>
      <c r="H642" s="17">
        <f>IF($A642="","",IFERROR(INDEX(SYZ_static!$T$2:$T$806,MATCH($A642,SYZ_static!$A$2:$A$806,0)),_xll.BDP($A642&amp;" Corp","RTG_SP")))</f>
        <v/>
      </c>
      <c r="I642" s="17">
        <f>IF($A642="","",IFERROR(INDEX(SYZ_static!$S$2:$S$806,MATCH($A642,SYZ_static!$A$2:$A$806,0)),""))</f>
        <v/>
      </c>
      <c r="J642" s="17">
        <f>IF($A642="","",_xll.BDP($A642&amp;" Corp","PAYMENT_RANK"))</f>
        <v/>
      </c>
      <c r="K642" s="18">
        <f>IF($A642="","",_xll.BDP($A642&amp;" Corp","CPN"))</f>
        <v/>
      </c>
      <c r="L642" s="19">
        <f>IF($A642="","",_xll.BDP($A642&amp;" Corp","MATURITY"))</f>
        <v/>
      </c>
      <c r="M642" s="20">
        <f>IF($A642="","",IFERROR(_xll.BDP($A642&amp;" Corp","MIN_PIECE")/1000,""))</f>
        <v/>
      </c>
      <c r="N642" s="21">
        <f>IF($A642="","",_xll.BDP($A642&amp;" Corp","PX_LAST"))</f>
        <v/>
      </c>
      <c r="O642" s="21">
        <f>IF($A642="","",_xll.BDP($A642&amp;" Corp","YAS_BOND_YLD","YAS_YLD_FLAG=15"))</f>
        <v/>
      </c>
      <c r="P642" s="21">
        <f>IF($A642="","",_xll.BDP($A642&amp;" Corp","YAS_MOD_DUR"))</f>
        <v/>
      </c>
      <c r="Q642" s="22">
        <f>IF($A642="","",_xll.BDP($A642&amp;" Corp","YAS_OAS_SPRD"))</f>
        <v/>
      </c>
      <c r="R642" s="22">
        <f>IF($A642="","",_xll.BDP($A642&amp;" Corp","YAS_OAS_SPRD","SETTLE_DT",$B$2))</f>
        <v/>
      </c>
      <c r="S642" s="23">
        <f>IF($A642="","",IF(OR(NOT(ISNUMBER($Q642)),NOT(ISNUMBER($R642))),"",$Q642-$R642))</f>
        <v/>
      </c>
      <c r="T642" s="21">
        <f>IF($A642="","",_xll.BDP($A642&amp;" Corp","YAS_BOND_YLD","YAS_YLD_FLAG=15","SETTLE_DT",$B$2))</f>
        <v/>
      </c>
      <c r="U642" s="24">
        <f>IF($A642="","",IF(OR(NOT(ISNUMBER($O642)),NOT(ISNUMBER($T642))),"",$O642-$T642))</f>
        <v/>
      </c>
      <c r="V642" s="22">
        <f>IF(NOT(ISNUMBER($S642)),"",COUNTIFS($G$7:$G$850,$G642,$S$7:$S$850,"&gt;"&amp;$S642)+COUNTIFS($G$7:$G642,$G642,$S$7:$S642,$S642))</f>
        <v/>
      </c>
      <c r="W642" s="22">
        <f>IF(NOT(ISNUMBER($S642)),"",COUNTIFS($G$7:$G$850,$G642,$S$7:$S$850,"&lt;"&amp;$S642)+COUNTIFS($G$7:$G642,$G642,$S$7:$S642,$S642))</f>
        <v/>
      </c>
      <c r="X642" s="17">
        <f>IF($V642="","",$G642&amp;"|"&amp;$V642)</f>
        <v/>
      </c>
      <c r="Y642" s="17">
        <f>IF($W642="","",$G642&amp;"|"&amp;$W642)</f>
        <v/>
      </c>
    </row>
    <row r="643">
      <c r="A643" s="7" t="inlineStr">
        <is>
          <t>US30217G2C30</t>
        </is>
      </c>
      <c r="B643" s="8">
        <f>IF($A643="","",PROPER(_xll.BDP($A643&amp;" Corp","NAME")))</f>
        <v/>
      </c>
      <c r="C643" s="8">
        <f>IF($A643="","",IFERROR(INDEX(Company_desc!$B$2:$B$1144,MATCH($A643,Company_desc!$A$2:$A$1144,0)),IFERROR(INDEX(SYZ_static!$Q$2:$Q$806,MATCH($A643,SYZ_static!$A$2:$A$806,0)),"")))</f>
        <v/>
      </c>
      <c r="D643" s="8">
        <f>IF($A643="","",IFERROR(INDEX(SYZ_static!$B$2:$B$806,MATCH($A643,SYZ_static!$A$2:$A$806,0)),""))</f>
        <v/>
      </c>
      <c r="E643" s="8">
        <f>IF($A643="","",_xll.BDP($A643&amp;" Corp","INDUSTRY_SECTOR"))</f>
        <v/>
      </c>
      <c r="F643" s="8">
        <f>IF($A643="","",PROPER(_xll.BDP($A643&amp;" Corp","COUNTRY_FULL_NAME")))</f>
        <v/>
      </c>
      <c r="G643" s="8">
        <f>IF($A643="","",_xll.BDP($A643&amp;" Corp","CRNCY"))</f>
        <v/>
      </c>
      <c r="H643" s="8">
        <f>IF($A643="","",IFERROR(INDEX(SYZ_static!$T$2:$T$806,MATCH($A643,SYZ_static!$A$2:$A$806,0)),_xll.BDP($A643&amp;" Corp","RTG_SP")))</f>
        <v/>
      </c>
      <c r="I643" s="8">
        <f>IF($A643="","",IFERROR(INDEX(SYZ_static!$S$2:$S$806,MATCH($A643,SYZ_static!$A$2:$A$806,0)),""))</f>
        <v/>
      </c>
      <c r="J643" s="8">
        <f>IF($A643="","",_xll.BDP($A643&amp;" Corp","PAYMENT_RANK"))</f>
        <v/>
      </c>
      <c r="K643" s="9">
        <f>IF($A643="","",_xll.BDP($A643&amp;" Corp","CPN"))</f>
        <v/>
      </c>
      <c r="L643" s="10">
        <f>IF($A643="","",_xll.BDP($A643&amp;" Corp","MATURITY"))</f>
        <v/>
      </c>
      <c r="M643" s="11">
        <f>IF($A643="","",IFERROR(_xll.BDP($A643&amp;" Corp","MIN_PIECE")/1000,""))</f>
        <v/>
      </c>
      <c r="N643" s="12">
        <f>IF($A643="","",_xll.BDP($A643&amp;" Corp","PX_LAST"))</f>
        <v/>
      </c>
      <c r="O643" s="12">
        <f>IF($A643="","",_xll.BDP($A643&amp;" Corp","YAS_BOND_YLD","YAS_YLD_FLAG=15"))</f>
        <v/>
      </c>
      <c r="P643" s="12">
        <f>IF($A643="","",_xll.BDP($A643&amp;" Corp","YAS_MOD_DUR"))</f>
        <v/>
      </c>
      <c r="Q643" s="13">
        <f>IF($A643="","",_xll.BDP($A643&amp;" Corp","YAS_OAS_SPRD"))</f>
        <v/>
      </c>
      <c r="R643" s="13">
        <f>IF($A643="","",_xll.BDP($A643&amp;" Corp","YAS_OAS_SPRD","SETTLE_DT",$B$2))</f>
        <v/>
      </c>
      <c r="S643" s="14">
        <f>IF($A643="","",IF(OR(NOT(ISNUMBER($Q643)),NOT(ISNUMBER($R643))),"",$Q643-$R643))</f>
        <v/>
      </c>
      <c r="T643" s="12">
        <f>IF($A643="","",_xll.BDP($A643&amp;" Corp","YAS_BOND_YLD","YAS_YLD_FLAG=15","SETTLE_DT",$B$2))</f>
        <v/>
      </c>
      <c r="U643" s="15">
        <f>IF($A643="","",IF(OR(NOT(ISNUMBER($O643)),NOT(ISNUMBER($T643))),"",$O643-$T643))</f>
        <v/>
      </c>
      <c r="V643" s="13">
        <f>IF(NOT(ISNUMBER($S643)),"",COUNTIFS($G$7:$G$850,$G643,$S$7:$S$850,"&gt;"&amp;$S643)+COUNTIFS($G$7:$G643,$G643,$S$7:$S643,$S643))</f>
        <v/>
      </c>
      <c r="W643" s="13">
        <f>IF(NOT(ISNUMBER($S643)),"",COUNTIFS($G$7:$G$850,$G643,$S$7:$S$850,"&lt;"&amp;$S643)+COUNTIFS($G$7:$G643,$G643,$S$7:$S643,$S643))</f>
        <v/>
      </c>
      <c r="X643" s="8">
        <f>IF($V643="","",$G643&amp;"|"&amp;$V643)</f>
        <v/>
      </c>
      <c r="Y643" s="8">
        <f>IF($W643="","",$G643&amp;"|"&amp;$W643)</f>
        <v/>
      </c>
    </row>
    <row r="644">
      <c r="A644" s="16" t="inlineStr">
        <is>
          <t>XS1964617879</t>
        </is>
      </c>
      <c r="B644" s="17">
        <f>IF($A644="","",PROPER(_xll.BDP($A644&amp;" Corp","NAME")))</f>
        <v/>
      </c>
      <c r="C644" s="17">
        <f>IF($A644="","",IFERROR(INDEX(Company_desc!$B$2:$B$1144,MATCH($A644,Company_desc!$A$2:$A$1144,0)),IFERROR(INDEX(SYZ_static!$Q$2:$Q$806,MATCH($A644,SYZ_static!$A$2:$A$806,0)),"")))</f>
        <v/>
      </c>
      <c r="D644" s="17">
        <f>IF($A644="","",IFERROR(INDEX(SYZ_static!$B$2:$B$806,MATCH($A644,SYZ_static!$A$2:$A$806,0)),""))</f>
        <v/>
      </c>
      <c r="E644" s="17">
        <f>IF($A644="","",_xll.BDP($A644&amp;" Corp","INDUSTRY_SECTOR"))</f>
        <v/>
      </c>
      <c r="F644" s="17">
        <f>IF($A644="","",PROPER(_xll.BDP($A644&amp;" Corp","COUNTRY_FULL_NAME")))</f>
        <v/>
      </c>
      <c r="G644" s="17">
        <f>IF($A644="","",_xll.BDP($A644&amp;" Corp","CRNCY"))</f>
        <v/>
      </c>
      <c r="H644" s="17">
        <f>IF($A644="","",IFERROR(INDEX(SYZ_static!$T$2:$T$806,MATCH($A644,SYZ_static!$A$2:$A$806,0)),_xll.BDP($A644&amp;" Corp","RTG_SP")))</f>
        <v/>
      </c>
      <c r="I644" s="17">
        <f>IF($A644="","",IFERROR(INDEX(SYZ_static!$S$2:$S$806,MATCH($A644,SYZ_static!$A$2:$A$806,0)),""))</f>
        <v/>
      </c>
      <c r="J644" s="17">
        <f>IF($A644="","",_xll.BDP($A644&amp;" Corp","PAYMENT_RANK"))</f>
        <v/>
      </c>
      <c r="K644" s="18">
        <f>IF($A644="","",_xll.BDP($A644&amp;" Corp","CPN"))</f>
        <v/>
      </c>
      <c r="L644" s="19">
        <f>IF($A644="","",_xll.BDP($A644&amp;" Corp","MATURITY"))</f>
        <v/>
      </c>
      <c r="M644" s="20">
        <f>IF($A644="","",IFERROR(_xll.BDP($A644&amp;" Corp","MIN_PIECE")/1000,""))</f>
        <v/>
      </c>
      <c r="N644" s="21">
        <f>IF($A644="","",_xll.BDP($A644&amp;" Corp","PX_LAST"))</f>
        <v/>
      </c>
      <c r="O644" s="21">
        <f>IF($A644="","",_xll.BDP($A644&amp;" Corp","YAS_BOND_YLD","YAS_YLD_FLAG=15"))</f>
        <v/>
      </c>
      <c r="P644" s="21">
        <f>IF($A644="","",_xll.BDP($A644&amp;" Corp","YAS_MOD_DUR"))</f>
        <v/>
      </c>
      <c r="Q644" s="22">
        <f>IF($A644="","",_xll.BDP($A644&amp;" Corp","YAS_OAS_SPRD"))</f>
        <v/>
      </c>
      <c r="R644" s="22">
        <f>IF($A644="","",_xll.BDP($A644&amp;" Corp","YAS_OAS_SPRD","SETTLE_DT",$B$2))</f>
        <v/>
      </c>
      <c r="S644" s="23">
        <f>IF($A644="","",IF(OR(NOT(ISNUMBER($Q644)),NOT(ISNUMBER($R644))),"",$Q644-$R644))</f>
        <v/>
      </c>
      <c r="T644" s="21">
        <f>IF($A644="","",_xll.BDP($A644&amp;" Corp","YAS_BOND_YLD","YAS_YLD_FLAG=15","SETTLE_DT",$B$2))</f>
        <v/>
      </c>
      <c r="U644" s="24">
        <f>IF($A644="","",IF(OR(NOT(ISNUMBER($O644)),NOT(ISNUMBER($T644))),"",$O644-$T644))</f>
        <v/>
      </c>
      <c r="V644" s="22">
        <f>IF(NOT(ISNUMBER($S644)),"",COUNTIFS($G$7:$G$850,$G644,$S$7:$S$850,"&gt;"&amp;$S644)+COUNTIFS($G$7:$G644,$G644,$S$7:$S644,$S644))</f>
        <v/>
      </c>
      <c r="W644" s="22">
        <f>IF(NOT(ISNUMBER($S644)),"",COUNTIFS($G$7:$G$850,$G644,$S$7:$S$850,"&lt;"&amp;$S644)+COUNTIFS($G$7:$G644,$G644,$S$7:$S644,$S644))</f>
        <v/>
      </c>
      <c r="X644" s="17">
        <f>IF($V644="","",$G644&amp;"|"&amp;$V644)</f>
        <v/>
      </c>
      <c r="Y644" s="17">
        <f>IF($W644="","",$G644&amp;"|"&amp;$W644)</f>
        <v/>
      </c>
    </row>
    <row r="645">
      <c r="A645" s="7" t="inlineStr">
        <is>
          <t>XS2591848275</t>
        </is>
      </c>
      <c r="B645" s="8">
        <f>IF($A645="","",PROPER(_xll.BDP($A645&amp;" Corp","NAME")))</f>
        <v/>
      </c>
      <c r="C645" s="8">
        <f>IF($A645="","",IFERROR(INDEX(Company_desc!$B$2:$B$1144,MATCH($A645,Company_desc!$A$2:$A$1144,0)),IFERROR(INDEX(SYZ_static!$Q$2:$Q$806,MATCH($A645,SYZ_static!$A$2:$A$806,0)),"")))</f>
        <v/>
      </c>
      <c r="D645" s="8">
        <f>IF($A645="","",IFERROR(INDEX(SYZ_static!$B$2:$B$806,MATCH($A645,SYZ_static!$A$2:$A$806,0)),""))</f>
        <v/>
      </c>
      <c r="E645" s="8">
        <f>IF($A645="","",_xll.BDP($A645&amp;" Corp","INDUSTRY_SECTOR"))</f>
        <v/>
      </c>
      <c r="F645" s="8">
        <f>IF($A645="","",PROPER(_xll.BDP($A645&amp;" Corp","COUNTRY_FULL_NAME")))</f>
        <v/>
      </c>
      <c r="G645" s="8">
        <f>IF($A645="","",_xll.BDP($A645&amp;" Corp","CRNCY"))</f>
        <v/>
      </c>
      <c r="H645" s="8">
        <f>IF($A645="","",IFERROR(INDEX(SYZ_static!$T$2:$T$806,MATCH($A645,SYZ_static!$A$2:$A$806,0)),_xll.BDP($A645&amp;" Corp","RTG_SP")))</f>
        <v/>
      </c>
      <c r="I645" s="8">
        <f>IF($A645="","",IFERROR(INDEX(SYZ_static!$S$2:$S$806,MATCH($A645,SYZ_static!$A$2:$A$806,0)),""))</f>
        <v/>
      </c>
      <c r="J645" s="8">
        <f>IF($A645="","",_xll.BDP($A645&amp;" Corp","PAYMENT_RANK"))</f>
        <v/>
      </c>
      <c r="K645" s="9">
        <f>IF($A645="","",_xll.BDP($A645&amp;" Corp","CPN"))</f>
        <v/>
      </c>
      <c r="L645" s="10">
        <f>IF($A645="","",_xll.BDP($A645&amp;" Corp","MATURITY"))</f>
        <v/>
      </c>
      <c r="M645" s="11">
        <f>IF($A645="","",IFERROR(_xll.BDP($A645&amp;" Corp","MIN_PIECE")/1000,""))</f>
        <v/>
      </c>
      <c r="N645" s="12">
        <f>IF($A645="","",_xll.BDP($A645&amp;" Corp","PX_LAST"))</f>
        <v/>
      </c>
      <c r="O645" s="12">
        <f>IF($A645="","",_xll.BDP($A645&amp;" Corp","YAS_BOND_YLD","YAS_YLD_FLAG=15"))</f>
        <v/>
      </c>
      <c r="P645" s="12">
        <f>IF($A645="","",_xll.BDP($A645&amp;" Corp","YAS_MOD_DUR"))</f>
        <v/>
      </c>
      <c r="Q645" s="13">
        <f>IF($A645="","",_xll.BDP($A645&amp;" Corp","YAS_OAS_SPRD"))</f>
        <v/>
      </c>
      <c r="R645" s="13">
        <f>IF($A645="","",_xll.BDP($A645&amp;" Corp","YAS_OAS_SPRD","SETTLE_DT",$B$2))</f>
        <v/>
      </c>
      <c r="S645" s="14">
        <f>IF($A645="","",IF(OR(NOT(ISNUMBER($Q645)),NOT(ISNUMBER($R645))),"",$Q645-$R645))</f>
        <v/>
      </c>
      <c r="T645" s="12">
        <f>IF($A645="","",_xll.BDP($A645&amp;" Corp","YAS_BOND_YLD","YAS_YLD_FLAG=15","SETTLE_DT",$B$2))</f>
        <v/>
      </c>
      <c r="U645" s="15">
        <f>IF($A645="","",IF(OR(NOT(ISNUMBER($O645)),NOT(ISNUMBER($T645))),"",$O645-$T645))</f>
        <v/>
      </c>
      <c r="V645" s="13">
        <f>IF(NOT(ISNUMBER($S645)),"",COUNTIFS($G$7:$G$850,$G645,$S$7:$S$850,"&gt;"&amp;$S645)+COUNTIFS($G$7:$G645,$G645,$S$7:$S645,$S645))</f>
        <v/>
      </c>
      <c r="W645" s="13">
        <f>IF(NOT(ISNUMBER($S645)),"",COUNTIFS($G$7:$G$850,$G645,$S$7:$S$850,"&lt;"&amp;$S645)+COUNTIFS($G$7:$G645,$G645,$S$7:$S645,$S645))</f>
        <v/>
      </c>
      <c r="X645" s="8">
        <f>IF($V645="","",$G645&amp;"|"&amp;$V645)</f>
        <v/>
      </c>
      <c r="Y645" s="8">
        <f>IF($W645="","",$G645&amp;"|"&amp;$W645)</f>
        <v/>
      </c>
    </row>
    <row r="646">
      <c r="A646" s="16" t="inlineStr">
        <is>
          <t>US459200KX88</t>
        </is>
      </c>
      <c r="B646" s="17">
        <f>IF($A646="","",PROPER(_xll.BDP($A646&amp;" Corp","NAME")))</f>
        <v/>
      </c>
      <c r="C646" s="17">
        <f>IF($A646="","",IFERROR(INDEX(Company_desc!$B$2:$B$1144,MATCH($A646,Company_desc!$A$2:$A$1144,0)),IFERROR(INDEX(SYZ_static!$Q$2:$Q$806,MATCH($A646,SYZ_static!$A$2:$A$806,0)),"")))</f>
        <v/>
      </c>
      <c r="D646" s="17">
        <f>IF($A646="","",IFERROR(INDEX(SYZ_static!$B$2:$B$806,MATCH($A646,SYZ_static!$A$2:$A$806,0)),""))</f>
        <v/>
      </c>
      <c r="E646" s="17">
        <f>IF($A646="","",_xll.BDP($A646&amp;" Corp","INDUSTRY_SECTOR"))</f>
        <v/>
      </c>
      <c r="F646" s="17">
        <f>IF($A646="","",PROPER(_xll.BDP($A646&amp;" Corp","COUNTRY_FULL_NAME")))</f>
        <v/>
      </c>
      <c r="G646" s="17">
        <f>IF($A646="","",_xll.BDP($A646&amp;" Corp","CRNCY"))</f>
        <v/>
      </c>
      <c r="H646" s="17">
        <f>IF($A646="","",IFERROR(INDEX(SYZ_static!$T$2:$T$806,MATCH($A646,SYZ_static!$A$2:$A$806,0)),_xll.BDP($A646&amp;" Corp","RTG_SP")))</f>
        <v/>
      </c>
      <c r="I646" s="17">
        <f>IF($A646="","",IFERROR(INDEX(SYZ_static!$S$2:$S$806,MATCH($A646,SYZ_static!$A$2:$A$806,0)),""))</f>
        <v/>
      </c>
      <c r="J646" s="17">
        <f>IF($A646="","",_xll.BDP($A646&amp;" Corp","PAYMENT_RANK"))</f>
        <v/>
      </c>
      <c r="K646" s="18">
        <f>IF($A646="","",_xll.BDP($A646&amp;" Corp","CPN"))</f>
        <v/>
      </c>
      <c r="L646" s="19">
        <f>IF($A646="","",_xll.BDP($A646&amp;" Corp","MATURITY"))</f>
        <v/>
      </c>
      <c r="M646" s="20">
        <f>IF($A646="","",IFERROR(_xll.BDP($A646&amp;" Corp","MIN_PIECE")/1000,""))</f>
        <v/>
      </c>
      <c r="N646" s="21">
        <f>IF($A646="","",_xll.BDP($A646&amp;" Corp","PX_LAST"))</f>
        <v/>
      </c>
      <c r="O646" s="21">
        <f>IF($A646="","",_xll.BDP($A646&amp;" Corp","YAS_BOND_YLD","YAS_YLD_FLAG=15"))</f>
        <v/>
      </c>
      <c r="P646" s="21">
        <f>IF($A646="","",_xll.BDP($A646&amp;" Corp","YAS_MOD_DUR"))</f>
        <v/>
      </c>
      <c r="Q646" s="22">
        <f>IF($A646="","",_xll.BDP($A646&amp;" Corp","YAS_OAS_SPRD"))</f>
        <v/>
      </c>
      <c r="R646" s="22">
        <f>IF($A646="","",_xll.BDP($A646&amp;" Corp","YAS_OAS_SPRD","SETTLE_DT",$B$2))</f>
        <v/>
      </c>
      <c r="S646" s="23">
        <f>IF($A646="","",IF(OR(NOT(ISNUMBER($Q646)),NOT(ISNUMBER($R646))),"",$Q646-$R646))</f>
        <v/>
      </c>
      <c r="T646" s="21">
        <f>IF($A646="","",_xll.BDP($A646&amp;" Corp","YAS_BOND_YLD","YAS_YLD_FLAG=15","SETTLE_DT",$B$2))</f>
        <v/>
      </c>
      <c r="U646" s="24">
        <f>IF($A646="","",IF(OR(NOT(ISNUMBER($O646)),NOT(ISNUMBER($T646))),"",$O646-$T646))</f>
        <v/>
      </c>
      <c r="V646" s="22">
        <f>IF(NOT(ISNUMBER($S646)),"",COUNTIFS($G$7:$G$850,$G646,$S$7:$S$850,"&gt;"&amp;$S646)+COUNTIFS($G$7:$G646,$G646,$S$7:$S646,$S646))</f>
        <v/>
      </c>
      <c r="W646" s="22">
        <f>IF(NOT(ISNUMBER($S646)),"",COUNTIFS($G$7:$G$850,$G646,$S$7:$S$850,"&lt;"&amp;$S646)+COUNTIFS($G$7:$G646,$G646,$S$7:$S646,$S646))</f>
        <v/>
      </c>
      <c r="X646" s="17">
        <f>IF($V646="","",$G646&amp;"|"&amp;$V646)</f>
        <v/>
      </c>
      <c r="Y646" s="17">
        <f>IF($W646="","",$G646&amp;"|"&amp;$W646)</f>
        <v/>
      </c>
    </row>
    <row r="647">
      <c r="A647" s="7" t="inlineStr">
        <is>
          <t>USH42097DS35</t>
        </is>
      </c>
      <c r="B647" s="8">
        <f>IF($A647="","",PROPER(_xll.BDP($A647&amp;" Corp","NAME")))</f>
        <v/>
      </c>
      <c r="C647" s="8">
        <f>IF($A647="","",IFERROR(INDEX(Company_desc!$B$2:$B$1144,MATCH($A647,Company_desc!$A$2:$A$1144,0)),IFERROR(INDEX(SYZ_static!$Q$2:$Q$806,MATCH($A647,SYZ_static!$A$2:$A$806,0)),"")))</f>
        <v/>
      </c>
      <c r="D647" s="8">
        <f>IF($A647="","",IFERROR(INDEX(SYZ_static!$B$2:$B$806,MATCH($A647,SYZ_static!$A$2:$A$806,0)),""))</f>
        <v/>
      </c>
      <c r="E647" s="8">
        <f>IF($A647="","",_xll.BDP($A647&amp;" Corp","INDUSTRY_SECTOR"))</f>
        <v/>
      </c>
      <c r="F647" s="8">
        <f>IF($A647="","",PROPER(_xll.BDP($A647&amp;" Corp","COUNTRY_FULL_NAME")))</f>
        <v/>
      </c>
      <c r="G647" s="8">
        <f>IF($A647="","",_xll.BDP($A647&amp;" Corp","CRNCY"))</f>
        <v/>
      </c>
      <c r="H647" s="8">
        <f>IF($A647="","",IFERROR(INDEX(SYZ_static!$T$2:$T$806,MATCH($A647,SYZ_static!$A$2:$A$806,0)),_xll.BDP($A647&amp;" Corp","RTG_SP")))</f>
        <v/>
      </c>
      <c r="I647" s="8">
        <f>IF($A647="","",IFERROR(INDEX(SYZ_static!$S$2:$S$806,MATCH($A647,SYZ_static!$A$2:$A$806,0)),""))</f>
        <v/>
      </c>
      <c r="J647" s="8">
        <f>IF($A647="","",_xll.BDP($A647&amp;" Corp","PAYMENT_RANK"))</f>
        <v/>
      </c>
      <c r="K647" s="9">
        <f>IF($A647="","",_xll.BDP($A647&amp;" Corp","CPN"))</f>
        <v/>
      </c>
      <c r="L647" s="10">
        <f>IF($A647="","",_xll.BDP($A647&amp;" Corp","MATURITY"))</f>
        <v/>
      </c>
      <c r="M647" s="11">
        <f>IF($A647="","",IFERROR(_xll.BDP($A647&amp;" Corp","MIN_PIECE")/1000,""))</f>
        <v/>
      </c>
      <c r="N647" s="12">
        <f>IF($A647="","",_xll.BDP($A647&amp;" Corp","PX_LAST"))</f>
        <v/>
      </c>
      <c r="O647" s="12">
        <f>IF($A647="","",_xll.BDP($A647&amp;" Corp","YAS_BOND_YLD","YAS_YLD_FLAG=15"))</f>
        <v/>
      </c>
      <c r="P647" s="12">
        <f>IF($A647="","",_xll.BDP($A647&amp;" Corp","YAS_MOD_DUR"))</f>
        <v/>
      </c>
      <c r="Q647" s="13">
        <f>IF($A647="","",_xll.BDP($A647&amp;" Corp","YAS_OAS_SPRD"))</f>
        <v/>
      </c>
      <c r="R647" s="13">
        <f>IF($A647="","",_xll.BDP($A647&amp;" Corp","YAS_OAS_SPRD","SETTLE_DT",$B$2))</f>
        <v/>
      </c>
      <c r="S647" s="14">
        <f>IF($A647="","",IF(OR(NOT(ISNUMBER($Q647)),NOT(ISNUMBER($R647))),"",$Q647-$R647))</f>
        <v/>
      </c>
      <c r="T647" s="12">
        <f>IF($A647="","",_xll.BDP($A647&amp;" Corp","YAS_BOND_YLD","YAS_YLD_FLAG=15","SETTLE_DT",$B$2))</f>
        <v/>
      </c>
      <c r="U647" s="15">
        <f>IF($A647="","",IF(OR(NOT(ISNUMBER($O647)),NOT(ISNUMBER($T647))),"",$O647-$T647))</f>
        <v/>
      </c>
      <c r="V647" s="13">
        <f>IF(NOT(ISNUMBER($S647)),"",COUNTIFS($G$7:$G$850,$G647,$S$7:$S$850,"&gt;"&amp;$S647)+COUNTIFS($G$7:$G647,$G647,$S$7:$S647,$S647))</f>
        <v/>
      </c>
      <c r="W647" s="13">
        <f>IF(NOT(ISNUMBER($S647)),"",COUNTIFS($G$7:$G$850,$G647,$S$7:$S$850,"&lt;"&amp;$S647)+COUNTIFS($G$7:$G647,$G647,$S$7:$S647,$S647))</f>
        <v/>
      </c>
      <c r="X647" s="8">
        <f>IF($V647="","",$G647&amp;"|"&amp;$V647)</f>
        <v/>
      </c>
      <c r="Y647" s="8">
        <f>IF($W647="","",$G647&amp;"|"&amp;$W647)</f>
        <v/>
      </c>
    </row>
    <row r="648">
      <c r="A648" s="16" t="inlineStr">
        <is>
          <t>XS2573807778</t>
        </is>
      </c>
      <c r="B648" s="17">
        <f>IF($A648="","",PROPER(_xll.BDP($A648&amp;" Corp","NAME")))</f>
        <v/>
      </c>
      <c r="C648" s="17">
        <f>IF($A648="","",IFERROR(INDEX(Company_desc!$B$2:$B$1144,MATCH($A648,Company_desc!$A$2:$A$1144,0)),IFERROR(INDEX(SYZ_static!$Q$2:$Q$806,MATCH($A648,SYZ_static!$A$2:$A$806,0)),"")))</f>
        <v/>
      </c>
      <c r="D648" s="17">
        <f>IF($A648="","",IFERROR(INDEX(SYZ_static!$B$2:$B$806,MATCH($A648,SYZ_static!$A$2:$A$806,0)),""))</f>
        <v/>
      </c>
      <c r="E648" s="17">
        <f>IF($A648="","",_xll.BDP($A648&amp;" Corp","INDUSTRY_SECTOR"))</f>
        <v/>
      </c>
      <c r="F648" s="17">
        <f>IF($A648="","",PROPER(_xll.BDP($A648&amp;" Corp","COUNTRY_FULL_NAME")))</f>
        <v/>
      </c>
      <c r="G648" s="17">
        <f>IF($A648="","",_xll.BDP($A648&amp;" Corp","CRNCY"))</f>
        <v/>
      </c>
      <c r="H648" s="17">
        <f>IF($A648="","",IFERROR(INDEX(SYZ_static!$T$2:$T$806,MATCH($A648,SYZ_static!$A$2:$A$806,0)),_xll.BDP($A648&amp;" Corp","RTG_SP")))</f>
        <v/>
      </c>
      <c r="I648" s="17">
        <f>IF($A648="","",IFERROR(INDEX(SYZ_static!$S$2:$S$806,MATCH($A648,SYZ_static!$A$2:$A$806,0)),""))</f>
        <v/>
      </c>
      <c r="J648" s="17">
        <f>IF($A648="","",_xll.BDP($A648&amp;" Corp","PAYMENT_RANK"))</f>
        <v/>
      </c>
      <c r="K648" s="18">
        <f>IF($A648="","",_xll.BDP($A648&amp;" Corp","CPN"))</f>
        <v/>
      </c>
      <c r="L648" s="19">
        <f>IF($A648="","",_xll.BDP($A648&amp;" Corp","MATURITY"))</f>
        <v/>
      </c>
      <c r="M648" s="20">
        <f>IF($A648="","",IFERROR(_xll.BDP($A648&amp;" Corp","MIN_PIECE")/1000,""))</f>
        <v/>
      </c>
      <c r="N648" s="21">
        <f>IF($A648="","",_xll.BDP($A648&amp;" Corp","PX_LAST"))</f>
        <v/>
      </c>
      <c r="O648" s="21">
        <f>IF($A648="","",_xll.BDP($A648&amp;" Corp","YAS_BOND_YLD","YAS_YLD_FLAG=15"))</f>
        <v/>
      </c>
      <c r="P648" s="21">
        <f>IF($A648="","",_xll.BDP($A648&amp;" Corp","YAS_MOD_DUR"))</f>
        <v/>
      </c>
      <c r="Q648" s="22">
        <f>IF($A648="","",_xll.BDP($A648&amp;" Corp","YAS_OAS_SPRD"))</f>
        <v/>
      </c>
      <c r="R648" s="22">
        <f>IF($A648="","",_xll.BDP($A648&amp;" Corp","YAS_OAS_SPRD","SETTLE_DT",$B$2))</f>
        <v/>
      </c>
      <c r="S648" s="23">
        <f>IF($A648="","",IF(OR(NOT(ISNUMBER($Q648)),NOT(ISNUMBER($R648))),"",$Q648-$R648))</f>
        <v/>
      </c>
      <c r="T648" s="21">
        <f>IF($A648="","",_xll.BDP($A648&amp;" Corp","YAS_BOND_YLD","YAS_YLD_FLAG=15","SETTLE_DT",$B$2))</f>
        <v/>
      </c>
      <c r="U648" s="24">
        <f>IF($A648="","",IF(OR(NOT(ISNUMBER($O648)),NOT(ISNUMBER($T648))),"",$O648-$T648))</f>
        <v/>
      </c>
      <c r="V648" s="22">
        <f>IF(NOT(ISNUMBER($S648)),"",COUNTIFS($G$7:$G$850,$G648,$S$7:$S$850,"&gt;"&amp;$S648)+COUNTIFS($G$7:$G648,$G648,$S$7:$S648,$S648))</f>
        <v/>
      </c>
      <c r="W648" s="22">
        <f>IF(NOT(ISNUMBER($S648)),"",COUNTIFS($G$7:$G$850,$G648,$S$7:$S$850,"&lt;"&amp;$S648)+COUNTIFS($G$7:$G648,$G648,$S$7:$S648,$S648))</f>
        <v/>
      </c>
      <c r="X648" s="17">
        <f>IF($V648="","",$G648&amp;"|"&amp;$V648)</f>
        <v/>
      </c>
      <c r="Y648" s="17">
        <f>IF($W648="","",$G648&amp;"|"&amp;$W648)</f>
        <v/>
      </c>
    </row>
    <row r="649">
      <c r="A649" s="7" t="inlineStr">
        <is>
          <t>FR001400F703</t>
        </is>
      </c>
      <c r="B649" s="8">
        <f>IF($A649="","",PROPER(_xll.BDP($A649&amp;" Corp","NAME")))</f>
        <v/>
      </c>
      <c r="C649" s="8">
        <f>IF($A649="","",IFERROR(INDEX(Company_desc!$B$2:$B$1144,MATCH($A649,Company_desc!$A$2:$A$1144,0)),IFERROR(INDEX(SYZ_static!$Q$2:$Q$806,MATCH($A649,SYZ_static!$A$2:$A$806,0)),"")))</f>
        <v/>
      </c>
      <c r="D649" s="8">
        <f>IF($A649="","",IFERROR(INDEX(SYZ_static!$B$2:$B$806,MATCH($A649,SYZ_static!$A$2:$A$806,0)),""))</f>
        <v/>
      </c>
      <c r="E649" s="8">
        <f>IF($A649="","",_xll.BDP($A649&amp;" Corp","INDUSTRY_SECTOR"))</f>
        <v/>
      </c>
      <c r="F649" s="8">
        <f>IF($A649="","",PROPER(_xll.BDP($A649&amp;" Corp","COUNTRY_FULL_NAME")))</f>
        <v/>
      </c>
      <c r="G649" s="8">
        <f>IF($A649="","",_xll.BDP($A649&amp;" Corp","CRNCY"))</f>
        <v/>
      </c>
      <c r="H649" s="8">
        <f>IF($A649="","",IFERROR(INDEX(SYZ_static!$T$2:$T$806,MATCH($A649,SYZ_static!$A$2:$A$806,0)),_xll.BDP($A649&amp;" Corp","RTG_SP")))</f>
        <v/>
      </c>
      <c r="I649" s="8">
        <f>IF($A649="","",IFERROR(INDEX(SYZ_static!$S$2:$S$806,MATCH($A649,SYZ_static!$A$2:$A$806,0)),""))</f>
        <v/>
      </c>
      <c r="J649" s="8">
        <f>IF($A649="","",_xll.BDP($A649&amp;" Corp","PAYMENT_RANK"))</f>
        <v/>
      </c>
      <c r="K649" s="9">
        <f>IF($A649="","",_xll.BDP($A649&amp;" Corp","CPN"))</f>
        <v/>
      </c>
      <c r="L649" s="10">
        <f>IF($A649="","",_xll.BDP($A649&amp;" Corp","MATURITY"))</f>
        <v/>
      </c>
      <c r="M649" s="11">
        <f>IF($A649="","",IFERROR(_xll.BDP($A649&amp;" Corp","MIN_PIECE")/1000,""))</f>
        <v/>
      </c>
      <c r="N649" s="12">
        <f>IF($A649="","",_xll.BDP($A649&amp;" Corp","PX_LAST"))</f>
        <v/>
      </c>
      <c r="O649" s="12">
        <f>IF($A649="","",_xll.BDP($A649&amp;" Corp","YAS_BOND_YLD","YAS_YLD_FLAG=15"))</f>
        <v/>
      </c>
      <c r="P649" s="12">
        <f>IF($A649="","",_xll.BDP($A649&amp;" Corp","YAS_MOD_DUR"))</f>
        <v/>
      </c>
      <c r="Q649" s="13">
        <f>IF($A649="","",_xll.BDP($A649&amp;" Corp","YAS_OAS_SPRD"))</f>
        <v/>
      </c>
      <c r="R649" s="13">
        <f>IF($A649="","",_xll.BDP($A649&amp;" Corp","YAS_OAS_SPRD","SETTLE_DT",$B$2))</f>
        <v/>
      </c>
      <c r="S649" s="14">
        <f>IF($A649="","",IF(OR(NOT(ISNUMBER($Q649)),NOT(ISNUMBER($R649))),"",$Q649-$R649))</f>
        <v/>
      </c>
      <c r="T649" s="12">
        <f>IF($A649="","",_xll.BDP($A649&amp;" Corp","YAS_BOND_YLD","YAS_YLD_FLAG=15","SETTLE_DT",$B$2))</f>
        <v/>
      </c>
      <c r="U649" s="15">
        <f>IF($A649="","",IF(OR(NOT(ISNUMBER($O649)),NOT(ISNUMBER($T649))),"",$O649-$T649))</f>
        <v/>
      </c>
      <c r="V649" s="13">
        <f>IF(NOT(ISNUMBER($S649)),"",COUNTIFS($G$7:$G$850,$G649,$S$7:$S$850,"&gt;"&amp;$S649)+COUNTIFS($G$7:$G649,$G649,$S$7:$S649,$S649))</f>
        <v/>
      </c>
      <c r="W649" s="13">
        <f>IF(NOT(ISNUMBER($S649)),"",COUNTIFS($G$7:$G$850,$G649,$S$7:$S$850,"&lt;"&amp;$S649)+COUNTIFS($G$7:$G649,$G649,$S$7:$S649,$S649))</f>
        <v/>
      </c>
      <c r="X649" s="8">
        <f>IF($V649="","",$G649&amp;"|"&amp;$V649)</f>
        <v/>
      </c>
      <c r="Y649" s="8">
        <f>IF($W649="","",$G649&amp;"|"&amp;$W649)</f>
        <v/>
      </c>
    </row>
    <row r="650">
      <c r="A650" s="16" t="inlineStr">
        <is>
          <t>US24703TAD81</t>
        </is>
      </c>
      <c r="B650" s="17">
        <f>IF($A650="","",PROPER(_xll.BDP($A650&amp;" Corp","NAME")))</f>
        <v/>
      </c>
      <c r="C650" s="17">
        <f>IF($A650="","",IFERROR(INDEX(Company_desc!$B$2:$B$1144,MATCH($A650,Company_desc!$A$2:$A$1144,0)),IFERROR(INDEX(SYZ_static!$Q$2:$Q$806,MATCH($A650,SYZ_static!$A$2:$A$806,0)),"")))</f>
        <v/>
      </c>
      <c r="D650" s="17">
        <f>IF($A650="","",IFERROR(INDEX(SYZ_static!$B$2:$B$806,MATCH($A650,SYZ_static!$A$2:$A$806,0)),""))</f>
        <v/>
      </c>
      <c r="E650" s="17">
        <f>IF($A650="","",_xll.BDP($A650&amp;" Corp","INDUSTRY_SECTOR"))</f>
        <v/>
      </c>
      <c r="F650" s="17">
        <f>IF($A650="","",PROPER(_xll.BDP($A650&amp;" Corp","COUNTRY_FULL_NAME")))</f>
        <v/>
      </c>
      <c r="G650" s="17">
        <f>IF($A650="","",_xll.BDP($A650&amp;" Corp","CRNCY"))</f>
        <v/>
      </c>
      <c r="H650" s="17">
        <f>IF($A650="","",IFERROR(INDEX(SYZ_static!$T$2:$T$806,MATCH($A650,SYZ_static!$A$2:$A$806,0)),_xll.BDP($A650&amp;" Corp","RTG_SP")))</f>
        <v/>
      </c>
      <c r="I650" s="17">
        <f>IF($A650="","",IFERROR(INDEX(SYZ_static!$S$2:$S$806,MATCH($A650,SYZ_static!$A$2:$A$806,0)),""))</f>
        <v/>
      </c>
      <c r="J650" s="17">
        <f>IF($A650="","",_xll.BDP($A650&amp;" Corp","PAYMENT_RANK"))</f>
        <v/>
      </c>
      <c r="K650" s="18">
        <f>IF($A650="","",_xll.BDP($A650&amp;" Corp","CPN"))</f>
        <v/>
      </c>
      <c r="L650" s="19">
        <f>IF($A650="","",_xll.BDP($A650&amp;" Corp","MATURITY"))</f>
        <v/>
      </c>
      <c r="M650" s="20">
        <f>IF($A650="","",IFERROR(_xll.BDP($A650&amp;" Corp","MIN_PIECE")/1000,""))</f>
        <v/>
      </c>
      <c r="N650" s="21">
        <f>IF($A650="","",_xll.BDP($A650&amp;" Corp","PX_LAST"))</f>
        <v/>
      </c>
      <c r="O650" s="21">
        <f>IF($A650="","",_xll.BDP($A650&amp;" Corp","YAS_BOND_YLD","YAS_YLD_FLAG=15"))</f>
        <v/>
      </c>
      <c r="P650" s="21">
        <f>IF($A650="","",_xll.BDP($A650&amp;" Corp","YAS_MOD_DUR"))</f>
        <v/>
      </c>
      <c r="Q650" s="22">
        <f>IF($A650="","",_xll.BDP($A650&amp;" Corp","YAS_OAS_SPRD"))</f>
        <v/>
      </c>
      <c r="R650" s="22">
        <f>IF($A650="","",_xll.BDP($A650&amp;" Corp","YAS_OAS_SPRD","SETTLE_DT",$B$2))</f>
        <v/>
      </c>
      <c r="S650" s="23">
        <f>IF($A650="","",IF(OR(NOT(ISNUMBER($Q650)),NOT(ISNUMBER($R650))),"",$Q650-$R650))</f>
        <v/>
      </c>
      <c r="T650" s="21">
        <f>IF($A650="","",_xll.BDP($A650&amp;" Corp","YAS_BOND_YLD","YAS_YLD_FLAG=15","SETTLE_DT",$B$2))</f>
        <v/>
      </c>
      <c r="U650" s="24">
        <f>IF($A650="","",IF(OR(NOT(ISNUMBER($O650)),NOT(ISNUMBER($T650))),"",$O650-$T650))</f>
        <v/>
      </c>
      <c r="V650" s="22">
        <f>IF(NOT(ISNUMBER($S650)),"",COUNTIFS($G$7:$G$850,$G650,$S$7:$S$850,"&gt;"&amp;$S650)+COUNTIFS($G$7:$G650,$G650,$S$7:$S650,$S650))</f>
        <v/>
      </c>
      <c r="W650" s="22">
        <f>IF(NOT(ISNUMBER($S650)),"",COUNTIFS($G$7:$G$850,$G650,$S$7:$S$850,"&lt;"&amp;$S650)+COUNTIFS($G$7:$G650,$G650,$S$7:$S650,$S650))</f>
        <v/>
      </c>
      <c r="X650" s="17">
        <f>IF($V650="","",$G650&amp;"|"&amp;$V650)</f>
        <v/>
      </c>
      <c r="Y650" s="17">
        <f>IF($W650="","",$G650&amp;"|"&amp;$W650)</f>
        <v/>
      </c>
    </row>
    <row r="651">
      <c r="A651" s="7" t="inlineStr">
        <is>
          <t>US89114TZJ41</t>
        </is>
      </c>
      <c r="B651" s="8">
        <f>IF($A651="","",PROPER(_xll.BDP($A651&amp;" Corp","NAME")))</f>
        <v/>
      </c>
      <c r="C651" s="8">
        <f>IF($A651="","",IFERROR(INDEX(Company_desc!$B$2:$B$1144,MATCH($A651,Company_desc!$A$2:$A$1144,0)),IFERROR(INDEX(SYZ_static!$Q$2:$Q$806,MATCH($A651,SYZ_static!$A$2:$A$806,0)),"")))</f>
        <v/>
      </c>
      <c r="D651" s="8">
        <f>IF($A651="","",IFERROR(INDEX(SYZ_static!$B$2:$B$806,MATCH($A651,SYZ_static!$A$2:$A$806,0)),""))</f>
        <v/>
      </c>
      <c r="E651" s="8">
        <f>IF($A651="","",_xll.BDP($A651&amp;" Corp","INDUSTRY_SECTOR"))</f>
        <v/>
      </c>
      <c r="F651" s="8">
        <f>IF($A651="","",PROPER(_xll.BDP($A651&amp;" Corp","COUNTRY_FULL_NAME")))</f>
        <v/>
      </c>
      <c r="G651" s="8">
        <f>IF($A651="","",_xll.BDP($A651&amp;" Corp","CRNCY"))</f>
        <v/>
      </c>
      <c r="H651" s="8">
        <f>IF($A651="","",IFERROR(INDEX(SYZ_static!$T$2:$T$806,MATCH($A651,SYZ_static!$A$2:$A$806,0)),_xll.BDP($A651&amp;" Corp","RTG_SP")))</f>
        <v/>
      </c>
      <c r="I651" s="8">
        <f>IF($A651="","",IFERROR(INDEX(SYZ_static!$S$2:$S$806,MATCH($A651,SYZ_static!$A$2:$A$806,0)),""))</f>
        <v/>
      </c>
      <c r="J651" s="8">
        <f>IF($A651="","",_xll.BDP($A651&amp;" Corp","PAYMENT_RANK"))</f>
        <v/>
      </c>
      <c r="K651" s="9">
        <f>IF($A651="","",_xll.BDP($A651&amp;" Corp","CPN"))</f>
        <v/>
      </c>
      <c r="L651" s="10">
        <f>IF($A651="","",_xll.BDP($A651&amp;" Corp","MATURITY"))</f>
        <v/>
      </c>
      <c r="M651" s="11">
        <f>IF($A651="","",IFERROR(_xll.BDP($A651&amp;" Corp","MIN_PIECE")/1000,""))</f>
        <v/>
      </c>
      <c r="N651" s="12">
        <f>IF($A651="","",_xll.BDP($A651&amp;" Corp","PX_LAST"))</f>
        <v/>
      </c>
      <c r="O651" s="12">
        <f>IF($A651="","",_xll.BDP($A651&amp;" Corp","YAS_BOND_YLD","YAS_YLD_FLAG=15"))</f>
        <v/>
      </c>
      <c r="P651" s="12">
        <f>IF($A651="","",_xll.BDP($A651&amp;" Corp","YAS_MOD_DUR"))</f>
        <v/>
      </c>
      <c r="Q651" s="13">
        <f>IF($A651="","",_xll.BDP($A651&amp;" Corp","YAS_OAS_SPRD"))</f>
        <v/>
      </c>
      <c r="R651" s="13">
        <f>IF($A651="","",_xll.BDP($A651&amp;" Corp","YAS_OAS_SPRD","SETTLE_DT",$B$2))</f>
        <v/>
      </c>
      <c r="S651" s="14">
        <f>IF($A651="","",IF(OR(NOT(ISNUMBER($Q651)),NOT(ISNUMBER($R651))),"",$Q651-$R651))</f>
        <v/>
      </c>
      <c r="T651" s="12">
        <f>IF($A651="","",_xll.BDP($A651&amp;" Corp","YAS_BOND_YLD","YAS_YLD_FLAG=15","SETTLE_DT",$B$2))</f>
        <v/>
      </c>
      <c r="U651" s="15">
        <f>IF($A651="","",IF(OR(NOT(ISNUMBER($O651)),NOT(ISNUMBER($T651))),"",$O651-$T651))</f>
        <v/>
      </c>
      <c r="V651" s="13">
        <f>IF(NOT(ISNUMBER($S651)),"",COUNTIFS($G$7:$G$850,$G651,$S$7:$S$850,"&gt;"&amp;$S651)+COUNTIFS($G$7:$G651,$G651,$S$7:$S651,$S651))</f>
        <v/>
      </c>
      <c r="W651" s="13">
        <f>IF(NOT(ISNUMBER($S651)),"",COUNTIFS($G$7:$G$850,$G651,$S$7:$S$850,"&lt;"&amp;$S651)+COUNTIFS($G$7:$G651,$G651,$S$7:$S651,$S651))</f>
        <v/>
      </c>
      <c r="X651" s="8">
        <f>IF($V651="","",$G651&amp;"|"&amp;$V651)</f>
        <v/>
      </c>
      <c r="Y651" s="8">
        <f>IF($W651="","",$G651&amp;"|"&amp;$W651)</f>
        <v/>
      </c>
    </row>
    <row r="652">
      <c r="A652" s="16" t="inlineStr">
        <is>
          <t>US149123CK50</t>
        </is>
      </c>
      <c r="B652" s="17">
        <f>IF($A652="","",PROPER(_xll.BDP($A652&amp;" Corp","NAME")))</f>
        <v/>
      </c>
      <c r="C652" s="17">
        <f>IF($A652="","",IFERROR(INDEX(Company_desc!$B$2:$B$1144,MATCH($A652,Company_desc!$A$2:$A$1144,0)),IFERROR(INDEX(SYZ_static!$Q$2:$Q$806,MATCH($A652,SYZ_static!$A$2:$A$806,0)),"")))</f>
        <v/>
      </c>
      <c r="D652" s="17">
        <f>IF($A652="","",IFERROR(INDEX(SYZ_static!$B$2:$B$806,MATCH($A652,SYZ_static!$A$2:$A$806,0)),""))</f>
        <v/>
      </c>
      <c r="E652" s="17">
        <f>IF($A652="","",_xll.BDP($A652&amp;" Corp","INDUSTRY_SECTOR"))</f>
        <v/>
      </c>
      <c r="F652" s="17">
        <f>IF($A652="","",PROPER(_xll.BDP($A652&amp;" Corp","COUNTRY_FULL_NAME")))</f>
        <v/>
      </c>
      <c r="G652" s="17">
        <f>IF($A652="","",_xll.BDP($A652&amp;" Corp","CRNCY"))</f>
        <v/>
      </c>
      <c r="H652" s="17">
        <f>IF($A652="","",IFERROR(INDEX(SYZ_static!$T$2:$T$806,MATCH($A652,SYZ_static!$A$2:$A$806,0)),_xll.BDP($A652&amp;" Corp","RTG_SP")))</f>
        <v/>
      </c>
      <c r="I652" s="17">
        <f>IF($A652="","",IFERROR(INDEX(SYZ_static!$S$2:$S$806,MATCH($A652,SYZ_static!$A$2:$A$806,0)),""))</f>
        <v/>
      </c>
      <c r="J652" s="17">
        <f>IF($A652="","",_xll.BDP($A652&amp;" Corp","PAYMENT_RANK"))</f>
        <v/>
      </c>
      <c r="K652" s="18">
        <f>IF($A652="","",_xll.BDP($A652&amp;" Corp","CPN"))</f>
        <v/>
      </c>
      <c r="L652" s="19">
        <f>IF($A652="","",_xll.BDP($A652&amp;" Corp","MATURITY"))</f>
        <v/>
      </c>
      <c r="M652" s="20">
        <f>IF($A652="","",IFERROR(_xll.BDP($A652&amp;" Corp","MIN_PIECE")/1000,""))</f>
        <v/>
      </c>
      <c r="N652" s="21">
        <f>IF($A652="","",_xll.BDP($A652&amp;" Corp","PX_LAST"))</f>
        <v/>
      </c>
      <c r="O652" s="21">
        <f>IF($A652="","",_xll.BDP($A652&amp;" Corp","YAS_BOND_YLD","YAS_YLD_FLAG=15"))</f>
        <v/>
      </c>
      <c r="P652" s="21">
        <f>IF($A652="","",_xll.BDP($A652&amp;" Corp","YAS_MOD_DUR"))</f>
        <v/>
      </c>
      <c r="Q652" s="22">
        <f>IF($A652="","",_xll.BDP($A652&amp;" Corp","YAS_OAS_SPRD"))</f>
        <v/>
      </c>
      <c r="R652" s="22">
        <f>IF($A652="","",_xll.BDP($A652&amp;" Corp","YAS_OAS_SPRD","SETTLE_DT",$B$2))</f>
        <v/>
      </c>
      <c r="S652" s="23">
        <f>IF($A652="","",IF(OR(NOT(ISNUMBER($Q652)),NOT(ISNUMBER($R652))),"",$Q652-$R652))</f>
        <v/>
      </c>
      <c r="T652" s="21">
        <f>IF($A652="","",_xll.BDP($A652&amp;" Corp","YAS_BOND_YLD","YAS_YLD_FLAG=15","SETTLE_DT",$B$2))</f>
        <v/>
      </c>
      <c r="U652" s="24">
        <f>IF($A652="","",IF(OR(NOT(ISNUMBER($O652)),NOT(ISNUMBER($T652))),"",$O652-$T652))</f>
        <v/>
      </c>
      <c r="V652" s="22">
        <f>IF(NOT(ISNUMBER($S652)),"",COUNTIFS($G$7:$G$850,$G652,$S$7:$S$850,"&gt;"&amp;$S652)+COUNTIFS($G$7:$G652,$G652,$S$7:$S652,$S652))</f>
        <v/>
      </c>
      <c r="W652" s="22">
        <f>IF(NOT(ISNUMBER($S652)),"",COUNTIFS($G$7:$G$850,$G652,$S$7:$S$850,"&lt;"&amp;$S652)+COUNTIFS($G$7:$G652,$G652,$S$7:$S652,$S652))</f>
        <v/>
      </c>
      <c r="X652" s="17">
        <f>IF($V652="","",$G652&amp;"|"&amp;$V652)</f>
        <v/>
      </c>
      <c r="Y652" s="17">
        <f>IF($W652="","",$G652&amp;"|"&amp;$W652)</f>
        <v/>
      </c>
    </row>
    <row r="653">
      <c r="A653" s="7" t="inlineStr">
        <is>
          <t>XS2689046626</t>
        </is>
      </c>
      <c r="B653" s="8">
        <f>IF($A653="","",PROPER(_xll.BDP($A653&amp;" Corp","NAME")))</f>
        <v/>
      </c>
      <c r="C653" s="8">
        <f>IF($A653="","",IFERROR(INDEX(Company_desc!$B$2:$B$1144,MATCH($A653,Company_desc!$A$2:$A$1144,0)),IFERROR(INDEX(SYZ_static!$Q$2:$Q$806,MATCH($A653,SYZ_static!$A$2:$A$806,0)),"")))</f>
        <v/>
      </c>
      <c r="D653" s="8">
        <f>IF($A653="","",IFERROR(INDEX(SYZ_static!$B$2:$B$806,MATCH($A653,SYZ_static!$A$2:$A$806,0)),""))</f>
        <v/>
      </c>
      <c r="E653" s="8">
        <f>IF($A653="","",_xll.BDP($A653&amp;" Corp","INDUSTRY_SECTOR"))</f>
        <v/>
      </c>
      <c r="F653" s="8">
        <f>IF($A653="","",PROPER(_xll.BDP($A653&amp;" Corp","COUNTRY_FULL_NAME")))</f>
        <v/>
      </c>
      <c r="G653" s="8">
        <f>IF($A653="","",_xll.BDP($A653&amp;" Corp","CRNCY"))</f>
        <v/>
      </c>
      <c r="H653" s="8">
        <f>IF($A653="","",IFERROR(INDEX(SYZ_static!$T$2:$T$806,MATCH($A653,SYZ_static!$A$2:$A$806,0)),_xll.BDP($A653&amp;" Corp","RTG_SP")))</f>
        <v/>
      </c>
      <c r="I653" s="8">
        <f>IF($A653="","",IFERROR(INDEX(SYZ_static!$S$2:$S$806,MATCH($A653,SYZ_static!$A$2:$A$806,0)),""))</f>
        <v/>
      </c>
      <c r="J653" s="8">
        <f>IF($A653="","",_xll.BDP($A653&amp;" Corp","PAYMENT_RANK"))</f>
        <v/>
      </c>
      <c r="K653" s="9">
        <f>IF($A653="","",_xll.BDP($A653&amp;" Corp","CPN"))</f>
        <v/>
      </c>
      <c r="L653" s="10">
        <f>IF($A653="","",_xll.BDP($A653&amp;" Corp","MATURITY"))</f>
        <v/>
      </c>
      <c r="M653" s="11">
        <f>IF($A653="","",IFERROR(_xll.BDP($A653&amp;" Corp","MIN_PIECE")/1000,""))</f>
        <v/>
      </c>
      <c r="N653" s="12">
        <f>IF($A653="","",_xll.BDP($A653&amp;" Corp","PX_LAST"))</f>
        <v/>
      </c>
      <c r="O653" s="12">
        <f>IF($A653="","",_xll.BDP($A653&amp;" Corp","YAS_BOND_YLD","YAS_YLD_FLAG=15"))</f>
        <v/>
      </c>
      <c r="P653" s="12">
        <f>IF($A653="","",_xll.BDP($A653&amp;" Corp","YAS_MOD_DUR"))</f>
        <v/>
      </c>
      <c r="Q653" s="13">
        <f>IF($A653="","",_xll.BDP($A653&amp;" Corp","YAS_OAS_SPRD"))</f>
        <v/>
      </c>
      <c r="R653" s="13">
        <f>IF($A653="","",_xll.BDP($A653&amp;" Corp","YAS_OAS_SPRD","SETTLE_DT",$B$2))</f>
        <v/>
      </c>
      <c r="S653" s="14">
        <f>IF($A653="","",IF(OR(NOT(ISNUMBER($Q653)),NOT(ISNUMBER($R653))),"",$Q653-$R653))</f>
        <v/>
      </c>
      <c r="T653" s="12">
        <f>IF($A653="","",_xll.BDP($A653&amp;" Corp","YAS_BOND_YLD","YAS_YLD_FLAG=15","SETTLE_DT",$B$2))</f>
        <v/>
      </c>
      <c r="U653" s="15">
        <f>IF($A653="","",IF(OR(NOT(ISNUMBER($O653)),NOT(ISNUMBER($T653))),"",$O653-$T653))</f>
        <v/>
      </c>
      <c r="V653" s="13">
        <f>IF(NOT(ISNUMBER($S653)),"",COUNTIFS($G$7:$G$850,$G653,$S$7:$S$850,"&gt;"&amp;$S653)+COUNTIFS($G$7:$G653,$G653,$S$7:$S653,$S653))</f>
        <v/>
      </c>
      <c r="W653" s="13">
        <f>IF(NOT(ISNUMBER($S653)),"",COUNTIFS($G$7:$G$850,$G653,$S$7:$S$850,"&lt;"&amp;$S653)+COUNTIFS($G$7:$G653,$G653,$S$7:$S653,$S653))</f>
        <v/>
      </c>
      <c r="X653" s="8">
        <f>IF($V653="","",$G653&amp;"|"&amp;$V653)</f>
        <v/>
      </c>
      <c r="Y653" s="8">
        <f>IF($W653="","",$G653&amp;"|"&amp;$W653)</f>
        <v/>
      </c>
    </row>
    <row r="654">
      <c r="A654" s="16" t="inlineStr">
        <is>
          <t>US872898AE19</t>
        </is>
      </c>
      <c r="B654" s="17">
        <f>IF($A654="","",PROPER(_xll.BDP($A654&amp;" Corp","NAME")))</f>
        <v/>
      </c>
      <c r="C654" s="17">
        <f>IF($A654="","",IFERROR(INDEX(Company_desc!$B$2:$B$1144,MATCH($A654,Company_desc!$A$2:$A$1144,0)),IFERROR(INDEX(SYZ_static!$Q$2:$Q$806,MATCH($A654,SYZ_static!$A$2:$A$806,0)),"")))</f>
        <v/>
      </c>
      <c r="D654" s="17">
        <f>IF($A654="","",IFERROR(INDEX(SYZ_static!$B$2:$B$806,MATCH($A654,SYZ_static!$A$2:$A$806,0)),""))</f>
        <v/>
      </c>
      <c r="E654" s="17">
        <f>IF($A654="","",_xll.BDP($A654&amp;" Corp","INDUSTRY_SECTOR"))</f>
        <v/>
      </c>
      <c r="F654" s="17">
        <f>IF($A654="","",PROPER(_xll.BDP($A654&amp;" Corp","COUNTRY_FULL_NAME")))</f>
        <v/>
      </c>
      <c r="G654" s="17">
        <f>IF($A654="","",_xll.BDP($A654&amp;" Corp","CRNCY"))</f>
        <v/>
      </c>
      <c r="H654" s="17">
        <f>IF($A654="","",IFERROR(INDEX(SYZ_static!$T$2:$T$806,MATCH($A654,SYZ_static!$A$2:$A$806,0)),_xll.BDP($A654&amp;" Corp","RTG_SP")))</f>
        <v/>
      </c>
      <c r="I654" s="17">
        <f>IF($A654="","",IFERROR(INDEX(SYZ_static!$S$2:$S$806,MATCH($A654,SYZ_static!$A$2:$A$806,0)),""))</f>
        <v/>
      </c>
      <c r="J654" s="17">
        <f>IF($A654="","",_xll.BDP($A654&amp;" Corp","PAYMENT_RANK"))</f>
        <v/>
      </c>
      <c r="K654" s="18">
        <f>IF($A654="","",_xll.BDP($A654&amp;" Corp","CPN"))</f>
        <v/>
      </c>
      <c r="L654" s="19">
        <f>IF($A654="","",_xll.BDP($A654&amp;" Corp","MATURITY"))</f>
        <v/>
      </c>
      <c r="M654" s="20">
        <f>IF($A654="","",IFERROR(_xll.BDP($A654&amp;" Corp","MIN_PIECE")/1000,""))</f>
        <v/>
      </c>
      <c r="N654" s="21">
        <f>IF($A654="","",_xll.BDP($A654&amp;" Corp","PX_LAST"))</f>
        <v/>
      </c>
      <c r="O654" s="21">
        <f>IF($A654="","",_xll.BDP($A654&amp;" Corp","YAS_BOND_YLD","YAS_YLD_FLAG=15"))</f>
        <v/>
      </c>
      <c r="P654" s="21">
        <f>IF($A654="","",_xll.BDP($A654&amp;" Corp","YAS_MOD_DUR"))</f>
        <v/>
      </c>
      <c r="Q654" s="22">
        <f>IF($A654="","",_xll.BDP($A654&amp;" Corp","YAS_OAS_SPRD"))</f>
        <v/>
      </c>
      <c r="R654" s="22">
        <f>IF($A654="","",_xll.BDP($A654&amp;" Corp","YAS_OAS_SPRD","SETTLE_DT",$B$2))</f>
        <v/>
      </c>
      <c r="S654" s="23">
        <f>IF($A654="","",IF(OR(NOT(ISNUMBER($Q654)),NOT(ISNUMBER($R654))),"",$Q654-$R654))</f>
        <v/>
      </c>
      <c r="T654" s="21">
        <f>IF($A654="","",_xll.BDP($A654&amp;" Corp","YAS_BOND_YLD","YAS_YLD_FLAG=15","SETTLE_DT",$B$2))</f>
        <v/>
      </c>
      <c r="U654" s="24">
        <f>IF($A654="","",IF(OR(NOT(ISNUMBER($O654)),NOT(ISNUMBER($T654))),"",$O654-$T654))</f>
        <v/>
      </c>
      <c r="V654" s="22">
        <f>IF(NOT(ISNUMBER($S654)),"",COUNTIFS($G$7:$G$850,$G654,$S$7:$S$850,"&gt;"&amp;$S654)+COUNTIFS($G$7:$G654,$G654,$S$7:$S654,$S654))</f>
        <v/>
      </c>
      <c r="W654" s="22">
        <f>IF(NOT(ISNUMBER($S654)),"",COUNTIFS($G$7:$G$850,$G654,$S$7:$S$850,"&lt;"&amp;$S654)+COUNTIFS($G$7:$G654,$G654,$S$7:$S654,$S654))</f>
        <v/>
      </c>
      <c r="X654" s="17">
        <f>IF($V654="","",$G654&amp;"|"&amp;$V654)</f>
        <v/>
      </c>
      <c r="Y654" s="17">
        <f>IF($W654="","",$G654&amp;"|"&amp;$W654)</f>
        <v/>
      </c>
    </row>
    <row r="655">
      <c r="A655" s="7" t="inlineStr">
        <is>
          <t>US00440KAB98</t>
        </is>
      </c>
      <c r="B655" s="8">
        <f>IF($A655="","",PROPER(_xll.BDP($A655&amp;" Corp","NAME")))</f>
        <v/>
      </c>
      <c r="C655" s="8">
        <f>IF($A655="","",IFERROR(INDEX(Company_desc!$B$2:$B$1144,MATCH($A655,Company_desc!$A$2:$A$1144,0)),IFERROR(INDEX(SYZ_static!$Q$2:$Q$806,MATCH($A655,SYZ_static!$A$2:$A$806,0)),"")))</f>
        <v/>
      </c>
      <c r="D655" s="8">
        <f>IF($A655="","",IFERROR(INDEX(SYZ_static!$B$2:$B$806,MATCH($A655,SYZ_static!$A$2:$A$806,0)),""))</f>
        <v/>
      </c>
      <c r="E655" s="8">
        <f>IF($A655="","",_xll.BDP($A655&amp;" Corp","INDUSTRY_SECTOR"))</f>
        <v/>
      </c>
      <c r="F655" s="8">
        <f>IF($A655="","",PROPER(_xll.BDP($A655&amp;" Corp","COUNTRY_FULL_NAME")))</f>
        <v/>
      </c>
      <c r="G655" s="8">
        <f>IF($A655="","",_xll.BDP($A655&amp;" Corp","CRNCY"))</f>
        <v/>
      </c>
      <c r="H655" s="8">
        <f>IF($A655="","",IFERROR(INDEX(SYZ_static!$T$2:$T$806,MATCH($A655,SYZ_static!$A$2:$A$806,0)),_xll.BDP($A655&amp;" Corp","RTG_SP")))</f>
        <v/>
      </c>
      <c r="I655" s="8">
        <f>IF($A655="","",IFERROR(INDEX(SYZ_static!$S$2:$S$806,MATCH($A655,SYZ_static!$A$2:$A$806,0)),""))</f>
        <v/>
      </c>
      <c r="J655" s="8">
        <f>IF($A655="","",_xll.BDP($A655&amp;" Corp","PAYMENT_RANK"))</f>
        <v/>
      </c>
      <c r="K655" s="9">
        <f>IF($A655="","",_xll.BDP($A655&amp;" Corp","CPN"))</f>
        <v/>
      </c>
      <c r="L655" s="10">
        <f>IF($A655="","",_xll.BDP($A655&amp;" Corp","MATURITY"))</f>
        <v/>
      </c>
      <c r="M655" s="11">
        <f>IF($A655="","",IFERROR(_xll.BDP($A655&amp;" Corp","MIN_PIECE")/1000,""))</f>
        <v/>
      </c>
      <c r="N655" s="12">
        <f>IF($A655="","",_xll.BDP($A655&amp;" Corp","PX_LAST"))</f>
        <v/>
      </c>
      <c r="O655" s="12">
        <f>IF($A655="","",_xll.BDP($A655&amp;" Corp","YAS_BOND_YLD","YAS_YLD_FLAG=15"))</f>
        <v/>
      </c>
      <c r="P655" s="12">
        <f>IF($A655="","",_xll.BDP($A655&amp;" Corp","YAS_MOD_DUR"))</f>
        <v/>
      </c>
      <c r="Q655" s="13">
        <f>IF($A655="","",_xll.BDP($A655&amp;" Corp","YAS_OAS_SPRD"))</f>
        <v/>
      </c>
      <c r="R655" s="13">
        <f>IF($A655="","",_xll.BDP($A655&amp;" Corp","YAS_OAS_SPRD","SETTLE_DT",$B$2))</f>
        <v/>
      </c>
      <c r="S655" s="14">
        <f>IF($A655="","",IF(OR(NOT(ISNUMBER($Q655)),NOT(ISNUMBER($R655))),"",$Q655-$R655))</f>
        <v/>
      </c>
      <c r="T655" s="12">
        <f>IF($A655="","",_xll.BDP($A655&amp;" Corp","YAS_BOND_YLD","YAS_YLD_FLAG=15","SETTLE_DT",$B$2))</f>
        <v/>
      </c>
      <c r="U655" s="15">
        <f>IF($A655="","",IF(OR(NOT(ISNUMBER($O655)),NOT(ISNUMBER($T655))),"",$O655-$T655))</f>
        <v/>
      </c>
      <c r="V655" s="13">
        <f>IF(NOT(ISNUMBER($S655)),"",COUNTIFS($G$7:$G$850,$G655,$S$7:$S$850,"&gt;"&amp;$S655)+COUNTIFS($G$7:$G655,$G655,$S$7:$S655,$S655))</f>
        <v/>
      </c>
      <c r="W655" s="13">
        <f>IF(NOT(ISNUMBER($S655)),"",COUNTIFS($G$7:$G$850,$G655,$S$7:$S$850,"&lt;"&amp;$S655)+COUNTIFS($G$7:$G655,$G655,$S$7:$S655,$S655))</f>
        <v/>
      </c>
      <c r="X655" s="8">
        <f>IF($V655="","",$G655&amp;"|"&amp;$V655)</f>
        <v/>
      </c>
      <c r="Y655" s="8">
        <f>IF($W655="","",$G655&amp;"|"&amp;$W655)</f>
        <v/>
      </c>
    </row>
    <row r="656">
      <c r="A656" s="16" t="inlineStr">
        <is>
          <t>US04636NAB91</t>
        </is>
      </c>
      <c r="B656" s="17">
        <f>IF($A656="","",PROPER(_xll.BDP($A656&amp;" Corp","NAME")))</f>
        <v/>
      </c>
      <c r="C656" s="17">
        <f>IF($A656="","",IFERROR(INDEX(Company_desc!$B$2:$B$1144,MATCH($A656,Company_desc!$A$2:$A$1144,0)),IFERROR(INDEX(SYZ_static!$Q$2:$Q$806,MATCH($A656,SYZ_static!$A$2:$A$806,0)),"")))</f>
        <v/>
      </c>
      <c r="D656" s="17">
        <f>IF($A656="","",IFERROR(INDEX(SYZ_static!$B$2:$B$806,MATCH($A656,SYZ_static!$A$2:$A$806,0)),""))</f>
        <v/>
      </c>
      <c r="E656" s="17">
        <f>IF($A656="","",_xll.BDP($A656&amp;" Corp","INDUSTRY_SECTOR"))</f>
        <v/>
      </c>
      <c r="F656" s="17">
        <f>IF($A656="","",PROPER(_xll.BDP($A656&amp;" Corp","COUNTRY_FULL_NAME")))</f>
        <v/>
      </c>
      <c r="G656" s="17">
        <f>IF($A656="","",_xll.BDP($A656&amp;" Corp","CRNCY"))</f>
        <v/>
      </c>
      <c r="H656" s="17">
        <f>IF($A656="","",IFERROR(INDEX(SYZ_static!$T$2:$T$806,MATCH($A656,SYZ_static!$A$2:$A$806,0)),_xll.BDP($A656&amp;" Corp","RTG_SP")))</f>
        <v/>
      </c>
      <c r="I656" s="17">
        <f>IF($A656="","",IFERROR(INDEX(SYZ_static!$S$2:$S$806,MATCH($A656,SYZ_static!$A$2:$A$806,0)),""))</f>
        <v/>
      </c>
      <c r="J656" s="17">
        <f>IF($A656="","",_xll.BDP($A656&amp;" Corp","PAYMENT_RANK"))</f>
        <v/>
      </c>
      <c r="K656" s="18">
        <f>IF($A656="","",_xll.BDP($A656&amp;" Corp","CPN"))</f>
        <v/>
      </c>
      <c r="L656" s="19">
        <f>IF($A656="","",_xll.BDP($A656&amp;" Corp","MATURITY"))</f>
        <v/>
      </c>
      <c r="M656" s="20">
        <f>IF($A656="","",IFERROR(_xll.BDP($A656&amp;" Corp","MIN_PIECE")/1000,""))</f>
        <v/>
      </c>
      <c r="N656" s="21">
        <f>IF($A656="","",_xll.BDP($A656&amp;" Corp","PX_LAST"))</f>
        <v/>
      </c>
      <c r="O656" s="21">
        <f>IF($A656="","",_xll.BDP($A656&amp;" Corp","YAS_BOND_YLD","YAS_YLD_FLAG=15"))</f>
        <v/>
      </c>
      <c r="P656" s="21">
        <f>IF($A656="","",_xll.BDP($A656&amp;" Corp","YAS_MOD_DUR"))</f>
        <v/>
      </c>
      <c r="Q656" s="22">
        <f>IF($A656="","",_xll.BDP($A656&amp;" Corp","YAS_OAS_SPRD"))</f>
        <v/>
      </c>
      <c r="R656" s="22">
        <f>IF($A656="","",_xll.BDP($A656&amp;" Corp","YAS_OAS_SPRD","SETTLE_DT",$B$2))</f>
        <v/>
      </c>
      <c r="S656" s="23">
        <f>IF($A656="","",IF(OR(NOT(ISNUMBER($Q656)),NOT(ISNUMBER($R656))),"",$Q656-$R656))</f>
        <v/>
      </c>
      <c r="T656" s="21">
        <f>IF($A656="","",_xll.BDP($A656&amp;" Corp","YAS_BOND_YLD","YAS_YLD_FLAG=15","SETTLE_DT",$B$2))</f>
        <v/>
      </c>
      <c r="U656" s="24">
        <f>IF($A656="","",IF(OR(NOT(ISNUMBER($O656)),NOT(ISNUMBER($T656))),"",$O656-$T656))</f>
        <v/>
      </c>
      <c r="V656" s="22">
        <f>IF(NOT(ISNUMBER($S656)),"",COUNTIFS($G$7:$G$850,$G656,$S$7:$S$850,"&gt;"&amp;$S656)+COUNTIFS($G$7:$G656,$G656,$S$7:$S656,$S656))</f>
        <v/>
      </c>
      <c r="W656" s="22">
        <f>IF(NOT(ISNUMBER($S656)),"",COUNTIFS($G$7:$G$850,$G656,$S$7:$S$850,"&lt;"&amp;$S656)+COUNTIFS($G$7:$G656,$G656,$S$7:$S656,$S656))</f>
        <v/>
      </c>
      <c r="X656" s="17">
        <f>IF($V656="","",$G656&amp;"|"&amp;$V656)</f>
        <v/>
      </c>
      <c r="Y656" s="17">
        <f>IF($W656="","",$G656&amp;"|"&amp;$W656)</f>
        <v/>
      </c>
    </row>
    <row r="657">
      <c r="A657" s="7" t="inlineStr">
        <is>
          <t>FR001400KPB4</t>
        </is>
      </c>
      <c r="B657" s="8">
        <f>IF($A657="","",PROPER(_xll.BDP($A657&amp;" Corp","NAME")))</f>
        <v/>
      </c>
      <c r="C657" s="8">
        <f>IF($A657="","",IFERROR(INDEX(Company_desc!$B$2:$B$1144,MATCH($A657,Company_desc!$A$2:$A$1144,0)),IFERROR(INDEX(SYZ_static!$Q$2:$Q$806,MATCH($A657,SYZ_static!$A$2:$A$806,0)),"")))</f>
        <v/>
      </c>
      <c r="D657" s="8">
        <f>IF($A657="","",IFERROR(INDEX(SYZ_static!$B$2:$B$806,MATCH($A657,SYZ_static!$A$2:$A$806,0)),""))</f>
        <v/>
      </c>
      <c r="E657" s="8">
        <f>IF($A657="","",_xll.BDP($A657&amp;" Corp","INDUSTRY_SECTOR"))</f>
        <v/>
      </c>
      <c r="F657" s="8">
        <f>IF($A657="","",PROPER(_xll.BDP($A657&amp;" Corp","COUNTRY_FULL_NAME")))</f>
        <v/>
      </c>
      <c r="G657" s="8">
        <f>IF($A657="","",_xll.BDP($A657&amp;" Corp","CRNCY"))</f>
        <v/>
      </c>
      <c r="H657" s="8">
        <f>IF($A657="","",IFERROR(INDEX(SYZ_static!$T$2:$T$806,MATCH($A657,SYZ_static!$A$2:$A$806,0)),_xll.BDP($A657&amp;" Corp","RTG_SP")))</f>
        <v/>
      </c>
      <c r="I657" s="8">
        <f>IF($A657="","",IFERROR(INDEX(SYZ_static!$S$2:$S$806,MATCH($A657,SYZ_static!$A$2:$A$806,0)),""))</f>
        <v/>
      </c>
      <c r="J657" s="8">
        <f>IF($A657="","",_xll.BDP($A657&amp;" Corp","PAYMENT_RANK"))</f>
        <v/>
      </c>
      <c r="K657" s="9">
        <f>IF($A657="","",_xll.BDP($A657&amp;" Corp","CPN"))</f>
        <v/>
      </c>
      <c r="L657" s="10">
        <f>IF($A657="","",_xll.BDP($A657&amp;" Corp","MATURITY"))</f>
        <v/>
      </c>
      <c r="M657" s="11">
        <f>IF($A657="","",IFERROR(_xll.BDP($A657&amp;" Corp","MIN_PIECE")/1000,""))</f>
        <v/>
      </c>
      <c r="N657" s="12">
        <f>IF($A657="","",_xll.BDP($A657&amp;" Corp","PX_LAST"))</f>
        <v/>
      </c>
      <c r="O657" s="12">
        <f>IF($A657="","",_xll.BDP($A657&amp;" Corp","YAS_BOND_YLD","YAS_YLD_FLAG=15"))</f>
        <v/>
      </c>
      <c r="P657" s="12">
        <f>IF($A657="","",_xll.BDP($A657&amp;" Corp","YAS_MOD_DUR"))</f>
        <v/>
      </c>
      <c r="Q657" s="13">
        <f>IF($A657="","",_xll.BDP($A657&amp;" Corp","YAS_OAS_SPRD"))</f>
        <v/>
      </c>
      <c r="R657" s="13">
        <f>IF($A657="","",_xll.BDP($A657&amp;" Corp","YAS_OAS_SPRD","SETTLE_DT",$B$2))</f>
        <v/>
      </c>
      <c r="S657" s="14">
        <f>IF($A657="","",IF(OR(NOT(ISNUMBER($Q657)),NOT(ISNUMBER($R657))),"",$Q657-$R657))</f>
        <v/>
      </c>
      <c r="T657" s="12">
        <f>IF($A657="","",_xll.BDP($A657&amp;" Corp","YAS_BOND_YLD","YAS_YLD_FLAG=15","SETTLE_DT",$B$2))</f>
        <v/>
      </c>
      <c r="U657" s="15">
        <f>IF($A657="","",IF(OR(NOT(ISNUMBER($O657)),NOT(ISNUMBER($T657))),"",$O657-$T657))</f>
        <v/>
      </c>
      <c r="V657" s="13">
        <f>IF(NOT(ISNUMBER($S657)),"",COUNTIFS($G$7:$G$850,$G657,$S$7:$S$850,"&gt;"&amp;$S657)+COUNTIFS($G$7:$G657,$G657,$S$7:$S657,$S657))</f>
        <v/>
      </c>
      <c r="W657" s="13">
        <f>IF(NOT(ISNUMBER($S657)),"",COUNTIFS($G$7:$G$850,$G657,$S$7:$S$850,"&lt;"&amp;$S657)+COUNTIFS($G$7:$G657,$G657,$S$7:$S657,$S657))</f>
        <v/>
      </c>
      <c r="X657" s="8">
        <f>IF($V657="","",$G657&amp;"|"&amp;$V657)</f>
        <v/>
      </c>
      <c r="Y657" s="8">
        <f>IF($W657="","",$G657&amp;"|"&amp;$W657)</f>
        <v/>
      </c>
    </row>
    <row r="658">
      <c r="A658" s="16" t="inlineStr">
        <is>
          <t>US639057AG33</t>
        </is>
      </c>
      <c r="B658" s="17">
        <f>IF($A658="","",PROPER(_xll.BDP($A658&amp;" Corp","NAME")))</f>
        <v/>
      </c>
      <c r="C658" s="17">
        <f>IF($A658="","",IFERROR(INDEX(Company_desc!$B$2:$B$1144,MATCH($A658,Company_desc!$A$2:$A$1144,0)),IFERROR(INDEX(SYZ_static!$Q$2:$Q$806,MATCH($A658,SYZ_static!$A$2:$A$806,0)),"")))</f>
        <v/>
      </c>
      <c r="D658" s="17">
        <f>IF($A658="","",IFERROR(INDEX(SYZ_static!$B$2:$B$806,MATCH($A658,SYZ_static!$A$2:$A$806,0)),""))</f>
        <v/>
      </c>
      <c r="E658" s="17">
        <f>IF($A658="","",_xll.BDP($A658&amp;" Corp","INDUSTRY_SECTOR"))</f>
        <v/>
      </c>
      <c r="F658" s="17">
        <f>IF($A658="","",PROPER(_xll.BDP($A658&amp;" Corp","COUNTRY_FULL_NAME")))</f>
        <v/>
      </c>
      <c r="G658" s="17">
        <f>IF($A658="","",_xll.BDP($A658&amp;" Corp","CRNCY"))</f>
        <v/>
      </c>
      <c r="H658" s="17">
        <f>IF($A658="","",IFERROR(INDEX(SYZ_static!$T$2:$T$806,MATCH($A658,SYZ_static!$A$2:$A$806,0)),_xll.BDP($A658&amp;" Corp","RTG_SP")))</f>
        <v/>
      </c>
      <c r="I658" s="17">
        <f>IF($A658="","",IFERROR(INDEX(SYZ_static!$S$2:$S$806,MATCH($A658,SYZ_static!$A$2:$A$806,0)),""))</f>
        <v/>
      </c>
      <c r="J658" s="17">
        <f>IF($A658="","",_xll.BDP($A658&amp;" Corp","PAYMENT_RANK"))</f>
        <v/>
      </c>
      <c r="K658" s="18">
        <f>IF($A658="","",_xll.BDP($A658&amp;" Corp","CPN"))</f>
        <v/>
      </c>
      <c r="L658" s="19">
        <f>IF($A658="","",_xll.BDP($A658&amp;" Corp","MATURITY"))</f>
        <v/>
      </c>
      <c r="M658" s="20">
        <f>IF($A658="","",IFERROR(_xll.BDP($A658&amp;" Corp","MIN_PIECE")/1000,""))</f>
        <v/>
      </c>
      <c r="N658" s="21">
        <f>IF($A658="","",_xll.BDP($A658&amp;" Corp","PX_LAST"))</f>
        <v/>
      </c>
      <c r="O658" s="21">
        <f>IF($A658="","",_xll.BDP($A658&amp;" Corp","YAS_BOND_YLD","YAS_YLD_FLAG=15"))</f>
        <v/>
      </c>
      <c r="P658" s="21">
        <f>IF($A658="","",_xll.BDP($A658&amp;" Corp","YAS_MOD_DUR"))</f>
        <v/>
      </c>
      <c r="Q658" s="22">
        <f>IF($A658="","",_xll.BDP($A658&amp;" Corp","YAS_OAS_SPRD"))</f>
        <v/>
      </c>
      <c r="R658" s="22">
        <f>IF($A658="","",_xll.BDP($A658&amp;" Corp","YAS_OAS_SPRD","SETTLE_DT",$B$2))</f>
        <v/>
      </c>
      <c r="S658" s="23">
        <f>IF($A658="","",IF(OR(NOT(ISNUMBER($Q658)),NOT(ISNUMBER($R658))),"",$Q658-$R658))</f>
        <v/>
      </c>
      <c r="T658" s="21">
        <f>IF($A658="","",_xll.BDP($A658&amp;" Corp","YAS_BOND_YLD","YAS_YLD_FLAG=15","SETTLE_DT",$B$2))</f>
        <v/>
      </c>
      <c r="U658" s="24">
        <f>IF($A658="","",IF(OR(NOT(ISNUMBER($O658)),NOT(ISNUMBER($T658))),"",$O658-$T658))</f>
        <v/>
      </c>
      <c r="V658" s="22">
        <f>IF(NOT(ISNUMBER($S658)),"",COUNTIFS($G$7:$G$850,$G658,$S$7:$S$850,"&gt;"&amp;$S658)+COUNTIFS($G$7:$G658,$G658,$S$7:$S658,$S658))</f>
        <v/>
      </c>
      <c r="W658" s="22">
        <f>IF(NOT(ISNUMBER($S658)),"",COUNTIFS($G$7:$G$850,$G658,$S$7:$S$850,"&lt;"&amp;$S658)+COUNTIFS($G$7:$G658,$G658,$S$7:$S658,$S658))</f>
        <v/>
      </c>
      <c r="X658" s="17">
        <f>IF($V658="","",$G658&amp;"|"&amp;$V658)</f>
        <v/>
      </c>
      <c r="Y658" s="17">
        <f>IF($W658="","",$G658&amp;"|"&amp;$W658)</f>
        <v/>
      </c>
    </row>
    <row r="659">
      <c r="A659" s="7" t="inlineStr">
        <is>
          <t>CH1189217990</t>
        </is>
      </c>
      <c r="B659" s="8">
        <f>IF($A659="","",PROPER(_xll.BDP($A659&amp;" Corp","NAME")))</f>
        <v/>
      </c>
      <c r="C659" s="8">
        <f>IF($A659="","",IFERROR(INDEX(Company_desc!$B$2:$B$1144,MATCH($A659,Company_desc!$A$2:$A$1144,0)),IFERROR(INDEX(SYZ_static!$Q$2:$Q$806,MATCH($A659,SYZ_static!$A$2:$A$806,0)),"")))</f>
        <v/>
      </c>
      <c r="D659" s="8">
        <f>IF($A659="","",IFERROR(INDEX(SYZ_static!$B$2:$B$806,MATCH($A659,SYZ_static!$A$2:$A$806,0)),""))</f>
        <v/>
      </c>
      <c r="E659" s="8">
        <f>IF($A659="","",_xll.BDP($A659&amp;" Corp","INDUSTRY_SECTOR"))</f>
        <v/>
      </c>
      <c r="F659" s="8">
        <f>IF($A659="","",PROPER(_xll.BDP($A659&amp;" Corp","COUNTRY_FULL_NAME")))</f>
        <v/>
      </c>
      <c r="G659" s="8">
        <f>IF($A659="","",_xll.BDP($A659&amp;" Corp","CRNCY"))</f>
        <v/>
      </c>
      <c r="H659" s="8">
        <f>IF($A659="","",IFERROR(INDEX(SYZ_static!$T$2:$T$806,MATCH($A659,SYZ_static!$A$2:$A$806,0)),_xll.BDP($A659&amp;" Corp","RTG_SP")))</f>
        <v/>
      </c>
      <c r="I659" s="8">
        <f>IF($A659="","",IFERROR(INDEX(SYZ_static!$S$2:$S$806,MATCH($A659,SYZ_static!$A$2:$A$806,0)),""))</f>
        <v/>
      </c>
      <c r="J659" s="8">
        <f>IF($A659="","",_xll.BDP($A659&amp;" Corp","PAYMENT_RANK"))</f>
        <v/>
      </c>
      <c r="K659" s="9">
        <f>IF($A659="","",_xll.BDP($A659&amp;" Corp","CPN"))</f>
        <v/>
      </c>
      <c r="L659" s="10">
        <f>IF($A659="","",_xll.BDP($A659&amp;" Corp","MATURITY"))</f>
        <v/>
      </c>
      <c r="M659" s="11">
        <f>IF($A659="","",IFERROR(_xll.BDP($A659&amp;" Corp","MIN_PIECE")/1000,""))</f>
        <v/>
      </c>
      <c r="N659" s="12">
        <f>IF($A659="","",_xll.BDP($A659&amp;" Corp","PX_LAST"))</f>
        <v/>
      </c>
      <c r="O659" s="12">
        <f>IF($A659="","",_xll.BDP($A659&amp;" Corp","YAS_BOND_YLD","YAS_YLD_FLAG=15"))</f>
        <v/>
      </c>
      <c r="P659" s="12">
        <f>IF($A659="","",_xll.BDP($A659&amp;" Corp","YAS_MOD_DUR"))</f>
        <v/>
      </c>
      <c r="Q659" s="13">
        <f>IF($A659="","",_xll.BDP($A659&amp;" Corp","YAS_OAS_SPRD"))</f>
        <v/>
      </c>
      <c r="R659" s="13">
        <f>IF($A659="","",_xll.BDP($A659&amp;" Corp","YAS_OAS_SPRD","SETTLE_DT",$B$2))</f>
        <v/>
      </c>
      <c r="S659" s="14">
        <f>IF($A659="","",IF(OR(NOT(ISNUMBER($Q659)),NOT(ISNUMBER($R659))),"",$Q659-$R659))</f>
        <v/>
      </c>
      <c r="T659" s="12">
        <f>IF($A659="","",_xll.BDP($A659&amp;" Corp","YAS_BOND_YLD","YAS_YLD_FLAG=15","SETTLE_DT",$B$2))</f>
        <v/>
      </c>
      <c r="U659" s="15">
        <f>IF($A659="","",IF(OR(NOT(ISNUMBER($O659)),NOT(ISNUMBER($T659))),"",$O659-$T659))</f>
        <v/>
      </c>
      <c r="V659" s="13">
        <f>IF(NOT(ISNUMBER($S659)),"",COUNTIFS($G$7:$G$850,$G659,$S$7:$S$850,"&gt;"&amp;$S659)+COUNTIFS($G$7:$G659,$G659,$S$7:$S659,$S659))</f>
        <v/>
      </c>
      <c r="W659" s="13">
        <f>IF(NOT(ISNUMBER($S659)),"",COUNTIFS($G$7:$G$850,$G659,$S$7:$S$850,"&lt;"&amp;$S659)+COUNTIFS($G$7:$G659,$G659,$S$7:$S659,$S659))</f>
        <v/>
      </c>
      <c r="X659" s="8">
        <f>IF($V659="","",$G659&amp;"|"&amp;$V659)</f>
        <v/>
      </c>
      <c r="Y659" s="8">
        <f>IF($W659="","",$G659&amp;"|"&amp;$W659)</f>
        <v/>
      </c>
    </row>
    <row r="660">
      <c r="A660" s="16" t="inlineStr">
        <is>
          <t>CH1228837865</t>
        </is>
      </c>
      <c r="B660" s="17">
        <f>IF($A660="","",PROPER(_xll.BDP($A660&amp;" Corp","NAME")))</f>
        <v/>
      </c>
      <c r="C660" s="17">
        <f>IF($A660="","",IFERROR(INDEX(Company_desc!$B$2:$B$1144,MATCH($A660,Company_desc!$A$2:$A$1144,0)),IFERROR(INDEX(SYZ_static!$Q$2:$Q$806,MATCH($A660,SYZ_static!$A$2:$A$806,0)),"")))</f>
        <v/>
      </c>
      <c r="D660" s="17">
        <f>IF($A660="","",IFERROR(INDEX(SYZ_static!$B$2:$B$806,MATCH($A660,SYZ_static!$A$2:$A$806,0)),""))</f>
        <v/>
      </c>
      <c r="E660" s="17">
        <f>IF($A660="","",_xll.BDP($A660&amp;" Corp","INDUSTRY_SECTOR"))</f>
        <v/>
      </c>
      <c r="F660" s="17">
        <f>IF($A660="","",PROPER(_xll.BDP($A660&amp;" Corp","COUNTRY_FULL_NAME")))</f>
        <v/>
      </c>
      <c r="G660" s="17">
        <f>IF($A660="","",_xll.BDP($A660&amp;" Corp","CRNCY"))</f>
        <v/>
      </c>
      <c r="H660" s="17">
        <f>IF($A660="","",IFERROR(INDEX(SYZ_static!$T$2:$T$806,MATCH($A660,SYZ_static!$A$2:$A$806,0)),_xll.BDP($A660&amp;" Corp","RTG_SP")))</f>
        <v/>
      </c>
      <c r="I660" s="17">
        <f>IF($A660="","",IFERROR(INDEX(SYZ_static!$S$2:$S$806,MATCH($A660,SYZ_static!$A$2:$A$806,0)),""))</f>
        <v/>
      </c>
      <c r="J660" s="17">
        <f>IF($A660="","",_xll.BDP($A660&amp;" Corp","PAYMENT_RANK"))</f>
        <v/>
      </c>
      <c r="K660" s="18">
        <f>IF($A660="","",_xll.BDP($A660&amp;" Corp","CPN"))</f>
        <v/>
      </c>
      <c r="L660" s="19">
        <f>IF($A660="","",_xll.BDP($A660&amp;" Corp","MATURITY"))</f>
        <v/>
      </c>
      <c r="M660" s="20">
        <f>IF($A660="","",IFERROR(_xll.BDP($A660&amp;" Corp","MIN_PIECE")/1000,""))</f>
        <v/>
      </c>
      <c r="N660" s="21">
        <f>IF($A660="","",_xll.BDP($A660&amp;" Corp","PX_LAST"))</f>
        <v/>
      </c>
      <c r="O660" s="21">
        <f>IF($A660="","",_xll.BDP($A660&amp;" Corp","YAS_BOND_YLD","YAS_YLD_FLAG=15"))</f>
        <v/>
      </c>
      <c r="P660" s="21">
        <f>IF($A660="","",_xll.BDP($A660&amp;" Corp","YAS_MOD_DUR"))</f>
        <v/>
      </c>
      <c r="Q660" s="22">
        <f>IF($A660="","",_xll.BDP($A660&amp;" Corp","YAS_OAS_SPRD"))</f>
        <v/>
      </c>
      <c r="R660" s="22">
        <f>IF($A660="","",_xll.BDP($A660&amp;" Corp","YAS_OAS_SPRD","SETTLE_DT",$B$2))</f>
        <v/>
      </c>
      <c r="S660" s="23">
        <f>IF($A660="","",IF(OR(NOT(ISNUMBER($Q660)),NOT(ISNUMBER($R660))),"",$Q660-$R660))</f>
        <v/>
      </c>
      <c r="T660" s="21">
        <f>IF($A660="","",_xll.BDP($A660&amp;" Corp","YAS_BOND_YLD","YAS_YLD_FLAG=15","SETTLE_DT",$B$2))</f>
        <v/>
      </c>
      <c r="U660" s="24">
        <f>IF($A660="","",IF(OR(NOT(ISNUMBER($O660)),NOT(ISNUMBER($T660))),"",$O660-$T660))</f>
        <v/>
      </c>
      <c r="V660" s="22">
        <f>IF(NOT(ISNUMBER($S660)),"",COUNTIFS($G$7:$G$850,$G660,$S$7:$S$850,"&gt;"&amp;$S660)+COUNTIFS($G$7:$G660,$G660,$S$7:$S660,$S660))</f>
        <v/>
      </c>
      <c r="W660" s="22">
        <f>IF(NOT(ISNUMBER($S660)),"",COUNTIFS($G$7:$G$850,$G660,$S$7:$S$850,"&lt;"&amp;$S660)+COUNTIFS($G$7:$G660,$G660,$S$7:$S660,$S660))</f>
        <v/>
      </c>
      <c r="X660" s="17">
        <f>IF($V660="","",$G660&amp;"|"&amp;$V660)</f>
        <v/>
      </c>
      <c r="Y660" s="17">
        <f>IF($W660="","",$G660&amp;"|"&amp;$W660)</f>
        <v/>
      </c>
    </row>
    <row r="661">
      <c r="A661" s="7" t="inlineStr">
        <is>
          <t>XS2482872251</t>
        </is>
      </c>
      <c r="B661" s="8">
        <f>IF($A661="","",PROPER(_xll.BDP($A661&amp;" Corp","NAME")))</f>
        <v/>
      </c>
      <c r="C661" s="8">
        <f>IF($A661="","",IFERROR(INDEX(Company_desc!$B$2:$B$1144,MATCH($A661,Company_desc!$A$2:$A$1144,0)),IFERROR(INDEX(SYZ_static!$Q$2:$Q$806,MATCH($A661,SYZ_static!$A$2:$A$806,0)),"")))</f>
        <v/>
      </c>
      <c r="D661" s="8">
        <f>IF($A661="","",IFERROR(INDEX(SYZ_static!$B$2:$B$806,MATCH($A661,SYZ_static!$A$2:$A$806,0)),""))</f>
        <v/>
      </c>
      <c r="E661" s="8">
        <f>IF($A661="","",_xll.BDP($A661&amp;" Corp","INDUSTRY_SECTOR"))</f>
        <v/>
      </c>
      <c r="F661" s="8">
        <f>IF($A661="","",PROPER(_xll.BDP($A661&amp;" Corp","COUNTRY_FULL_NAME")))</f>
        <v/>
      </c>
      <c r="G661" s="8">
        <f>IF($A661="","",_xll.BDP($A661&amp;" Corp","CRNCY"))</f>
        <v/>
      </c>
      <c r="H661" s="8">
        <f>IF($A661="","",IFERROR(INDEX(SYZ_static!$T$2:$T$806,MATCH($A661,SYZ_static!$A$2:$A$806,0)),_xll.BDP($A661&amp;" Corp","RTG_SP")))</f>
        <v/>
      </c>
      <c r="I661" s="8">
        <f>IF($A661="","",IFERROR(INDEX(SYZ_static!$S$2:$S$806,MATCH($A661,SYZ_static!$A$2:$A$806,0)),""))</f>
        <v/>
      </c>
      <c r="J661" s="8">
        <f>IF($A661="","",_xll.BDP($A661&amp;" Corp","PAYMENT_RANK"))</f>
        <v/>
      </c>
      <c r="K661" s="9">
        <f>IF($A661="","",_xll.BDP($A661&amp;" Corp","CPN"))</f>
        <v/>
      </c>
      <c r="L661" s="10">
        <f>IF($A661="","",_xll.BDP($A661&amp;" Corp","MATURITY"))</f>
        <v/>
      </c>
      <c r="M661" s="11">
        <f>IF($A661="","",IFERROR(_xll.BDP($A661&amp;" Corp","MIN_PIECE")/1000,""))</f>
        <v/>
      </c>
      <c r="N661" s="12">
        <f>IF($A661="","",_xll.BDP($A661&amp;" Corp","PX_LAST"))</f>
        <v/>
      </c>
      <c r="O661" s="12">
        <f>IF($A661="","",_xll.BDP($A661&amp;" Corp","YAS_BOND_YLD","YAS_YLD_FLAG=15"))</f>
        <v/>
      </c>
      <c r="P661" s="12">
        <f>IF($A661="","",_xll.BDP($A661&amp;" Corp","YAS_MOD_DUR"))</f>
        <v/>
      </c>
      <c r="Q661" s="13">
        <f>IF($A661="","",_xll.BDP($A661&amp;" Corp","YAS_OAS_SPRD"))</f>
        <v/>
      </c>
      <c r="R661" s="13">
        <f>IF($A661="","",_xll.BDP($A661&amp;" Corp","YAS_OAS_SPRD","SETTLE_DT",$B$2))</f>
        <v/>
      </c>
      <c r="S661" s="14">
        <f>IF($A661="","",IF(OR(NOT(ISNUMBER($Q661)),NOT(ISNUMBER($R661))),"",$Q661-$R661))</f>
        <v/>
      </c>
      <c r="T661" s="12">
        <f>IF($A661="","",_xll.BDP($A661&amp;" Corp","YAS_BOND_YLD","YAS_YLD_FLAG=15","SETTLE_DT",$B$2))</f>
        <v/>
      </c>
      <c r="U661" s="15">
        <f>IF($A661="","",IF(OR(NOT(ISNUMBER($O661)),NOT(ISNUMBER($T661))),"",$O661-$T661))</f>
        <v/>
      </c>
      <c r="V661" s="13">
        <f>IF(NOT(ISNUMBER($S661)),"",COUNTIFS($G$7:$G$850,$G661,$S$7:$S$850,"&gt;"&amp;$S661)+COUNTIFS($G$7:$G661,$G661,$S$7:$S661,$S661))</f>
        <v/>
      </c>
      <c r="W661" s="13">
        <f>IF(NOT(ISNUMBER($S661)),"",COUNTIFS($G$7:$G$850,$G661,$S$7:$S$850,"&lt;"&amp;$S661)+COUNTIFS($G$7:$G661,$G661,$S$7:$S661,$S661))</f>
        <v/>
      </c>
      <c r="X661" s="8">
        <f>IF($V661="","",$G661&amp;"|"&amp;$V661)</f>
        <v/>
      </c>
      <c r="Y661" s="8">
        <f>IF($W661="","",$G661&amp;"|"&amp;$W661)</f>
        <v/>
      </c>
    </row>
    <row r="662">
      <c r="A662" s="16" t="inlineStr">
        <is>
          <t>US254687FL52</t>
        </is>
      </c>
      <c r="B662" s="17">
        <f>IF($A662="","",PROPER(_xll.BDP($A662&amp;" Corp","NAME")))</f>
        <v/>
      </c>
      <c r="C662" s="17">
        <f>IF($A662="","",IFERROR(INDEX(Company_desc!$B$2:$B$1144,MATCH($A662,Company_desc!$A$2:$A$1144,0)),IFERROR(INDEX(SYZ_static!$Q$2:$Q$806,MATCH($A662,SYZ_static!$A$2:$A$806,0)),"")))</f>
        <v/>
      </c>
      <c r="D662" s="17">
        <f>IF($A662="","",IFERROR(INDEX(SYZ_static!$B$2:$B$806,MATCH($A662,SYZ_static!$A$2:$A$806,0)),""))</f>
        <v/>
      </c>
      <c r="E662" s="17">
        <f>IF($A662="","",_xll.BDP($A662&amp;" Corp","INDUSTRY_SECTOR"))</f>
        <v/>
      </c>
      <c r="F662" s="17">
        <f>IF($A662="","",PROPER(_xll.BDP($A662&amp;" Corp","COUNTRY_FULL_NAME")))</f>
        <v/>
      </c>
      <c r="G662" s="17">
        <f>IF($A662="","",_xll.BDP($A662&amp;" Corp","CRNCY"))</f>
        <v/>
      </c>
      <c r="H662" s="17">
        <f>IF($A662="","",IFERROR(INDEX(SYZ_static!$T$2:$T$806,MATCH($A662,SYZ_static!$A$2:$A$806,0)),_xll.BDP($A662&amp;" Corp","RTG_SP")))</f>
        <v/>
      </c>
      <c r="I662" s="17">
        <f>IF($A662="","",IFERROR(INDEX(SYZ_static!$S$2:$S$806,MATCH($A662,SYZ_static!$A$2:$A$806,0)),""))</f>
        <v/>
      </c>
      <c r="J662" s="17">
        <f>IF($A662="","",_xll.BDP($A662&amp;" Corp","PAYMENT_RANK"))</f>
        <v/>
      </c>
      <c r="K662" s="18">
        <f>IF($A662="","",_xll.BDP($A662&amp;" Corp","CPN"))</f>
        <v/>
      </c>
      <c r="L662" s="19">
        <f>IF($A662="","",_xll.BDP($A662&amp;" Corp","MATURITY"))</f>
        <v/>
      </c>
      <c r="M662" s="20">
        <f>IF($A662="","",IFERROR(_xll.BDP($A662&amp;" Corp","MIN_PIECE")/1000,""))</f>
        <v/>
      </c>
      <c r="N662" s="21">
        <f>IF($A662="","",_xll.BDP($A662&amp;" Corp","PX_LAST"))</f>
        <v/>
      </c>
      <c r="O662" s="21">
        <f>IF($A662="","",_xll.BDP($A662&amp;" Corp","YAS_BOND_YLD","YAS_YLD_FLAG=15"))</f>
        <v/>
      </c>
      <c r="P662" s="21">
        <f>IF($A662="","",_xll.BDP($A662&amp;" Corp","YAS_MOD_DUR"))</f>
        <v/>
      </c>
      <c r="Q662" s="22">
        <f>IF($A662="","",_xll.BDP($A662&amp;" Corp","YAS_OAS_SPRD"))</f>
        <v/>
      </c>
      <c r="R662" s="22">
        <f>IF($A662="","",_xll.BDP($A662&amp;" Corp","YAS_OAS_SPRD","SETTLE_DT",$B$2))</f>
        <v/>
      </c>
      <c r="S662" s="23">
        <f>IF($A662="","",IF(OR(NOT(ISNUMBER($Q662)),NOT(ISNUMBER($R662))),"",$Q662-$R662))</f>
        <v/>
      </c>
      <c r="T662" s="21">
        <f>IF($A662="","",_xll.BDP($A662&amp;" Corp","YAS_BOND_YLD","YAS_YLD_FLAG=15","SETTLE_DT",$B$2))</f>
        <v/>
      </c>
      <c r="U662" s="24">
        <f>IF($A662="","",IF(OR(NOT(ISNUMBER($O662)),NOT(ISNUMBER($T662))),"",$O662-$T662))</f>
        <v/>
      </c>
      <c r="V662" s="22">
        <f>IF(NOT(ISNUMBER($S662)),"",COUNTIFS($G$7:$G$850,$G662,$S$7:$S$850,"&gt;"&amp;$S662)+COUNTIFS($G$7:$G662,$G662,$S$7:$S662,$S662))</f>
        <v/>
      </c>
      <c r="W662" s="22">
        <f>IF(NOT(ISNUMBER($S662)),"",COUNTIFS($G$7:$G$850,$G662,$S$7:$S$850,"&lt;"&amp;$S662)+COUNTIFS($G$7:$G662,$G662,$S$7:$S662,$S662))</f>
        <v/>
      </c>
      <c r="X662" s="17">
        <f>IF($V662="","",$G662&amp;"|"&amp;$V662)</f>
        <v/>
      </c>
      <c r="Y662" s="17">
        <f>IF($W662="","",$G662&amp;"|"&amp;$W662)</f>
        <v/>
      </c>
    </row>
    <row r="663">
      <c r="A663" s="7" t="inlineStr">
        <is>
          <t>XS2820455678</t>
        </is>
      </c>
      <c r="B663" s="8">
        <f>IF($A663="","",PROPER(_xll.BDP($A663&amp;" Corp","NAME")))</f>
        <v/>
      </c>
      <c r="C663" s="8">
        <f>IF($A663="","",IFERROR(INDEX(Company_desc!$B$2:$B$1144,MATCH($A663,Company_desc!$A$2:$A$1144,0)),IFERROR(INDEX(SYZ_static!$Q$2:$Q$806,MATCH($A663,SYZ_static!$A$2:$A$806,0)),"")))</f>
        <v/>
      </c>
      <c r="D663" s="8">
        <f>IF($A663="","",IFERROR(INDEX(SYZ_static!$B$2:$B$806,MATCH($A663,SYZ_static!$A$2:$A$806,0)),""))</f>
        <v/>
      </c>
      <c r="E663" s="8">
        <f>IF($A663="","",_xll.BDP($A663&amp;" Corp","INDUSTRY_SECTOR"))</f>
        <v/>
      </c>
      <c r="F663" s="8">
        <f>IF($A663="","",PROPER(_xll.BDP($A663&amp;" Corp","COUNTRY_FULL_NAME")))</f>
        <v/>
      </c>
      <c r="G663" s="8">
        <f>IF($A663="","",_xll.BDP($A663&amp;" Corp","CRNCY"))</f>
        <v/>
      </c>
      <c r="H663" s="8">
        <f>IF($A663="","",IFERROR(INDEX(SYZ_static!$T$2:$T$806,MATCH($A663,SYZ_static!$A$2:$A$806,0)),_xll.BDP($A663&amp;" Corp","RTG_SP")))</f>
        <v/>
      </c>
      <c r="I663" s="8">
        <f>IF($A663="","",IFERROR(INDEX(SYZ_static!$S$2:$S$806,MATCH($A663,SYZ_static!$A$2:$A$806,0)),""))</f>
        <v/>
      </c>
      <c r="J663" s="8">
        <f>IF($A663="","",_xll.BDP($A663&amp;" Corp","PAYMENT_RANK"))</f>
        <v/>
      </c>
      <c r="K663" s="9">
        <f>IF($A663="","",_xll.BDP($A663&amp;" Corp","CPN"))</f>
        <v/>
      </c>
      <c r="L663" s="10">
        <f>IF($A663="","",_xll.BDP($A663&amp;" Corp","MATURITY"))</f>
        <v/>
      </c>
      <c r="M663" s="11">
        <f>IF($A663="","",IFERROR(_xll.BDP($A663&amp;" Corp","MIN_PIECE")/1000,""))</f>
        <v/>
      </c>
      <c r="N663" s="12">
        <f>IF($A663="","",_xll.BDP($A663&amp;" Corp","PX_LAST"))</f>
        <v/>
      </c>
      <c r="O663" s="12">
        <f>IF($A663="","",_xll.BDP($A663&amp;" Corp","YAS_BOND_YLD","YAS_YLD_FLAG=15"))</f>
        <v/>
      </c>
      <c r="P663" s="12">
        <f>IF($A663="","",_xll.BDP($A663&amp;" Corp","YAS_MOD_DUR"))</f>
        <v/>
      </c>
      <c r="Q663" s="13">
        <f>IF($A663="","",_xll.BDP($A663&amp;" Corp","YAS_OAS_SPRD"))</f>
        <v/>
      </c>
      <c r="R663" s="13">
        <f>IF($A663="","",_xll.BDP($A663&amp;" Corp","YAS_OAS_SPRD","SETTLE_DT",$B$2))</f>
        <v/>
      </c>
      <c r="S663" s="14">
        <f>IF($A663="","",IF(OR(NOT(ISNUMBER($Q663)),NOT(ISNUMBER($R663))),"",$Q663-$R663))</f>
        <v/>
      </c>
      <c r="T663" s="12">
        <f>IF($A663="","",_xll.BDP($A663&amp;" Corp","YAS_BOND_YLD","YAS_YLD_FLAG=15","SETTLE_DT",$B$2))</f>
        <v/>
      </c>
      <c r="U663" s="15">
        <f>IF($A663="","",IF(OR(NOT(ISNUMBER($O663)),NOT(ISNUMBER($T663))),"",$O663-$T663))</f>
        <v/>
      </c>
      <c r="V663" s="13">
        <f>IF(NOT(ISNUMBER($S663)),"",COUNTIFS($G$7:$G$850,$G663,$S$7:$S$850,"&gt;"&amp;$S663)+COUNTIFS($G$7:$G663,$G663,$S$7:$S663,$S663))</f>
        <v/>
      </c>
      <c r="W663" s="13">
        <f>IF(NOT(ISNUMBER($S663)),"",COUNTIFS($G$7:$G$850,$G663,$S$7:$S$850,"&lt;"&amp;$S663)+COUNTIFS($G$7:$G663,$G663,$S$7:$S663,$S663))</f>
        <v/>
      </c>
      <c r="X663" s="8">
        <f>IF($V663="","",$G663&amp;"|"&amp;$V663)</f>
        <v/>
      </c>
      <c r="Y663" s="8">
        <f>IF($W663="","",$G663&amp;"|"&amp;$W663)</f>
        <v/>
      </c>
    </row>
    <row r="664">
      <c r="A664" s="16" t="inlineStr">
        <is>
          <t>FR001400F6V1</t>
        </is>
      </c>
      <c r="B664" s="17">
        <f>IF($A664="","",PROPER(_xll.BDP($A664&amp;" Corp","NAME")))</f>
        <v/>
      </c>
      <c r="C664" s="17">
        <f>IF($A664="","",IFERROR(INDEX(Company_desc!$B$2:$B$1144,MATCH($A664,Company_desc!$A$2:$A$1144,0)),IFERROR(INDEX(SYZ_static!$Q$2:$Q$806,MATCH($A664,SYZ_static!$A$2:$A$806,0)),"")))</f>
        <v/>
      </c>
      <c r="D664" s="17">
        <f>IF($A664="","",IFERROR(INDEX(SYZ_static!$B$2:$B$806,MATCH($A664,SYZ_static!$A$2:$A$806,0)),""))</f>
        <v/>
      </c>
      <c r="E664" s="17">
        <f>IF($A664="","",_xll.BDP($A664&amp;" Corp","INDUSTRY_SECTOR"))</f>
        <v/>
      </c>
      <c r="F664" s="17">
        <f>IF($A664="","",PROPER(_xll.BDP($A664&amp;" Corp","COUNTRY_FULL_NAME")))</f>
        <v/>
      </c>
      <c r="G664" s="17">
        <f>IF($A664="","",_xll.BDP($A664&amp;" Corp","CRNCY"))</f>
        <v/>
      </c>
      <c r="H664" s="17">
        <f>IF($A664="","",IFERROR(INDEX(SYZ_static!$T$2:$T$806,MATCH($A664,SYZ_static!$A$2:$A$806,0)),_xll.BDP($A664&amp;" Corp","RTG_SP")))</f>
        <v/>
      </c>
      <c r="I664" s="17">
        <f>IF($A664="","",IFERROR(INDEX(SYZ_static!$S$2:$S$806,MATCH($A664,SYZ_static!$A$2:$A$806,0)),""))</f>
        <v/>
      </c>
      <c r="J664" s="17">
        <f>IF($A664="","",_xll.BDP($A664&amp;" Corp","PAYMENT_RANK"))</f>
        <v/>
      </c>
      <c r="K664" s="18">
        <f>IF($A664="","",_xll.BDP($A664&amp;" Corp","CPN"))</f>
        <v/>
      </c>
      <c r="L664" s="19">
        <f>IF($A664="","",_xll.BDP($A664&amp;" Corp","MATURITY"))</f>
        <v/>
      </c>
      <c r="M664" s="20">
        <f>IF($A664="","",IFERROR(_xll.BDP($A664&amp;" Corp","MIN_PIECE")/1000,""))</f>
        <v/>
      </c>
      <c r="N664" s="21">
        <f>IF($A664="","",_xll.BDP($A664&amp;" Corp","PX_LAST"))</f>
        <v/>
      </c>
      <c r="O664" s="21">
        <f>IF($A664="","",_xll.BDP($A664&amp;" Corp","YAS_BOND_YLD","YAS_YLD_FLAG=15"))</f>
        <v/>
      </c>
      <c r="P664" s="21">
        <f>IF($A664="","",_xll.BDP($A664&amp;" Corp","YAS_MOD_DUR"))</f>
        <v/>
      </c>
      <c r="Q664" s="22">
        <f>IF($A664="","",_xll.BDP($A664&amp;" Corp","YAS_OAS_SPRD"))</f>
        <v/>
      </c>
      <c r="R664" s="22">
        <f>IF($A664="","",_xll.BDP($A664&amp;" Corp","YAS_OAS_SPRD","SETTLE_DT",$B$2))</f>
        <v/>
      </c>
      <c r="S664" s="23">
        <f>IF($A664="","",IF(OR(NOT(ISNUMBER($Q664)),NOT(ISNUMBER($R664))),"",$Q664-$R664))</f>
        <v/>
      </c>
      <c r="T664" s="21">
        <f>IF($A664="","",_xll.BDP($A664&amp;" Corp","YAS_BOND_YLD","YAS_YLD_FLAG=15","SETTLE_DT",$B$2))</f>
        <v/>
      </c>
      <c r="U664" s="24">
        <f>IF($A664="","",IF(OR(NOT(ISNUMBER($O664)),NOT(ISNUMBER($T664))),"",$O664-$T664))</f>
        <v/>
      </c>
      <c r="V664" s="22">
        <f>IF(NOT(ISNUMBER($S664)),"",COUNTIFS($G$7:$G$850,$G664,$S$7:$S$850,"&gt;"&amp;$S664)+COUNTIFS($G$7:$G664,$G664,$S$7:$S664,$S664))</f>
        <v/>
      </c>
      <c r="W664" s="22">
        <f>IF(NOT(ISNUMBER($S664)),"",COUNTIFS($G$7:$G$850,$G664,$S$7:$S$850,"&lt;"&amp;$S664)+COUNTIFS($G$7:$G664,$G664,$S$7:$S664,$S664))</f>
        <v/>
      </c>
      <c r="X664" s="17">
        <f>IF($V664="","",$G664&amp;"|"&amp;$V664)</f>
        <v/>
      </c>
      <c r="Y664" s="17">
        <f>IF($W664="","",$G664&amp;"|"&amp;$W664)</f>
        <v/>
      </c>
    </row>
    <row r="665">
      <c r="A665" s="7" t="inlineStr">
        <is>
          <t>US532457CV84</t>
        </is>
      </c>
      <c r="B665" s="8">
        <f>IF($A665="","",PROPER(_xll.BDP($A665&amp;" Corp","NAME")))</f>
        <v/>
      </c>
      <c r="C665" s="8">
        <f>IF($A665="","",IFERROR(INDEX(Company_desc!$B$2:$B$1144,MATCH($A665,Company_desc!$A$2:$A$1144,0)),IFERROR(INDEX(SYZ_static!$Q$2:$Q$806,MATCH($A665,SYZ_static!$A$2:$A$806,0)),"")))</f>
        <v/>
      </c>
      <c r="D665" s="8">
        <f>IF($A665="","",IFERROR(INDEX(SYZ_static!$B$2:$B$806,MATCH($A665,SYZ_static!$A$2:$A$806,0)),""))</f>
        <v/>
      </c>
      <c r="E665" s="8">
        <f>IF($A665="","",_xll.BDP($A665&amp;" Corp","INDUSTRY_SECTOR"))</f>
        <v/>
      </c>
      <c r="F665" s="8">
        <f>IF($A665="","",PROPER(_xll.BDP($A665&amp;" Corp","COUNTRY_FULL_NAME")))</f>
        <v/>
      </c>
      <c r="G665" s="8">
        <f>IF($A665="","",_xll.BDP($A665&amp;" Corp","CRNCY"))</f>
        <v/>
      </c>
      <c r="H665" s="8">
        <f>IF($A665="","",IFERROR(INDEX(SYZ_static!$T$2:$T$806,MATCH($A665,SYZ_static!$A$2:$A$806,0)),_xll.BDP($A665&amp;" Corp","RTG_SP")))</f>
        <v/>
      </c>
      <c r="I665" s="8">
        <f>IF($A665="","",IFERROR(INDEX(SYZ_static!$S$2:$S$806,MATCH($A665,SYZ_static!$A$2:$A$806,0)),""))</f>
        <v/>
      </c>
      <c r="J665" s="8">
        <f>IF($A665="","",_xll.BDP($A665&amp;" Corp","PAYMENT_RANK"))</f>
        <v/>
      </c>
      <c r="K665" s="9">
        <f>IF($A665="","",_xll.BDP($A665&amp;" Corp","CPN"))</f>
        <v/>
      </c>
      <c r="L665" s="10">
        <f>IF($A665="","",_xll.BDP($A665&amp;" Corp","MATURITY"))</f>
        <v/>
      </c>
      <c r="M665" s="11">
        <f>IF($A665="","",IFERROR(_xll.BDP($A665&amp;" Corp","MIN_PIECE")/1000,""))</f>
        <v/>
      </c>
      <c r="N665" s="12">
        <f>IF($A665="","",_xll.BDP($A665&amp;" Corp","PX_LAST"))</f>
        <v/>
      </c>
      <c r="O665" s="12">
        <f>IF($A665="","",_xll.BDP($A665&amp;" Corp","YAS_BOND_YLD","YAS_YLD_FLAG=15"))</f>
        <v/>
      </c>
      <c r="P665" s="12">
        <f>IF($A665="","",_xll.BDP($A665&amp;" Corp","YAS_MOD_DUR"))</f>
        <v/>
      </c>
      <c r="Q665" s="13">
        <f>IF($A665="","",_xll.BDP($A665&amp;" Corp","YAS_OAS_SPRD"))</f>
        <v/>
      </c>
      <c r="R665" s="13">
        <f>IF($A665="","",_xll.BDP($A665&amp;" Corp","YAS_OAS_SPRD","SETTLE_DT",$B$2))</f>
        <v/>
      </c>
      <c r="S665" s="14">
        <f>IF($A665="","",IF(OR(NOT(ISNUMBER($Q665)),NOT(ISNUMBER($R665))),"",$Q665-$R665))</f>
        <v/>
      </c>
      <c r="T665" s="12">
        <f>IF($A665="","",_xll.BDP($A665&amp;" Corp","YAS_BOND_YLD","YAS_YLD_FLAG=15","SETTLE_DT",$B$2))</f>
        <v/>
      </c>
      <c r="U665" s="15">
        <f>IF($A665="","",IF(OR(NOT(ISNUMBER($O665)),NOT(ISNUMBER($T665))),"",$O665-$T665))</f>
        <v/>
      </c>
      <c r="V665" s="13">
        <f>IF(NOT(ISNUMBER($S665)),"",COUNTIFS($G$7:$G$850,$G665,$S$7:$S$850,"&gt;"&amp;$S665)+COUNTIFS($G$7:$G665,$G665,$S$7:$S665,$S665))</f>
        <v/>
      </c>
      <c r="W665" s="13">
        <f>IF(NOT(ISNUMBER($S665)),"",COUNTIFS($G$7:$G$850,$G665,$S$7:$S$850,"&lt;"&amp;$S665)+COUNTIFS($G$7:$G665,$G665,$S$7:$S665,$S665))</f>
        <v/>
      </c>
      <c r="X665" s="8">
        <f>IF($V665="","",$G665&amp;"|"&amp;$V665)</f>
        <v/>
      </c>
      <c r="Y665" s="8">
        <f>IF($W665="","",$G665&amp;"|"&amp;$W665)</f>
        <v/>
      </c>
    </row>
    <row r="666">
      <c r="A666" s="16" t="inlineStr">
        <is>
          <t>US06051GLE79</t>
        </is>
      </c>
      <c r="B666" s="17">
        <f>IF($A666="","",PROPER(_xll.BDP($A666&amp;" Corp","NAME")))</f>
        <v/>
      </c>
      <c r="C666" s="17">
        <f>IF($A666="","",IFERROR(INDEX(Company_desc!$B$2:$B$1144,MATCH($A666,Company_desc!$A$2:$A$1144,0)),IFERROR(INDEX(SYZ_static!$Q$2:$Q$806,MATCH($A666,SYZ_static!$A$2:$A$806,0)),"")))</f>
        <v/>
      </c>
      <c r="D666" s="17">
        <f>IF($A666="","",IFERROR(INDEX(SYZ_static!$B$2:$B$806,MATCH($A666,SYZ_static!$A$2:$A$806,0)),""))</f>
        <v/>
      </c>
      <c r="E666" s="17">
        <f>IF($A666="","",_xll.BDP($A666&amp;" Corp","INDUSTRY_SECTOR"))</f>
        <v/>
      </c>
      <c r="F666" s="17">
        <f>IF($A666="","",PROPER(_xll.BDP($A666&amp;" Corp","COUNTRY_FULL_NAME")))</f>
        <v/>
      </c>
      <c r="G666" s="17">
        <f>IF($A666="","",_xll.BDP($A666&amp;" Corp","CRNCY"))</f>
        <v/>
      </c>
      <c r="H666" s="17">
        <f>IF($A666="","",IFERROR(INDEX(SYZ_static!$T$2:$T$806,MATCH($A666,SYZ_static!$A$2:$A$806,0)),_xll.BDP($A666&amp;" Corp","RTG_SP")))</f>
        <v/>
      </c>
      <c r="I666" s="17">
        <f>IF($A666="","",IFERROR(INDEX(SYZ_static!$S$2:$S$806,MATCH($A666,SYZ_static!$A$2:$A$806,0)),""))</f>
        <v/>
      </c>
      <c r="J666" s="17">
        <f>IF($A666="","",_xll.BDP($A666&amp;" Corp","PAYMENT_RANK"))</f>
        <v/>
      </c>
      <c r="K666" s="18">
        <f>IF($A666="","",_xll.BDP($A666&amp;" Corp","CPN"))</f>
        <v/>
      </c>
      <c r="L666" s="19">
        <f>IF($A666="","",_xll.BDP($A666&amp;" Corp","MATURITY"))</f>
        <v/>
      </c>
      <c r="M666" s="20">
        <f>IF($A666="","",IFERROR(_xll.BDP($A666&amp;" Corp","MIN_PIECE")/1000,""))</f>
        <v/>
      </c>
      <c r="N666" s="21">
        <f>IF($A666="","",_xll.BDP($A666&amp;" Corp","PX_LAST"))</f>
        <v/>
      </c>
      <c r="O666" s="21">
        <f>IF($A666="","",_xll.BDP($A666&amp;" Corp","YAS_BOND_YLD","YAS_YLD_FLAG=15"))</f>
        <v/>
      </c>
      <c r="P666" s="21">
        <f>IF($A666="","",_xll.BDP($A666&amp;" Corp","YAS_MOD_DUR"))</f>
        <v/>
      </c>
      <c r="Q666" s="22">
        <f>IF($A666="","",_xll.BDP($A666&amp;" Corp","YAS_OAS_SPRD"))</f>
        <v/>
      </c>
      <c r="R666" s="22">
        <f>IF($A666="","",_xll.BDP($A666&amp;" Corp","YAS_OAS_SPRD","SETTLE_DT",$B$2))</f>
        <v/>
      </c>
      <c r="S666" s="23">
        <f>IF($A666="","",IF(OR(NOT(ISNUMBER($Q666)),NOT(ISNUMBER($R666))),"",$Q666-$R666))</f>
        <v/>
      </c>
      <c r="T666" s="21">
        <f>IF($A666="","",_xll.BDP($A666&amp;" Corp","YAS_BOND_YLD","YAS_YLD_FLAG=15","SETTLE_DT",$B$2))</f>
        <v/>
      </c>
      <c r="U666" s="24">
        <f>IF($A666="","",IF(OR(NOT(ISNUMBER($O666)),NOT(ISNUMBER($T666))),"",$O666-$T666))</f>
        <v/>
      </c>
      <c r="V666" s="22">
        <f>IF(NOT(ISNUMBER($S666)),"",COUNTIFS($G$7:$G$850,$G666,$S$7:$S$850,"&gt;"&amp;$S666)+COUNTIFS($G$7:$G666,$G666,$S$7:$S666,$S666))</f>
        <v/>
      </c>
      <c r="W666" s="22">
        <f>IF(NOT(ISNUMBER($S666)),"",COUNTIFS($G$7:$G$850,$G666,$S$7:$S$850,"&lt;"&amp;$S666)+COUNTIFS($G$7:$G666,$G666,$S$7:$S666,$S666))</f>
        <v/>
      </c>
      <c r="X666" s="17">
        <f>IF($V666="","",$G666&amp;"|"&amp;$V666)</f>
        <v/>
      </c>
      <c r="Y666" s="17">
        <f>IF($W666="","",$G666&amp;"|"&amp;$W666)</f>
        <v/>
      </c>
    </row>
    <row r="667">
      <c r="A667" s="7" t="inlineStr">
        <is>
          <t>FR001400G6E6</t>
        </is>
      </c>
      <c r="B667" s="8">
        <f>IF($A667="","",PROPER(_xll.BDP($A667&amp;" Corp","NAME")))</f>
        <v/>
      </c>
      <c r="C667" s="8">
        <f>IF($A667="","",IFERROR(INDEX(Company_desc!$B$2:$B$1144,MATCH($A667,Company_desc!$A$2:$A$1144,0)),IFERROR(INDEX(SYZ_static!$Q$2:$Q$806,MATCH($A667,SYZ_static!$A$2:$A$806,0)),"")))</f>
        <v/>
      </c>
      <c r="D667" s="8">
        <f>IF($A667="","",IFERROR(INDEX(SYZ_static!$B$2:$B$806,MATCH($A667,SYZ_static!$A$2:$A$806,0)),""))</f>
        <v/>
      </c>
      <c r="E667" s="8">
        <f>IF($A667="","",_xll.BDP($A667&amp;" Corp","INDUSTRY_SECTOR"))</f>
        <v/>
      </c>
      <c r="F667" s="8">
        <f>IF($A667="","",PROPER(_xll.BDP($A667&amp;" Corp","COUNTRY_FULL_NAME")))</f>
        <v/>
      </c>
      <c r="G667" s="8">
        <f>IF($A667="","",_xll.BDP($A667&amp;" Corp","CRNCY"))</f>
        <v/>
      </c>
      <c r="H667" s="8">
        <f>IF($A667="","",IFERROR(INDEX(SYZ_static!$T$2:$T$806,MATCH($A667,SYZ_static!$A$2:$A$806,0)),_xll.BDP($A667&amp;" Corp","RTG_SP")))</f>
        <v/>
      </c>
      <c r="I667" s="8">
        <f>IF($A667="","",IFERROR(INDEX(SYZ_static!$S$2:$S$806,MATCH($A667,SYZ_static!$A$2:$A$806,0)),""))</f>
        <v/>
      </c>
      <c r="J667" s="8">
        <f>IF($A667="","",_xll.BDP($A667&amp;" Corp","PAYMENT_RANK"))</f>
        <v/>
      </c>
      <c r="K667" s="9">
        <f>IF($A667="","",_xll.BDP($A667&amp;" Corp","CPN"))</f>
        <v/>
      </c>
      <c r="L667" s="10">
        <f>IF($A667="","",_xll.BDP($A667&amp;" Corp","MATURITY"))</f>
        <v/>
      </c>
      <c r="M667" s="11">
        <f>IF($A667="","",IFERROR(_xll.BDP($A667&amp;" Corp","MIN_PIECE")/1000,""))</f>
        <v/>
      </c>
      <c r="N667" s="12">
        <f>IF($A667="","",_xll.BDP($A667&amp;" Corp","PX_LAST"))</f>
        <v/>
      </c>
      <c r="O667" s="12">
        <f>IF($A667="","",_xll.BDP($A667&amp;" Corp","YAS_BOND_YLD","YAS_YLD_FLAG=15"))</f>
        <v/>
      </c>
      <c r="P667" s="12">
        <f>IF($A667="","",_xll.BDP($A667&amp;" Corp","YAS_MOD_DUR"))</f>
        <v/>
      </c>
      <c r="Q667" s="13">
        <f>IF($A667="","",_xll.BDP($A667&amp;" Corp","YAS_OAS_SPRD"))</f>
        <v/>
      </c>
      <c r="R667" s="13">
        <f>IF($A667="","",_xll.BDP($A667&amp;" Corp","YAS_OAS_SPRD","SETTLE_DT",$B$2))</f>
        <v/>
      </c>
      <c r="S667" s="14">
        <f>IF($A667="","",IF(OR(NOT(ISNUMBER($Q667)),NOT(ISNUMBER($R667))),"",$Q667-$R667))</f>
        <v/>
      </c>
      <c r="T667" s="12">
        <f>IF($A667="","",_xll.BDP($A667&amp;" Corp","YAS_BOND_YLD","YAS_YLD_FLAG=15","SETTLE_DT",$B$2))</f>
        <v/>
      </c>
      <c r="U667" s="15">
        <f>IF($A667="","",IF(OR(NOT(ISNUMBER($O667)),NOT(ISNUMBER($T667))),"",$O667-$T667))</f>
        <v/>
      </c>
      <c r="V667" s="13">
        <f>IF(NOT(ISNUMBER($S667)),"",COUNTIFS($G$7:$G$850,$G667,$S$7:$S$850,"&gt;"&amp;$S667)+COUNTIFS($G$7:$G667,$G667,$S$7:$S667,$S667))</f>
        <v/>
      </c>
      <c r="W667" s="13">
        <f>IF(NOT(ISNUMBER($S667)),"",COUNTIFS($G$7:$G$850,$G667,$S$7:$S$850,"&lt;"&amp;$S667)+COUNTIFS($G$7:$G667,$G667,$S$7:$S667,$S667))</f>
        <v/>
      </c>
      <c r="X667" s="8">
        <f>IF($V667="","",$G667&amp;"|"&amp;$V667)</f>
        <v/>
      </c>
      <c r="Y667" s="8">
        <f>IF($W667="","",$G667&amp;"|"&amp;$W667)</f>
        <v/>
      </c>
    </row>
    <row r="668">
      <c r="A668" s="16" t="inlineStr">
        <is>
          <t>XS1423753463</t>
        </is>
      </c>
      <c r="B668" s="17">
        <f>IF($A668="","",PROPER(_xll.BDP($A668&amp;" Corp","NAME")))</f>
        <v/>
      </c>
      <c r="C668" s="17">
        <f>IF($A668="","",IFERROR(INDEX(Company_desc!$B$2:$B$1144,MATCH($A668,Company_desc!$A$2:$A$1144,0)),IFERROR(INDEX(SYZ_static!$Q$2:$Q$806,MATCH($A668,SYZ_static!$A$2:$A$806,0)),"")))</f>
        <v/>
      </c>
      <c r="D668" s="17">
        <f>IF($A668="","",IFERROR(INDEX(SYZ_static!$B$2:$B$806,MATCH($A668,SYZ_static!$A$2:$A$806,0)),""))</f>
        <v/>
      </c>
      <c r="E668" s="17">
        <f>IF($A668="","",_xll.BDP($A668&amp;" Corp","INDUSTRY_SECTOR"))</f>
        <v/>
      </c>
      <c r="F668" s="17">
        <f>IF($A668="","",PROPER(_xll.BDP($A668&amp;" Corp","COUNTRY_FULL_NAME")))</f>
        <v/>
      </c>
      <c r="G668" s="17">
        <f>IF($A668="","",_xll.BDP($A668&amp;" Corp","CRNCY"))</f>
        <v/>
      </c>
      <c r="H668" s="17">
        <f>IF($A668="","",IFERROR(INDEX(SYZ_static!$T$2:$T$806,MATCH($A668,SYZ_static!$A$2:$A$806,0)),_xll.BDP($A668&amp;" Corp","RTG_SP")))</f>
        <v/>
      </c>
      <c r="I668" s="17">
        <f>IF($A668="","",IFERROR(INDEX(SYZ_static!$S$2:$S$806,MATCH($A668,SYZ_static!$A$2:$A$806,0)),""))</f>
        <v/>
      </c>
      <c r="J668" s="17">
        <f>IF($A668="","",_xll.BDP($A668&amp;" Corp","PAYMENT_RANK"))</f>
        <v/>
      </c>
      <c r="K668" s="18">
        <f>IF($A668="","",_xll.BDP($A668&amp;" Corp","CPN"))</f>
        <v/>
      </c>
      <c r="L668" s="19">
        <f>IF($A668="","",_xll.BDP($A668&amp;" Corp","MATURITY"))</f>
        <v/>
      </c>
      <c r="M668" s="20">
        <f>IF($A668="","",IFERROR(_xll.BDP($A668&amp;" Corp","MIN_PIECE")/1000,""))</f>
        <v/>
      </c>
      <c r="N668" s="21">
        <f>IF($A668="","",_xll.BDP($A668&amp;" Corp","PX_LAST"))</f>
        <v/>
      </c>
      <c r="O668" s="21">
        <f>IF($A668="","",_xll.BDP($A668&amp;" Corp","YAS_BOND_YLD","YAS_YLD_FLAG=15"))</f>
        <v/>
      </c>
      <c r="P668" s="21">
        <f>IF($A668="","",_xll.BDP($A668&amp;" Corp","YAS_MOD_DUR"))</f>
        <v/>
      </c>
      <c r="Q668" s="22">
        <f>IF($A668="","",_xll.BDP($A668&amp;" Corp","YAS_OAS_SPRD"))</f>
        <v/>
      </c>
      <c r="R668" s="22">
        <f>IF($A668="","",_xll.BDP($A668&amp;" Corp","YAS_OAS_SPRD","SETTLE_DT",$B$2))</f>
        <v/>
      </c>
      <c r="S668" s="23">
        <f>IF($A668="","",IF(OR(NOT(ISNUMBER($Q668)),NOT(ISNUMBER($R668))),"",$Q668-$R668))</f>
        <v/>
      </c>
      <c r="T668" s="21">
        <f>IF($A668="","",_xll.BDP($A668&amp;" Corp","YAS_BOND_YLD","YAS_YLD_FLAG=15","SETTLE_DT",$B$2))</f>
        <v/>
      </c>
      <c r="U668" s="24">
        <f>IF($A668="","",IF(OR(NOT(ISNUMBER($O668)),NOT(ISNUMBER($T668))),"",$O668-$T668))</f>
        <v/>
      </c>
      <c r="V668" s="22">
        <f>IF(NOT(ISNUMBER($S668)),"",COUNTIFS($G$7:$G$850,$G668,$S$7:$S$850,"&gt;"&amp;$S668)+COUNTIFS($G$7:$G668,$G668,$S$7:$S668,$S668))</f>
        <v/>
      </c>
      <c r="W668" s="22">
        <f>IF(NOT(ISNUMBER($S668)),"",COUNTIFS($G$7:$G$850,$G668,$S$7:$S$850,"&lt;"&amp;$S668)+COUNTIFS($G$7:$G668,$G668,$S$7:$S668,$S668))</f>
        <v/>
      </c>
      <c r="X668" s="17">
        <f>IF($V668="","",$G668&amp;"|"&amp;$V668)</f>
        <v/>
      </c>
      <c r="Y668" s="17">
        <f>IF($W668="","",$G668&amp;"|"&amp;$W668)</f>
        <v/>
      </c>
    </row>
    <row r="669">
      <c r="A669" s="7" t="inlineStr">
        <is>
          <t>US47109LAD64</t>
        </is>
      </c>
      <c r="B669" s="8">
        <f>IF($A669="","",PROPER(_xll.BDP($A669&amp;" Corp","NAME")))</f>
        <v/>
      </c>
      <c r="C669" s="8">
        <f>IF($A669="","",IFERROR(INDEX(Company_desc!$B$2:$B$1144,MATCH($A669,Company_desc!$A$2:$A$1144,0)),IFERROR(INDEX(SYZ_static!$Q$2:$Q$806,MATCH($A669,SYZ_static!$A$2:$A$806,0)),"")))</f>
        <v/>
      </c>
      <c r="D669" s="8">
        <f>IF($A669="","",IFERROR(INDEX(SYZ_static!$B$2:$B$806,MATCH($A669,SYZ_static!$A$2:$A$806,0)),""))</f>
        <v/>
      </c>
      <c r="E669" s="8">
        <f>IF($A669="","",_xll.BDP($A669&amp;" Corp","INDUSTRY_SECTOR"))</f>
        <v/>
      </c>
      <c r="F669" s="8">
        <f>IF($A669="","",PROPER(_xll.BDP($A669&amp;" Corp","COUNTRY_FULL_NAME")))</f>
        <v/>
      </c>
      <c r="G669" s="8">
        <f>IF($A669="","",_xll.BDP($A669&amp;" Corp","CRNCY"))</f>
        <v/>
      </c>
      <c r="H669" s="8">
        <f>IF($A669="","",IFERROR(INDEX(SYZ_static!$T$2:$T$806,MATCH($A669,SYZ_static!$A$2:$A$806,0)),_xll.BDP($A669&amp;" Corp","RTG_SP")))</f>
        <v/>
      </c>
      <c r="I669" s="8">
        <f>IF($A669="","",IFERROR(INDEX(SYZ_static!$S$2:$S$806,MATCH($A669,SYZ_static!$A$2:$A$806,0)),""))</f>
        <v/>
      </c>
      <c r="J669" s="8">
        <f>IF($A669="","",_xll.BDP($A669&amp;" Corp","PAYMENT_RANK"))</f>
        <v/>
      </c>
      <c r="K669" s="9">
        <f>IF($A669="","",_xll.BDP($A669&amp;" Corp","CPN"))</f>
        <v/>
      </c>
      <c r="L669" s="10">
        <f>IF($A669="","",_xll.BDP($A669&amp;" Corp","MATURITY"))</f>
        <v/>
      </c>
      <c r="M669" s="11">
        <f>IF($A669="","",IFERROR(_xll.BDP($A669&amp;" Corp","MIN_PIECE")/1000,""))</f>
        <v/>
      </c>
      <c r="N669" s="12">
        <f>IF($A669="","",_xll.BDP($A669&amp;" Corp","PX_LAST"))</f>
        <v/>
      </c>
      <c r="O669" s="12">
        <f>IF($A669="","",_xll.BDP($A669&amp;" Corp","YAS_BOND_YLD","YAS_YLD_FLAG=15"))</f>
        <v/>
      </c>
      <c r="P669" s="12">
        <f>IF($A669="","",_xll.BDP($A669&amp;" Corp","YAS_MOD_DUR"))</f>
        <v/>
      </c>
      <c r="Q669" s="13">
        <f>IF($A669="","",_xll.BDP($A669&amp;" Corp","YAS_OAS_SPRD"))</f>
        <v/>
      </c>
      <c r="R669" s="13">
        <f>IF($A669="","",_xll.BDP($A669&amp;" Corp","YAS_OAS_SPRD","SETTLE_DT",$B$2))</f>
        <v/>
      </c>
      <c r="S669" s="14">
        <f>IF($A669="","",IF(OR(NOT(ISNUMBER($Q669)),NOT(ISNUMBER($R669))),"",$Q669-$R669))</f>
        <v/>
      </c>
      <c r="T669" s="12">
        <f>IF($A669="","",_xll.BDP($A669&amp;" Corp","YAS_BOND_YLD","YAS_YLD_FLAG=15","SETTLE_DT",$B$2))</f>
        <v/>
      </c>
      <c r="U669" s="15">
        <f>IF($A669="","",IF(OR(NOT(ISNUMBER($O669)),NOT(ISNUMBER($T669))),"",$O669-$T669))</f>
        <v/>
      </c>
      <c r="V669" s="13">
        <f>IF(NOT(ISNUMBER($S669)),"",COUNTIFS($G$7:$G$850,$G669,$S$7:$S$850,"&gt;"&amp;$S669)+COUNTIFS($G$7:$G669,$G669,$S$7:$S669,$S669))</f>
        <v/>
      </c>
      <c r="W669" s="13">
        <f>IF(NOT(ISNUMBER($S669)),"",COUNTIFS($G$7:$G$850,$G669,$S$7:$S$850,"&lt;"&amp;$S669)+COUNTIFS($G$7:$G669,$G669,$S$7:$S669,$S669))</f>
        <v/>
      </c>
      <c r="X669" s="8">
        <f>IF($V669="","",$G669&amp;"|"&amp;$V669)</f>
        <v/>
      </c>
      <c r="Y669" s="8">
        <f>IF($W669="","",$G669&amp;"|"&amp;$W669)</f>
        <v/>
      </c>
    </row>
    <row r="670">
      <c r="A670" s="16" t="inlineStr">
        <is>
          <t>XS2082324018</t>
        </is>
      </c>
      <c r="B670" s="17">
        <f>IF($A670="","",PROPER(_xll.BDP($A670&amp;" Corp","NAME")))</f>
        <v/>
      </c>
      <c r="C670" s="17">
        <f>IF($A670="","",IFERROR(INDEX(Company_desc!$B$2:$B$1144,MATCH($A670,Company_desc!$A$2:$A$1144,0)),IFERROR(INDEX(SYZ_static!$Q$2:$Q$806,MATCH($A670,SYZ_static!$A$2:$A$806,0)),"")))</f>
        <v/>
      </c>
      <c r="D670" s="17">
        <f>IF($A670="","",IFERROR(INDEX(SYZ_static!$B$2:$B$806,MATCH($A670,SYZ_static!$A$2:$A$806,0)),""))</f>
        <v/>
      </c>
      <c r="E670" s="17">
        <f>IF($A670="","",_xll.BDP($A670&amp;" Corp","INDUSTRY_SECTOR"))</f>
        <v/>
      </c>
      <c r="F670" s="17">
        <f>IF($A670="","",PROPER(_xll.BDP($A670&amp;" Corp","COUNTRY_FULL_NAME")))</f>
        <v/>
      </c>
      <c r="G670" s="17">
        <f>IF($A670="","",_xll.BDP($A670&amp;" Corp","CRNCY"))</f>
        <v/>
      </c>
      <c r="H670" s="17">
        <f>IF($A670="","",IFERROR(INDEX(SYZ_static!$T$2:$T$806,MATCH($A670,SYZ_static!$A$2:$A$806,0)),_xll.BDP($A670&amp;" Corp","RTG_SP")))</f>
        <v/>
      </c>
      <c r="I670" s="17">
        <f>IF($A670="","",IFERROR(INDEX(SYZ_static!$S$2:$S$806,MATCH($A670,SYZ_static!$A$2:$A$806,0)),""))</f>
        <v/>
      </c>
      <c r="J670" s="17">
        <f>IF($A670="","",_xll.BDP($A670&amp;" Corp","PAYMENT_RANK"))</f>
        <v/>
      </c>
      <c r="K670" s="18">
        <f>IF($A670="","",_xll.BDP($A670&amp;" Corp","CPN"))</f>
        <v/>
      </c>
      <c r="L670" s="19">
        <f>IF($A670="","",_xll.BDP($A670&amp;" Corp","MATURITY"))</f>
        <v/>
      </c>
      <c r="M670" s="20">
        <f>IF($A670="","",IFERROR(_xll.BDP($A670&amp;" Corp","MIN_PIECE")/1000,""))</f>
        <v/>
      </c>
      <c r="N670" s="21">
        <f>IF($A670="","",_xll.BDP($A670&amp;" Corp","PX_LAST"))</f>
        <v/>
      </c>
      <c r="O670" s="21">
        <f>IF($A670="","",_xll.BDP($A670&amp;" Corp","YAS_BOND_YLD","YAS_YLD_FLAG=15"))</f>
        <v/>
      </c>
      <c r="P670" s="21">
        <f>IF($A670="","",_xll.BDP($A670&amp;" Corp","YAS_MOD_DUR"))</f>
        <v/>
      </c>
      <c r="Q670" s="22">
        <f>IF($A670="","",_xll.BDP($A670&amp;" Corp","YAS_OAS_SPRD"))</f>
        <v/>
      </c>
      <c r="R670" s="22">
        <f>IF($A670="","",_xll.BDP($A670&amp;" Corp","YAS_OAS_SPRD","SETTLE_DT",$B$2))</f>
        <v/>
      </c>
      <c r="S670" s="23">
        <f>IF($A670="","",IF(OR(NOT(ISNUMBER($Q670)),NOT(ISNUMBER($R670))),"",$Q670-$R670))</f>
        <v/>
      </c>
      <c r="T670" s="21">
        <f>IF($A670="","",_xll.BDP($A670&amp;" Corp","YAS_BOND_YLD","YAS_YLD_FLAG=15","SETTLE_DT",$B$2))</f>
        <v/>
      </c>
      <c r="U670" s="24">
        <f>IF($A670="","",IF(OR(NOT(ISNUMBER($O670)),NOT(ISNUMBER($T670))),"",$O670-$T670))</f>
        <v/>
      </c>
      <c r="V670" s="22">
        <f>IF(NOT(ISNUMBER($S670)),"",COUNTIFS($G$7:$G$850,$G670,$S$7:$S$850,"&gt;"&amp;$S670)+COUNTIFS($G$7:$G670,$G670,$S$7:$S670,$S670))</f>
        <v/>
      </c>
      <c r="W670" s="22">
        <f>IF(NOT(ISNUMBER($S670)),"",COUNTIFS($G$7:$G$850,$G670,$S$7:$S$850,"&lt;"&amp;$S670)+COUNTIFS($G$7:$G670,$G670,$S$7:$S670,$S670))</f>
        <v/>
      </c>
      <c r="X670" s="17">
        <f>IF($V670="","",$G670&amp;"|"&amp;$V670)</f>
        <v/>
      </c>
      <c r="Y670" s="17">
        <f>IF($W670="","",$G670&amp;"|"&amp;$W670)</f>
        <v/>
      </c>
    </row>
    <row r="671">
      <c r="A671" s="7" t="inlineStr">
        <is>
          <t>US037833EW60</t>
        </is>
      </c>
      <c r="B671" s="8">
        <f>IF($A671="","",PROPER(_xll.BDP($A671&amp;" Corp","NAME")))</f>
        <v/>
      </c>
      <c r="C671" s="8">
        <f>IF($A671="","",IFERROR(INDEX(Company_desc!$B$2:$B$1144,MATCH($A671,Company_desc!$A$2:$A$1144,0)),IFERROR(INDEX(SYZ_static!$Q$2:$Q$806,MATCH($A671,SYZ_static!$A$2:$A$806,0)),"")))</f>
        <v/>
      </c>
      <c r="D671" s="8">
        <f>IF($A671="","",IFERROR(INDEX(SYZ_static!$B$2:$B$806,MATCH($A671,SYZ_static!$A$2:$A$806,0)),""))</f>
        <v/>
      </c>
      <c r="E671" s="8">
        <f>IF($A671="","",_xll.BDP($A671&amp;" Corp","INDUSTRY_SECTOR"))</f>
        <v/>
      </c>
      <c r="F671" s="8">
        <f>IF($A671="","",PROPER(_xll.BDP($A671&amp;" Corp","COUNTRY_FULL_NAME")))</f>
        <v/>
      </c>
      <c r="G671" s="8">
        <f>IF($A671="","",_xll.BDP($A671&amp;" Corp","CRNCY"))</f>
        <v/>
      </c>
      <c r="H671" s="8">
        <f>IF($A671="","",IFERROR(INDEX(SYZ_static!$T$2:$T$806,MATCH($A671,SYZ_static!$A$2:$A$806,0)),_xll.BDP($A671&amp;" Corp","RTG_SP")))</f>
        <v/>
      </c>
      <c r="I671" s="8">
        <f>IF($A671="","",IFERROR(INDEX(SYZ_static!$S$2:$S$806,MATCH($A671,SYZ_static!$A$2:$A$806,0)),""))</f>
        <v/>
      </c>
      <c r="J671" s="8">
        <f>IF($A671="","",_xll.BDP($A671&amp;" Corp","PAYMENT_RANK"))</f>
        <v/>
      </c>
      <c r="K671" s="9">
        <f>IF($A671="","",_xll.BDP($A671&amp;" Corp","CPN"))</f>
        <v/>
      </c>
      <c r="L671" s="10">
        <f>IF($A671="","",_xll.BDP($A671&amp;" Corp","MATURITY"))</f>
        <v/>
      </c>
      <c r="M671" s="11">
        <f>IF($A671="","",IFERROR(_xll.BDP($A671&amp;" Corp","MIN_PIECE")/1000,""))</f>
        <v/>
      </c>
      <c r="N671" s="12">
        <f>IF($A671="","",_xll.BDP($A671&amp;" Corp","PX_LAST"))</f>
        <v/>
      </c>
      <c r="O671" s="12">
        <f>IF($A671="","",_xll.BDP($A671&amp;" Corp","YAS_BOND_YLD","YAS_YLD_FLAG=15"))</f>
        <v/>
      </c>
      <c r="P671" s="12">
        <f>IF($A671="","",_xll.BDP($A671&amp;" Corp","YAS_MOD_DUR"))</f>
        <v/>
      </c>
      <c r="Q671" s="13">
        <f>IF($A671="","",_xll.BDP($A671&amp;" Corp","YAS_OAS_SPRD"))</f>
        <v/>
      </c>
      <c r="R671" s="13">
        <f>IF($A671="","",_xll.BDP($A671&amp;" Corp","YAS_OAS_SPRD","SETTLE_DT",$B$2))</f>
        <v/>
      </c>
      <c r="S671" s="14">
        <f>IF($A671="","",IF(OR(NOT(ISNUMBER($Q671)),NOT(ISNUMBER($R671))),"",$Q671-$R671))</f>
        <v/>
      </c>
      <c r="T671" s="12">
        <f>IF($A671="","",_xll.BDP($A671&amp;" Corp","YAS_BOND_YLD","YAS_YLD_FLAG=15","SETTLE_DT",$B$2))</f>
        <v/>
      </c>
      <c r="U671" s="15">
        <f>IF($A671="","",IF(OR(NOT(ISNUMBER($O671)),NOT(ISNUMBER($T671))),"",$O671-$T671))</f>
        <v/>
      </c>
      <c r="V671" s="13">
        <f>IF(NOT(ISNUMBER($S671)),"",COUNTIFS($G$7:$G$850,$G671,$S$7:$S$850,"&gt;"&amp;$S671)+COUNTIFS($G$7:$G671,$G671,$S$7:$S671,$S671))</f>
        <v/>
      </c>
      <c r="W671" s="13">
        <f>IF(NOT(ISNUMBER($S671)),"",COUNTIFS($G$7:$G$850,$G671,$S$7:$S$850,"&lt;"&amp;$S671)+COUNTIFS($G$7:$G671,$G671,$S$7:$S671,$S671))</f>
        <v/>
      </c>
      <c r="X671" s="8">
        <f>IF($V671="","",$G671&amp;"|"&amp;$V671)</f>
        <v/>
      </c>
      <c r="Y671" s="8">
        <f>IF($W671="","",$G671&amp;"|"&amp;$W671)</f>
        <v/>
      </c>
    </row>
    <row r="672">
      <c r="A672" s="16" t="inlineStr">
        <is>
          <t>US57636QAU85</t>
        </is>
      </c>
      <c r="B672" s="17">
        <f>IF($A672="","",PROPER(_xll.BDP($A672&amp;" Corp","NAME")))</f>
        <v/>
      </c>
      <c r="C672" s="17">
        <f>IF($A672="","",IFERROR(INDEX(Company_desc!$B$2:$B$1144,MATCH($A672,Company_desc!$A$2:$A$1144,0)),IFERROR(INDEX(SYZ_static!$Q$2:$Q$806,MATCH($A672,SYZ_static!$A$2:$A$806,0)),"")))</f>
        <v/>
      </c>
      <c r="D672" s="17">
        <f>IF($A672="","",IFERROR(INDEX(SYZ_static!$B$2:$B$806,MATCH($A672,SYZ_static!$A$2:$A$806,0)),""))</f>
        <v/>
      </c>
      <c r="E672" s="17">
        <f>IF($A672="","",_xll.BDP($A672&amp;" Corp","INDUSTRY_SECTOR"))</f>
        <v/>
      </c>
      <c r="F672" s="17">
        <f>IF($A672="","",PROPER(_xll.BDP($A672&amp;" Corp","COUNTRY_FULL_NAME")))</f>
        <v/>
      </c>
      <c r="G672" s="17">
        <f>IF($A672="","",_xll.BDP($A672&amp;" Corp","CRNCY"))</f>
        <v/>
      </c>
      <c r="H672" s="17">
        <f>IF($A672="","",IFERROR(INDEX(SYZ_static!$T$2:$T$806,MATCH($A672,SYZ_static!$A$2:$A$806,0)),_xll.BDP($A672&amp;" Corp","RTG_SP")))</f>
        <v/>
      </c>
      <c r="I672" s="17">
        <f>IF($A672="","",IFERROR(INDEX(SYZ_static!$S$2:$S$806,MATCH($A672,SYZ_static!$A$2:$A$806,0)),""))</f>
        <v/>
      </c>
      <c r="J672" s="17">
        <f>IF($A672="","",_xll.BDP($A672&amp;" Corp","PAYMENT_RANK"))</f>
        <v/>
      </c>
      <c r="K672" s="18">
        <f>IF($A672="","",_xll.BDP($A672&amp;" Corp","CPN"))</f>
        <v/>
      </c>
      <c r="L672" s="19">
        <f>IF($A672="","",_xll.BDP($A672&amp;" Corp","MATURITY"))</f>
        <v/>
      </c>
      <c r="M672" s="20">
        <f>IF($A672="","",IFERROR(_xll.BDP($A672&amp;" Corp","MIN_PIECE")/1000,""))</f>
        <v/>
      </c>
      <c r="N672" s="21">
        <f>IF($A672="","",_xll.BDP($A672&amp;" Corp","PX_LAST"))</f>
        <v/>
      </c>
      <c r="O672" s="21">
        <f>IF($A672="","",_xll.BDP($A672&amp;" Corp","YAS_BOND_YLD","YAS_YLD_FLAG=15"))</f>
        <v/>
      </c>
      <c r="P672" s="21">
        <f>IF($A672="","",_xll.BDP($A672&amp;" Corp","YAS_MOD_DUR"))</f>
        <v/>
      </c>
      <c r="Q672" s="22">
        <f>IF($A672="","",_xll.BDP($A672&amp;" Corp","YAS_OAS_SPRD"))</f>
        <v/>
      </c>
      <c r="R672" s="22">
        <f>IF($A672="","",_xll.BDP($A672&amp;" Corp","YAS_OAS_SPRD","SETTLE_DT",$B$2))</f>
        <v/>
      </c>
      <c r="S672" s="23">
        <f>IF($A672="","",IF(OR(NOT(ISNUMBER($Q672)),NOT(ISNUMBER($R672))),"",$Q672-$R672))</f>
        <v/>
      </c>
      <c r="T672" s="21">
        <f>IF($A672="","",_xll.BDP($A672&amp;" Corp","YAS_BOND_YLD","YAS_YLD_FLAG=15","SETTLE_DT",$B$2))</f>
        <v/>
      </c>
      <c r="U672" s="24">
        <f>IF($A672="","",IF(OR(NOT(ISNUMBER($O672)),NOT(ISNUMBER($T672))),"",$O672-$T672))</f>
        <v/>
      </c>
      <c r="V672" s="22">
        <f>IF(NOT(ISNUMBER($S672)),"",COUNTIFS($G$7:$G$850,$G672,$S$7:$S$850,"&gt;"&amp;$S672)+COUNTIFS($G$7:$G672,$G672,$S$7:$S672,$S672))</f>
        <v/>
      </c>
      <c r="W672" s="22">
        <f>IF(NOT(ISNUMBER($S672)),"",COUNTIFS($G$7:$G$850,$G672,$S$7:$S$850,"&lt;"&amp;$S672)+COUNTIFS($G$7:$G672,$G672,$S$7:$S672,$S672))</f>
        <v/>
      </c>
      <c r="X672" s="17">
        <f>IF($V672="","",$G672&amp;"|"&amp;$V672)</f>
        <v/>
      </c>
      <c r="Y672" s="17">
        <f>IF($W672="","",$G672&amp;"|"&amp;$W672)</f>
        <v/>
      </c>
    </row>
    <row r="673">
      <c r="A673" s="7" t="inlineStr">
        <is>
          <t>US30231GBK76</t>
        </is>
      </c>
      <c r="B673" s="8">
        <f>IF($A673="","",PROPER(_xll.BDP($A673&amp;" Corp","NAME")))</f>
        <v/>
      </c>
      <c r="C673" s="8">
        <f>IF($A673="","",IFERROR(INDEX(Company_desc!$B$2:$B$1144,MATCH($A673,Company_desc!$A$2:$A$1144,0)),IFERROR(INDEX(SYZ_static!$Q$2:$Q$806,MATCH($A673,SYZ_static!$A$2:$A$806,0)),"")))</f>
        <v/>
      </c>
      <c r="D673" s="8">
        <f>IF($A673="","",IFERROR(INDEX(SYZ_static!$B$2:$B$806,MATCH($A673,SYZ_static!$A$2:$A$806,0)),""))</f>
        <v/>
      </c>
      <c r="E673" s="8">
        <f>IF($A673="","",_xll.BDP($A673&amp;" Corp","INDUSTRY_SECTOR"))</f>
        <v/>
      </c>
      <c r="F673" s="8">
        <f>IF($A673="","",PROPER(_xll.BDP($A673&amp;" Corp","COUNTRY_FULL_NAME")))</f>
        <v/>
      </c>
      <c r="G673" s="8">
        <f>IF($A673="","",_xll.BDP($A673&amp;" Corp","CRNCY"))</f>
        <v/>
      </c>
      <c r="H673" s="8">
        <f>IF($A673="","",IFERROR(INDEX(SYZ_static!$T$2:$T$806,MATCH($A673,SYZ_static!$A$2:$A$806,0)),_xll.BDP($A673&amp;" Corp","RTG_SP")))</f>
        <v/>
      </c>
      <c r="I673" s="8">
        <f>IF($A673="","",IFERROR(INDEX(SYZ_static!$S$2:$S$806,MATCH($A673,SYZ_static!$A$2:$A$806,0)),""))</f>
        <v/>
      </c>
      <c r="J673" s="8">
        <f>IF($A673="","",_xll.BDP($A673&amp;" Corp","PAYMENT_RANK"))</f>
        <v/>
      </c>
      <c r="K673" s="9">
        <f>IF($A673="","",_xll.BDP($A673&amp;" Corp","CPN"))</f>
        <v/>
      </c>
      <c r="L673" s="10">
        <f>IF($A673="","",_xll.BDP($A673&amp;" Corp","MATURITY"))</f>
        <v/>
      </c>
      <c r="M673" s="11">
        <f>IF($A673="","",IFERROR(_xll.BDP($A673&amp;" Corp","MIN_PIECE")/1000,""))</f>
        <v/>
      </c>
      <c r="N673" s="12">
        <f>IF($A673="","",_xll.BDP($A673&amp;" Corp","PX_LAST"))</f>
        <v/>
      </c>
      <c r="O673" s="12">
        <f>IF($A673="","",_xll.BDP($A673&amp;" Corp","YAS_BOND_YLD","YAS_YLD_FLAG=15"))</f>
        <v/>
      </c>
      <c r="P673" s="12">
        <f>IF($A673="","",_xll.BDP($A673&amp;" Corp","YAS_MOD_DUR"))</f>
        <v/>
      </c>
      <c r="Q673" s="13">
        <f>IF($A673="","",_xll.BDP($A673&amp;" Corp","YAS_OAS_SPRD"))</f>
        <v/>
      </c>
      <c r="R673" s="13">
        <f>IF($A673="","",_xll.BDP($A673&amp;" Corp","YAS_OAS_SPRD","SETTLE_DT",$B$2))</f>
        <v/>
      </c>
      <c r="S673" s="14">
        <f>IF($A673="","",IF(OR(NOT(ISNUMBER($Q673)),NOT(ISNUMBER($R673))),"",$Q673-$R673))</f>
        <v/>
      </c>
      <c r="T673" s="12">
        <f>IF($A673="","",_xll.BDP($A673&amp;" Corp","YAS_BOND_YLD","YAS_YLD_FLAG=15","SETTLE_DT",$B$2))</f>
        <v/>
      </c>
      <c r="U673" s="15">
        <f>IF($A673="","",IF(OR(NOT(ISNUMBER($O673)),NOT(ISNUMBER($T673))),"",$O673-$T673))</f>
        <v/>
      </c>
      <c r="V673" s="13">
        <f>IF(NOT(ISNUMBER($S673)),"",COUNTIFS($G$7:$G$850,$G673,$S$7:$S$850,"&gt;"&amp;$S673)+COUNTIFS($G$7:$G673,$G673,$S$7:$S673,$S673))</f>
        <v/>
      </c>
      <c r="W673" s="13">
        <f>IF(NOT(ISNUMBER($S673)),"",COUNTIFS($G$7:$G$850,$G673,$S$7:$S$850,"&lt;"&amp;$S673)+COUNTIFS($G$7:$G673,$G673,$S$7:$S673,$S673))</f>
        <v/>
      </c>
      <c r="X673" s="8">
        <f>IF($V673="","",$G673&amp;"|"&amp;$V673)</f>
        <v/>
      </c>
      <c r="Y673" s="8">
        <f>IF($W673="","",$G673&amp;"|"&amp;$W673)</f>
        <v/>
      </c>
    </row>
    <row r="674">
      <c r="A674" s="16" t="inlineStr">
        <is>
          <t>XS2574873266</t>
        </is>
      </c>
      <c r="B674" s="17">
        <f>IF($A674="","",PROPER(_xll.BDP($A674&amp;" Corp","NAME")))</f>
        <v/>
      </c>
      <c r="C674" s="17">
        <f>IF($A674="","",IFERROR(INDEX(Company_desc!$B$2:$B$1144,MATCH($A674,Company_desc!$A$2:$A$1144,0)),IFERROR(INDEX(SYZ_static!$Q$2:$Q$806,MATCH($A674,SYZ_static!$A$2:$A$806,0)),"")))</f>
        <v/>
      </c>
      <c r="D674" s="17">
        <f>IF($A674="","",IFERROR(INDEX(SYZ_static!$B$2:$B$806,MATCH($A674,SYZ_static!$A$2:$A$806,0)),""))</f>
        <v/>
      </c>
      <c r="E674" s="17">
        <f>IF($A674="","",_xll.BDP($A674&amp;" Corp","INDUSTRY_SECTOR"))</f>
        <v/>
      </c>
      <c r="F674" s="17">
        <f>IF($A674="","",PROPER(_xll.BDP($A674&amp;" Corp","COUNTRY_FULL_NAME")))</f>
        <v/>
      </c>
      <c r="G674" s="17">
        <f>IF($A674="","",_xll.BDP($A674&amp;" Corp","CRNCY"))</f>
        <v/>
      </c>
      <c r="H674" s="17">
        <f>IF($A674="","",IFERROR(INDEX(SYZ_static!$T$2:$T$806,MATCH($A674,SYZ_static!$A$2:$A$806,0)),_xll.BDP($A674&amp;" Corp","RTG_SP")))</f>
        <v/>
      </c>
      <c r="I674" s="17">
        <f>IF($A674="","",IFERROR(INDEX(SYZ_static!$S$2:$S$806,MATCH($A674,SYZ_static!$A$2:$A$806,0)),""))</f>
        <v/>
      </c>
      <c r="J674" s="17">
        <f>IF($A674="","",_xll.BDP($A674&amp;" Corp","PAYMENT_RANK"))</f>
        <v/>
      </c>
      <c r="K674" s="18">
        <f>IF($A674="","",_xll.BDP($A674&amp;" Corp","CPN"))</f>
        <v/>
      </c>
      <c r="L674" s="19">
        <f>IF($A674="","",_xll.BDP($A674&amp;" Corp","MATURITY"))</f>
        <v/>
      </c>
      <c r="M674" s="20">
        <f>IF($A674="","",IFERROR(_xll.BDP($A674&amp;" Corp","MIN_PIECE")/1000,""))</f>
        <v/>
      </c>
      <c r="N674" s="21">
        <f>IF($A674="","",_xll.BDP($A674&amp;" Corp","PX_LAST"))</f>
        <v/>
      </c>
      <c r="O674" s="21">
        <f>IF($A674="","",_xll.BDP($A674&amp;" Corp","YAS_BOND_YLD","YAS_YLD_FLAG=15"))</f>
        <v/>
      </c>
      <c r="P674" s="21">
        <f>IF($A674="","",_xll.BDP($A674&amp;" Corp","YAS_MOD_DUR"))</f>
        <v/>
      </c>
      <c r="Q674" s="22">
        <f>IF($A674="","",_xll.BDP($A674&amp;" Corp","YAS_OAS_SPRD"))</f>
        <v/>
      </c>
      <c r="R674" s="22">
        <f>IF($A674="","",_xll.BDP($A674&amp;" Corp","YAS_OAS_SPRD","SETTLE_DT",$B$2))</f>
        <v/>
      </c>
      <c r="S674" s="23">
        <f>IF($A674="","",IF(OR(NOT(ISNUMBER($Q674)),NOT(ISNUMBER($R674))),"",$Q674-$R674))</f>
        <v/>
      </c>
      <c r="T674" s="21">
        <f>IF($A674="","",_xll.BDP($A674&amp;" Corp","YAS_BOND_YLD","YAS_YLD_FLAG=15","SETTLE_DT",$B$2))</f>
        <v/>
      </c>
      <c r="U674" s="24">
        <f>IF($A674="","",IF(OR(NOT(ISNUMBER($O674)),NOT(ISNUMBER($T674))),"",$O674-$T674))</f>
        <v/>
      </c>
      <c r="V674" s="22">
        <f>IF(NOT(ISNUMBER($S674)),"",COUNTIFS($G$7:$G$850,$G674,$S$7:$S$850,"&gt;"&amp;$S674)+COUNTIFS($G$7:$G674,$G674,$S$7:$S674,$S674))</f>
        <v/>
      </c>
      <c r="W674" s="22">
        <f>IF(NOT(ISNUMBER($S674)),"",COUNTIFS($G$7:$G$850,$G674,$S$7:$S$850,"&lt;"&amp;$S674)+COUNTIFS($G$7:$G674,$G674,$S$7:$S674,$S674))</f>
        <v/>
      </c>
      <c r="X674" s="17">
        <f>IF($V674="","",$G674&amp;"|"&amp;$V674)</f>
        <v/>
      </c>
      <c r="Y674" s="17">
        <f>IF($W674="","",$G674&amp;"|"&amp;$W674)</f>
        <v/>
      </c>
    </row>
    <row r="675">
      <c r="A675" s="7" t="inlineStr">
        <is>
          <t>BE0000304130</t>
        </is>
      </c>
      <c r="B675" s="8">
        <f>IF($A675="","",PROPER(_xll.BDP($A675&amp;" Corp","NAME")))</f>
        <v/>
      </c>
      <c r="C675" s="8">
        <f>IF($A675="","",IFERROR(INDEX(Company_desc!$B$2:$B$1144,MATCH($A675,Company_desc!$A$2:$A$1144,0)),IFERROR(INDEX(SYZ_static!$Q$2:$Q$806,MATCH($A675,SYZ_static!$A$2:$A$806,0)),"")))</f>
        <v/>
      </c>
      <c r="D675" s="8">
        <f>IF($A675="","",IFERROR(INDEX(SYZ_static!$B$2:$B$806,MATCH($A675,SYZ_static!$A$2:$A$806,0)),""))</f>
        <v/>
      </c>
      <c r="E675" s="8">
        <f>IF($A675="","",_xll.BDP($A675&amp;" Corp","INDUSTRY_SECTOR"))</f>
        <v/>
      </c>
      <c r="F675" s="8">
        <f>IF($A675="","",PROPER(_xll.BDP($A675&amp;" Corp","COUNTRY_FULL_NAME")))</f>
        <v/>
      </c>
      <c r="G675" s="8">
        <f>IF($A675="","",_xll.BDP($A675&amp;" Corp","CRNCY"))</f>
        <v/>
      </c>
      <c r="H675" s="8">
        <f>IF($A675="","",IFERROR(INDEX(SYZ_static!$T$2:$T$806,MATCH($A675,SYZ_static!$A$2:$A$806,0)),_xll.BDP($A675&amp;" Corp","RTG_SP")))</f>
        <v/>
      </c>
      <c r="I675" s="8">
        <f>IF($A675="","",IFERROR(INDEX(SYZ_static!$S$2:$S$806,MATCH($A675,SYZ_static!$A$2:$A$806,0)),""))</f>
        <v/>
      </c>
      <c r="J675" s="8">
        <f>IF($A675="","",_xll.BDP($A675&amp;" Corp","PAYMENT_RANK"))</f>
        <v/>
      </c>
      <c r="K675" s="9">
        <f>IF($A675="","",_xll.BDP($A675&amp;" Corp","CPN"))</f>
        <v/>
      </c>
      <c r="L675" s="10">
        <f>IF($A675="","",_xll.BDP($A675&amp;" Corp","MATURITY"))</f>
        <v/>
      </c>
      <c r="M675" s="11">
        <f>IF($A675="","",IFERROR(_xll.BDP($A675&amp;" Corp","MIN_PIECE")/1000,""))</f>
        <v/>
      </c>
      <c r="N675" s="12">
        <f>IF($A675="","",_xll.BDP($A675&amp;" Corp","PX_LAST"))</f>
        <v/>
      </c>
      <c r="O675" s="12">
        <f>IF($A675="","",_xll.BDP($A675&amp;" Corp","YAS_BOND_YLD","YAS_YLD_FLAG=15"))</f>
        <v/>
      </c>
      <c r="P675" s="12">
        <f>IF($A675="","",_xll.BDP($A675&amp;" Corp","YAS_MOD_DUR"))</f>
        <v/>
      </c>
      <c r="Q675" s="13">
        <f>IF($A675="","",_xll.BDP($A675&amp;" Corp","YAS_OAS_SPRD"))</f>
        <v/>
      </c>
      <c r="R675" s="13">
        <f>IF($A675="","",_xll.BDP($A675&amp;" Corp","YAS_OAS_SPRD","SETTLE_DT",$B$2))</f>
        <v/>
      </c>
      <c r="S675" s="14">
        <f>IF($A675="","",IF(OR(NOT(ISNUMBER($Q675)),NOT(ISNUMBER($R675))),"",$Q675-$R675))</f>
        <v/>
      </c>
      <c r="T675" s="12">
        <f>IF($A675="","",_xll.BDP($A675&amp;" Corp","YAS_BOND_YLD","YAS_YLD_FLAG=15","SETTLE_DT",$B$2))</f>
        <v/>
      </c>
      <c r="U675" s="15">
        <f>IF($A675="","",IF(OR(NOT(ISNUMBER($O675)),NOT(ISNUMBER($T675))),"",$O675-$T675))</f>
        <v/>
      </c>
      <c r="V675" s="13">
        <f>IF(NOT(ISNUMBER($S675)),"",COUNTIFS($G$7:$G$850,$G675,$S$7:$S$850,"&gt;"&amp;$S675)+COUNTIFS($G$7:$G675,$G675,$S$7:$S675,$S675))</f>
        <v/>
      </c>
      <c r="W675" s="13">
        <f>IF(NOT(ISNUMBER($S675)),"",COUNTIFS($G$7:$G$850,$G675,$S$7:$S$850,"&lt;"&amp;$S675)+COUNTIFS($G$7:$G675,$G675,$S$7:$S675,$S675))</f>
        <v/>
      </c>
      <c r="X675" s="8">
        <f>IF($V675="","",$G675&amp;"|"&amp;$V675)</f>
        <v/>
      </c>
      <c r="Y675" s="8">
        <f>IF($W675="","",$G675&amp;"|"&amp;$W675)</f>
        <v/>
      </c>
    </row>
    <row r="676">
      <c r="A676" s="16" t="inlineStr">
        <is>
          <t>XS2150006307</t>
        </is>
      </c>
      <c r="B676" s="17">
        <f>IF($A676="","",PROPER(_xll.BDP($A676&amp;" Corp","NAME")))</f>
        <v/>
      </c>
      <c r="C676" s="17">
        <f>IF($A676="","",IFERROR(INDEX(Company_desc!$B$2:$B$1144,MATCH($A676,Company_desc!$A$2:$A$1144,0)),IFERROR(INDEX(SYZ_static!$Q$2:$Q$806,MATCH($A676,SYZ_static!$A$2:$A$806,0)),"")))</f>
        <v/>
      </c>
      <c r="D676" s="17">
        <f>IF($A676="","",IFERROR(INDEX(SYZ_static!$B$2:$B$806,MATCH($A676,SYZ_static!$A$2:$A$806,0)),""))</f>
        <v/>
      </c>
      <c r="E676" s="17">
        <f>IF($A676="","",_xll.BDP($A676&amp;" Corp","INDUSTRY_SECTOR"))</f>
        <v/>
      </c>
      <c r="F676" s="17">
        <f>IF($A676="","",PROPER(_xll.BDP($A676&amp;" Corp","COUNTRY_FULL_NAME")))</f>
        <v/>
      </c>
      <c r="G676" s="17">
        <f>IF($A676="","",_xll.BDP($A676&amp;" Corp","CRNCY"))</f>
        <v/>
      </c>
      <c r="H676" s="17">
        <f>IF($A676="","",IFERROR(INDEX(SYZ_static!$T$2:$T$806,MATCH($A676,SYZ_static!$A$2:$A$806,0)),_xll.BDP($A676&amp;" Corp","RTG_SP")))</f>
        <v/>
      </c>
      <c r="I676" s="17">
        <f>IF($A676="","",IFERROR(INDEX(SYZ_static!$S$2:$S$806,MATCH($A676,SYZ_static!$A$2:$A$806,0)),""))</f>
        <v/>
      </c>
      <c r="J676" s="17">
        <f>IF($A676="","",_xll.BDP($A676&amp;" Corp","PAYMENT_RANK"))</f>
        <v/>
      </c>
      <c r="K676" s="18">
        <f>IF($A676="","",_xll.BDP($A676&amp;" Corp","CPN"))</f>
        <v/>
      </c>
      <c r="L676" s="19">
        <f>IF($A676="","",_xll.BDP($A676&amp;" Corp","MATURITY"))</f>
        <v/>
      </c>
      <c r="M676" s="20">
        <f>IF($A676="","",IFERROR(_xll.BDP($A676&amp;" Corp","MIN_PIECE")/1000,""))</f>
        <v/>
      </c>
      <c r="N676" s="21">
        <f>IF($A676="","",_xll.BDP($A676&amp;" Corp","PX_LAST"))</f>
        <v/>
      </c>
      <c r="O676" s="21">
        <f>IF($A676="","",_xll.BDP($A676&amp;" Corp","YAS_BOND_YLD","YAS_YLD_FLAG=15"))</f>
        <v/>
      </c>
      <c r="P676" s="21">
        <f>IF($A676="","",_xll.BDP($A676&amp;" Corp","YAS_MOD_DUR"))</f>
        <v/>
      </c>
      <c r="Q676" s="22">
        <f>IF($A676="","",_xll.BDP($A676&amp;" Corp","YAS_OAS_SPRD"))</f>
        <v/>
      </c>
      <c r="R676" s="22">
        <f>IF($A676="","",_xll.BDP($A676&amp;" Corp","YAS_OAS_SPRD","SETTLE_DT",$B$2))</f>
        <v/>
      </c>
      <c r="S676" s="23">
        <f>IF($A676="","",IF(OR(NOT(ISNUMBER($Q676)),NOT(ISNUMBER($R676))),"",$Q676-$R676))</f>
        <v/>
      </c>
      <c r="T676" s="21">
        <f>IF($A676="","",_xll.BDP($A676&amp;" Corp","YAS_BOND_YLD","YAS_YLD_FLAG=15","SETTLE_DT",$B$2))</f>
        <v/>
      </c>
      <c r="U676" s="24">
        <f>IF($A676="","",IF(OR(NOT(ISNUMBER($O676)),NOT(ISNUMBER($T676))),"",$O676-$T676))</f>
        <v/>
      </c>
      <c r="V676" s="22">
        <f>IF(NOT(ISNUMBER($S676)),"",COUNTIFS($G$7:$G$850,$G676,$S$7:$S$850,"&gt;"&amp;$S676)+COUNTIFS($G$7:$G676,$G676,$S$7:$S676,$S676))</f>
        <v/>
      </c>
      <c r="W676" s="22">
        <f>IF(NOT(ISNUMBER($S676)),"",COUNTIFS($G$7:$G$850,$G676,$S$7:$S$850,"&lt;"&amp;$S676)+COUNTIFS($G$7:$G676,$G676,$S$7:$S676,$S676))</f>
        <v/>
      </c>
      <c r="X676" s="17">
        <f>IF($V676="","",$G676&amp;"|"&amp;$V676)</f>
        <v/>
      </c>
      <c r="Y676" s="17">
        <f>IF($W676="","",$G676&amp;"|"&amp;$W676)</f>
        <v/>
      </c>
    </row>
    <row r="677">
      <c r="A677" s="7" t="inlineStr">
        <is>
          <t>XS2976491592</t>
        </is>
      </c>
      <c r="B677" s="8">
        <f>IF($A677="","",PROPER(_xll.BDP($A677&amp;" Corp","NAME")))</f>
        <v/>
      </c>
      <c r="C677" s="8">
        <f>IF($A677="","",IFERROR(INDEX(Company_desc!$B$2:$B$1144,MATCH($A677,Company_desc!$A$2:$A$1144,0)),IFERROR(INDEX(SYZ_static!$Q$2:$Q$806,MATCH($A677,SYZ_static!$A$2:$A$806,0)),"")))</f>
        <v/>
      </c>
      <c r="D677" s="8">
        <f>IF($A677="","",IFERROR(INDEX(SYZ_static!$B$2:$B$806,MATCH($A677,SYZ_static!$A$2:$A$806,0)),""))</f>
        <v/>
      </c>
      <c r="E677" s="8">
        <f>IF($A677="","",_xll.BDP($A677&amp;" Corp","INDUSTRY_SECTOR"))</f>
        <v/>
      </c>
      <c r="F677" s="8">
        <f>IF($A677="","",PROPER(_xll.BDP($A677&amp;" Corp","COUNTRY_FULL_NAME")))</f>
        <v/>
      </c>
      <c r="G677" s="8">
        <f>IF($A677="","",_xll.BDP($A677&amp;" Corp","CRNCY"))</f>
        <v/>
      </c>
      <c r="H677" s="8">
        <f>IF($A677="","",IFERROR(INDEX(SYZ_static!$T$2:$T$806,MATCH($A677,SYZ_static!$A$2:$A$806,0)),_xll.BDP($A677&amp;" Corp","RTG_SP")))</f>
        <v/>
      </c>
      <c r="I677" s="8">
        <f>IF($A677="","",IFERROR(INDEX(SYZ_static!$S$2:$S$806,MATCH($A677,SYZ_static!$A$2:$A$806,0)),""))</f>
        <v/>
      </c>
      <c r="J677" s="8">
        <f>IF($A677="","",_xll.BDP($A677&amp;" Corp","PAYMENT_RANK"))</f>
        <v/>
      </c>
      <c r="K677" s="9">
        <f>IF($A677="","",_xll.BDP($A677&amp;" Corp","CPN"))</f>
        <v/>
      </c>
      <c r="L677" s="10">
        <f>IF($A677="","",_xll.BDP($A677&amp;" Corp","MATURITY"))</f>
        <v/>
      </c>
      <c r="M677" s="11">
        <f>IF($A677="","",IFERROR(_xll.BDP($A677&amp;" Corp","MIN_PIECE")/1000,""))</f>
        <v/>
      </c>
      <c r="N677" s="12">
        <f>IF($A677="","",_xll.BDP($A677&amp;" Corp","PX_LAST"))</f>
        <v/>
      </c>
      <c r="O677" s="12">
        <f>IF($A677="","",_xll.BDP($A677&amp;" Corp","YAS_BOND_YLD","YAS_YLD_FLAG=15"))</f>
        <v/>
      </c>
      <c r="P677" s="12">
        <f>IF($A677="","",_xll.BDP($A677&amp;" Corp","YAS_MOD_DUR"))</f>
        <v/>
      </c>
      <c r="Q677" s="13">
        <f>IF($A677="","",_xll.BDP($A677&amp;" Corp","YAS_OAS_SPRD"))</f>
        <v/>
      </c>
      <c r="R677" s="13">
        <f>IF($A677="","",_xll.BDP($A677&amp;" Corp","YAS_OAS_SPRD","SETTLE_DT",$B$2))</f>
        <v/>
      </c>
      <c r="S677" s="14">
        <f>IF($A677="","",IF(OR(NOT(ISNUMBER($Q677)),NOT(ISNUMBER($R677))),"",$Q677-$R677))</f>
        <v/>
      </c>
      <c r="T677" s="12">
        <f>IF($A677="","",_xll.BDP($A677&amp;" Corp","YAS_BOND_YLD","YAS_YLD_FLAG=15","SETTLE_DT",$B$2))</f>
        <v/>
      </c>
      <c r="U677" s="15">
        <f>IF($A677="","",IF(OR(NOT(ISNUMBER($O677)),NOT(ISNUMBER($T677))),"",$O677-$T677))</f>
        <v/>
      </c>
      <c r="V677" s="13">
        <f>IF(NOT(ISNUMBER($S677)),"",COUNTIFS($G$7:$G$850,$G677,$S$7:$S$850,"&gt;"&amp;$S677)+COUNTIFS($G$7:$G677,$G677,$S$7:$S677,$S677))</f>
        <v/>
      </c>
      <c r="W677" s="13">
        <f>IF(NOT(ISNUMBER($S677)),"",COUNTIFS($G$7:$G$850,$G677,$S$7:$S$850,"&lt;"&amp;$S677)+COUNTIFS($G$7:$G677,$G677,$S$7:$S677,$S677))</f>
        <v/>
      </c>
      <c r="X677" s="8">
        <f>IF($V677="","",$G677&amp;"|"&amp;$V677)</f>
        <v/>
      </c>
      <c r="Y677" s="8">
        <f>IF($W677="","",$G677&amp;"|"&amp;$W677)</f>
        <v/>
      </c>
    </row>
    <row r="678">
      <c r="A678" s="16" t="inlineStr">
        <is>
          <t>US713448FS27</t>
        </is>
      </c>
      <c r="B678" s="17">
        <f>IF($A678="","",PROPER(_xll.BDP($A678&amp;" Corp","NAME")))</f>
        <v/>
      </c>
      <c r="C678" s="17">
        <f>IF($A678="","",IFERROR(INDEX(Company_desc!$B$2:$B$1144,MATCH($A678,Company_desc!$A$2:$A$1144,0)),IFERROR(INDEX(SYZ_static!$Q$2:$Q$806,MATCH($A678,SYZ_static!$A$2:$A$806,0)),"")))</f>
        <v/>
      </c>
      <c r="D678" s="17">
        <f>IF($A678="","",IFERROR(INDEX(SYZ_static!$B$2:$B$806,MATCH($A678,SYZ_static!$A$2:$A$806,0)),""))</f>
        <v/>
      </c>
      <c r="E678" s="17">
        <f>IF($A678="","",_xll.BDP($A678&amp;" Corp","INDUSTRY_SECTOR"))</f>
        <v/>
      </c>
      <c r="F678" s="17">
        <f>IF($A678="","",PROPER(_xll.BDP($A678&amp;" Corp","COUNTRY_FULL_NAME")))</f>
        <v/>
      </c>
      <c r="G678" s="17">
        <f>IF($A678="","",_xll.BDP($A678&amp;" Corp","CRNCY"))</f>
        <v/>
      </c>
      <c r="H678" s="17">
        <f>IF($A678="","",IFERROR(INDEX(SYZ_static!$T$2:$T$806,MATCH($A678,SYZ_static!$A$2:$A$806,0)),_xll.BDP($A678&amp;" Corp","RTG_SP")))</f>
        <v/>
      </c>
      <c r="I678" s="17">
        <f>IF($A678="","",IFERROR(INDEX(SYZ_static!$S$2:$S$806,MATCH($A678,SYZ_static!$A$2:$A$806,0)),""))</f>
        <v/>
      </c>
      <c r="J678" s="17">
        <f>IF($A678="","",_xll.BDP($A678&amp;" Corp","PAYMENT_RANK"))</f>
        <v/>
      </c>
      <c r="K678" s="18">
        <f>IF($A678="","",_xll.BDP($A678&amp;" Corp","CPN"))</f>
        <v/>
      </c>
      <c r="L678" s="19">
        <f>IF($A678="","",_xll.BDP($A678&amp;" Corp","MATURITY"))</f>
        <v/>
      </c>
      <c r="M678" s="20">
        <f>IF($A678="","",IFERROR(_xll.BDP($A678&amp;" Corp","MIN_PIECE")/1000,""))</f>
        <v/>
      </c>
      <c r="N678" s="21">
        <f>IF($A678="","",_xll.BDP($A678&amp;" Corp","PX_LAST"))</f>
        <v/>
      </c>
      <c r="O678" s="21">
        <f>IF($A678="","",_xll.BDP($A678&amp;" Corp","YAS_BOND_YLD","YAS_YLD_FLAG=15"))</f>
        <v/>
      </c>
      <c r="P678" s="21">
        <f>IF($A678="","",_xll.BDP($A678&amp;" Corp","YAS_MOD_DUR"))</f>
        <v/>
      </c>
      <c r="Q678" s="22">
        <f>IF($A678="","",_xll.BDP($A678&amp;" Corp","YAS_OAS_SPRD"))</f>
        <v/>
      </c>
      <c r="R678" s="22">
        <f>IF($A678="","",_xll.BDP($A678&amp;" Corp","YAS_OAS_SPRD","SETTLE_DT",$B$2))</f>
        <v/>
      </c>
      <c r="S678" s="23">
        <f>IF($A678="","",IF(OR(NOT(ISNUMBER($Q678)),NOT(ISNUMBER($R678))),"",$Q678-$R678))</f>
        <v/>
      </c>
      <c r="T678" s="21">
        <f>IF($A678="","",_xll.BDP($A678&amp;" Corp","YAS_BOND_YLD","YAS_YLD_FLAG=15","SETTLE_DT",$B$2))</f>
        <v/>
      </c>
      <c r="U678" s="24">
        <f>IF($A678="","",IF(OR(NOT(ISNUMBER($O678)),NOT(ISNUMBER($T678))),"",$O678-$T678))</f>
        <v/>
      </c>
      <c r="V678" s="22">
        <f>IF(NOT(ISNUMBER($S678)),"",COUNTIFS($G$7:$G$850,$G678,$S$7:$S$850,"&gt;"&amp;$S678)+COUNTIFS($G$7:$G678,$G678,$S$7:$S678,$S678))</f>
        <v/>
      </c>
      <c r="W678" s="22">
        <f>IF(NOT(ISNUMBER($S678)),"",COUNTIFS($G$7:$G$850,$G678,$S$7:$S$850,"&lt;"&amp;$S678)+COUNTIFS($G$7:$G678,$G678,$S$7:$S678,$S678))</f>
        <v/>
      </c>
      <c r="X678" s="17">
        <f>IF($V678="","",$G678&amp;"|"&amp;$V678)</f>
        <v/>
      </c>
      <c r="Y678" s="17">
        <f>IF($W678="","",$G678&amp;"|"&amp;$W678)</f>
        <v/>
      </c>
    </row>
    <row r="679">
      <c r="A679" s="7" t="inlineStr">
        <is>
          <t>XS2980761014</t>
        </is>
      </c>
      <c r="B679" s="8">
        <f>IF($A679="","",PROPER(_xll.BDP($A679&amp;" Corp","NAME")))</f>
        <v/>
      </c>
      <c r="C679" s="8">
        <f>IF($A679="","",IFERROR(INDEX(Company_desc!$B$2:$B$1144,MATCH($A679,Company_desc!$A$2:$A$1144,0)),IFERROR(INDEX(SYZ_static!$Q$2:$Q$806,MATCH($A679,SYZ_static!$A$2:$A$806,0)),"")))</f>
        <v/>
      </c>
      <c r="D679" s="8">
        <f>IF($A679="","",IFERROR(INDEX(SYZ_static!$B$2:$B$806,MATCH($A679,SYZ_static!$A$2:$A$806,0)),""))</f>
        <v/>
      </c>
      <c r="E679" s="8">
        <f>IF($A679="","",_xll.BDP($A679&amp;" Corp","INDUSTRY_SECTOR"))</f>
        <v/>
      </c>
      <c r="F679" s="8">
        <f>IF($A679="","",PROPER(_xll.BDP($A679&amp;" Corp","COUNTRY_FULL_NAME")))</f>
        <v/>
      </c>
      <c r="G679" s="8">
        <f>IF($A679="","",_xll.BDP($A679&amp;" Corp","CRNCY"))</f>
        <v/>
      </c>
      <c r="H679" s="8">
        <f>IF($A679="","",IFERROR(INDEX(SYZ_static!$T$2:$T$806,MATCH($A679,SYZ_static!$A$2:$A$806,0)),_xll.BDP($A679&amp;" Corp","RTG_SP")))</f>
        <v/>
      </c>
      <c r="I679" s="8">
        <f>IF($A679="","",IFERROR(INDEX(SYZ_static!$S$2:$S$806,MATCH($A679,SYZ_static!$A$2:$A$806,0)),""))</f>
        <v/>
      </c>
      <c r="J679" s="8">
        <f>IF($A679="","",_xll.BDP($A679&amp;" Corp","PAYMENT_RANK"))</f>
        <v/>
      </c>
      <c r="K679" s="9">
        <f>IF($A679="","",_xll.BDP($A679&amp;" Corp","CPN"))</f>
        <v/>
      </c>
      <c r="L679" s="10">
        <f>IF($A679="","",_xll.BDP($A679&amp;" Corp","MATURITY"))</f>
        <v/>
      </c>
      <c r="M679" s="11">
        <f>IF($A679="","",IFERROR(_xll.BDP($A679&amp;" Corp","MIN_PIECE")/1000,""))</f>
        <v/>
      </c>
      <c r="N679" s="12">
        <f>IF($A679="","",_xll.BDP($A679&amp;" Corp","PX_LAST"))</f>
        <v/>
      </c>
      <c r="O679" s="12">
        <f>IF($A679="","",_xll.BDP($A679&amp;" Corp","YAS_BOND_YLD","YAS_YLD_FLAG=15"))</f>
        <v/>
      </c>
      <c r="P679" s="12">
        <f>IF($A679="","",_xll.BDP($A679&amp;" Corp","YAS_MOD_DUR"))</f>
        <v/>
      </c>
      <c r="Q679" s="13">
        <f>IF($A679="","",_xll.BDP($A679&amp;" Corp","YAS_OAS_SPRD"))</f>
        <v/>
      </c>
      <c r="R679" s="13">
        <f>IF($A679="","",_xll.BDP($A679&amp;" Corp","YAS_OAS_SPRD","SETTLE_DT",$B$2))</f>
        <v/>
      </c>
      <c r="S679" s="14">
        <f>IF($A679="","",IF(OR(NOT(ISNUMBER($Q679)),NOT(ISNUMBER($R679))),"",$Q679-$R679))</f>
        <v/>
      </c>
      <c r="T679" s="12">
        <f>IF($A679="","",_xll.BDP($A679&amp;" Corp","YAS_BOND_YLD","YAS_YLD_FLAG=15","SETTLE_DT",$B$2))</f>
        <v/>
      </c>
      <c r="U679" s="15">
        <f>IF($A679="","",IF(OR(NOT(ISNUMBER($O679)),NOT(ISNUMBER($T679))),"",$O679-$T679))</f>
        <v/>
      </c>
      <c r="V679" s="13">
        <f>IF(NOT(ISNUMBER($S679)),"",COUNTIFS($G$7:$G$850,$G679,$S$7:$S$850,"&gt;"&amp;$S679)+COUNTIFS($G$7:$G679,$G679,$S$7:$S679,$S679))</f>
        <v/>
      </c>
      <c r="W679" s="13">
        <f>IF(NOT(ISNUMBER($S679)),"",COUNTIFS($G$7:$G$850,$G679,$S$7:$S$850,"&lt;"&amp;$S679)+COUNTIFS($G$7:$G679,$G679,$S$7:$S679,$S679))</f>
        <v/>
      </c>
      <c r="X679" s="8">
        <f>IF($V679="","",$G679&amp;"|"&amp;$V679)</f>
        <v/>
      </c>
      <c r="Y679" s="8">
        <f>IF($W679="","",$G679&amp;"|"&amp;$W679)</f>
        <v/>
      </c>
    </row>
    <row r="680">
      <c r="A680" s="16" t="inlineStr">
        <is>
          <t>XS1885608817</t>
        </is>
      </c>
      <c r="B680" s="17">
        <f>IF($A680="","",PROPER(_xll.BDP($A680&amp;" Corp","NAME")))</f>
        <v/>
      </c>
      <c r="C680" s="17">
        <f>IF($A680="","",IFERROR(INDEX(Company_desc!$B$2:$B$1144,MATCH($A680,Company_desc!$A$2:$A$1144,0)),IFERROR(INDEX(SYZ_static!$Q$2:$Q$806,MATCH($A680,SYZ_static!$A$2:$A$806,0)),"")))</f>
        <v/>
      </c>
      <c r="D680" s="17">
        <f>IF($A680="","",IFERROR(INDEX(SYZ_static!$B$2:$B$806,MATCH($A680,SYZ_static!$A$2:$A$806,0)),""))</f>
        <v/>
      </c>
      <c r="E680" s="17">
        <f>IF($A680="","",_xll.BDP($A680&amp;" Corp","INDUSTRY_SECTOR"))</f>
        <v/>
      </c>
      <c r="F680" s="17">
        <f>IF($A680="","",PROPER(_xll.BDP($A680&amp;" Corp","COUNTRY_FULL_NAME")))</f>
        <v/>
      </c>
      <c r="G680" s="17">
        <f>IF($A680="","",_xll.BDP($A680&amp;" Corp","CRNCY"))</f>
        <v/>
      </c>
      <c r="H680" s="17">
        <f>IF($A680="","",IFERROR(INDEX(SYZ_static!$T$2:$T$806,MATCH($A680,SYZ_static!$A$2:$A$806,0)),_xll.BDP($A680&amp;" Corp","RTG_SP")))</f>
        <v/>
      </c>
      <c r="I680" s="17">
        <f>IF($A680="","",IFERROR(INDEX(SYZ_static!$S$2:$S$806,MATCH($A680,SYZ_static!$A$2:$A$806,0)),""))</f>
        <v/>
      </c>
      <c r="J680" s="17">
        <f>IF($A680="","",_xll.BDP($A680&amp;" Corp","PAYMENT_RANK"))</f>
        <v/>
      </c>
      <c r="K680" s="18">
        <f>IF($A680="","",_xll.BDP($A680&amp;" Corp","CPN"))</f>
        <v/>
      </c>
      <c r="L680" s="19">
        <f>IF($A680="","",_xll.BDP($A680&amp;" Corp","MATURITY"))</f>
        <v/>
      </c>
      <c r="M680" s="20">
        <f>IF($A680="","",IFERROR(_xll.BDP($A680&amp;" Corp","MIN_PIECE")/1000,""))</f>
        <v/>
      </c>
      <c r="N680" s="21">
        <f>IF($A680="","",_xll.BDP($A680&amp;" Corp","PX_LAST"))</f>
        <v/>
      </c>
      <c r="O680" s="21">
        <f>IF($A680="","",_xll.BDP($A680&amp;" Corp","YAS_BOND_YLD","YAS_YLD_FLAG=15"))</f>
        <v/>
      </c>
      <c r="P680" s="21">
        <f>IF($A680="","",_xll.BDP($A680&amp;" Corp","YAS_MOD_DUR"))</f>
        <v/>
      </c>
      <c r="Q680" s="22">
        <f>IF($A680="","",_xll.BDP($A680&amp;" Corp","YAS_OAS_SPRD"))</f>
        <v/>
      </c>
      <c r="R680" s="22">
        <f>IF($A680="","",_xll.BDP($A680&amp;" Corp","YAS_OAS_SPRD","SETTLE_DT",$B$2))</f>
        <v/>
      </c>
      <c r="S680" s="23">
        <f>IF($A680="","",IF(OR(NOT(ISNUMBER($Q680)),NOT(ISNUMBER($R680))),"",$Q680-$R680))</f>
        <v/>
      </c>
      <c r="T680" s="21">
        <f>IF($A680="","",_xll.BDP($A680&amp;" Corp","YAS_BOND_YLD","YAS_YLD_FLAG=15","SETTLE_DT",$B$2))</f>
        <v/>
      </c>
      <c r="U680" s="24">
        <f>IF($A680="","",IF(OR(NOT(ISNUMBER($O680)),NOT(ISNUMBER($T680))),"",$O680-$T680))</f>
        <v/>
      </c>
      <c r="V680" s="22">
        <f>IF(NOT(ISNUMBER($S680)),"",COUNTIFS($G$7:$G$850,$G680,$S$7:$S$850,"&gt;"&amp;$S680)+COUNTIFS($G$7:$G680,$G680,$S$7:$S680,$S680))</f>
        <v/>
      </c>
      <c r="W680" s="22">
        <f>IF(NOT(ISNUMBER($S680)),"",COUNTIFS($G$7:$G$850,$G680,$S$7:$S$850,"&lt;"&amp;$S680)+COUNTIFS($G$7:$G680,$G680,$S$7:$S680,$S680))</f>
        <v/>
      </c>
      <c r="X680" s="17">
        <f>IF($V680="","",$G680&amp;"|"&amp;$V680)</f>
        <v/>
      </c>
      <c r="Y680" s="17">
        <f>IF($W680="","",$G680&amp;"|"&amp;$W680)</f>
        <v/>
      </c>
    </row>
    <row r="681">
      <c r="A681" s="7" t="inlineStr">
        <is>
          <t>US02079KAE73</t>
        </is>
      </c>
      <c r="B681" s="8">
        <f>IF($A681="","",PROPER(_xll.BDP($A681&amp;" Corp","NAME")))</f>
        <v/>
      </c>
      <c r="C681" s="8">
        <f>IF($A681="","",IFERROR(INDEX(Company_desc!$B$2:$B$1144,MATCH($A681,Company_desc!$A$2:$A$1144,0)),IFERROR(INDEX(SYZ_static!$Q$2:$Q$806,MATCH($A681,SYZ_static!$A$2:$A$806,0)),"")))</f>
        <v/>
      </c>
      <c r="D681" s="8">
        <f>IF($A681="","",IFERROR(INDEX(SYZ_static!$B$2:$B$806,MATCH($A681,SYZ_static!$A$2:$A$806,0)),""))</f>
        <v/>
      </c>
      <c r="E681" s="8">
        <f>IF($A681="","",_xll.BDP($A681&amp;" Corp","INDUSTRY_SECTOR"))</f>
        <v/>
      </c>
      <c r="F681" s="8">
        <f>IF($A681="","",PROPER(_xll.BDP($A681&amp;" Corp","COUNTRY_FULL_NAME")))</f>
        <v/>
      </c>
      <c r="G681" s="8">
        <f>IF($A681="","",_xll.BDP($A681&amp;" Corp","CRNCY"))</f>
        <v/>
      </c>
      <c r="H681" s="8">
        <f>IF($A681="","",IFERROR(INDEX(SYZ_static!$T$2:$T$806,MATCH($A681,SYZ_static!$A$2:$A$806,0)),_xll.BDP($A681&amp;" Corp","RTG_SP")))</f>
        <v/>
      </c>
      <c r="I681" s="8">
        <f>IF($A681="","",IFERROR(INDEX(SYZ_static!$S$2:$S$806,MATCH($A681,SYZ_static!$A$2:$A$806,0)),""))</f>
        <v/>
      </c>
      <c r="J681" s="8">
        <f>IF($A681="","",_xll.BDP($A681&amp;" Corp","PAYMENT_RANK"))</f>
        <v/>
      </c>
      <c r="K681" s="9">
        <f>IF($A681="","",_xll.BDP($A681&amp;" Corp","CPN"))</f>
        <v/>
      </c>
      <c r="L681" s="10">
        <f>IF($A681="","",_xll.BDP($A681&amp;" Corp","MATURITY"))</f>
        <v/>
      </c>
      <c r="M681" s="11">
        <f>IF($A681="","",IFERROR(_xll.BDP($A681&amp;" Corp","MIN_PIECE")/1000,""))</f>
        <v/>
      </c>
      <c r="N681" s="12">
        <f>IF($A681="","",_xll.BDP($A681&amp;" Corp","PX_LAST"))</f>
        <v/>
      </c>
      <c r="O681" s="12">
        <f>IF($A681="","",_xll.BDP($A681&amp;" Corp","YAS_BOND_YLD","YAS_YLD_FLAG=15"))</f>
        <v/>
      </c>
      <c r="P681" s="12">
        <f>IF($A681="","",_xll.BDP($A681&amp;" Corp","YAS_MOD_DUR"))</f>
        <v/>
      </c>
      <c r="Q681" s="13">
        <f>IF($A681="","",_xll.BDP($A681&amp;" Corp","YAS_OAS_SPRD"))</f>
        <v/>
      </c>
      <c r="R681" s="13">
        <f>IF($A681="","",_xll.BDP($A681&amp;" Corp","YAS_OAS_SPRD","SETTLE_DT",$B$2))</f>
        <v/>
      </c>
      <c r="S681" s="14">
        <f>IF($A681="","",IF(OR(NOT(ISNUMBER($Q681)),NOT(ISNUMBER($R681))),"",$Q681-$R681))</f>
        <v/>
      </c>
      <c r="T681" s="12">
        <f>IF($A681="","",_xll.BDP($A681&amp;" Corp","YAS_BOND_YLD","YAS_YLD_FLAG=15","SETTLE_DT",$B$2))</f>
        <v/>
      </c>
      <c r="U681" s="15">
        <f>IF($A681="","",IF(OR(NOT(ISNUMBER($O681)),NOT(ISNUMBER($T681))),"",$O681-$T681))</f>
        <v/>
      </c>
      <c r="V681" s="13">
        <f>IF(NOT(ISNUMBER($S681)),"",COUNTIFS($G$7:$G$850,$G681,$S$7:$S$850,"&gt;"&amp;$S681)+COUNTIFS($G$7:$G681,$G681,$S$7:$S681,$S681))</f>
        <v/>
      </c>
      <c r="W681" s="13">
        <f>IF(NOT(ISNUMBER($S681)),"",COUNTIFS($G$7:$G$850,$G681,$S$7:$S$850,"&lt;"&amp;$S681)+COUNTIFS($G$7:$G681,$G681,$S$7:$S681,$S681))</f>
        <v/>
      </c>
      <c r="X681" s="8">
        <f>IF($V681="","",$G681&amp;"|"&amp;$V681)</f>
        <v/>
      </c>
      <c r="Y681" s="8">
        <f>IF($W681="","",$G681&amp;"|"&amp;$W681)</f>
        <v/>
      </c>
    </row>
    <row r="682">
      <c r="A682" s="16" t="inlineStr">
        <is>
          <t>XS0330497149</t>
        </is>
      </c>
      <c r="B682" s="17">
        <f>IF($A682="","",PROPER(_xll.BDP($A682&amp;" Corp","NAME")))</f>
        <v/>
      </c>
      <c r="C682" s="17">
        <f>IF($A682="","",IFERROR(INDEX(Company_desc!$B$2:$B$1144,MATCH($A682,Company_desc!$A$2:$A$1144,0)),IFERROR(INDEX(SYZ_static!$Q$2:$Q$806,MATCH($A682,SYZ_static!$A$2:$A$806,0)),"")))</f>
        <v/>
      </c>
      <c r="D682" s="17">
        <f>IF($A682="","",IFERROR(INDEX(SYZ_static!$B$2:$B$806,MATCH($A682,SYZ_static!$A$2:$A$806,0)),""))</f>
        <v/>
      </c>
      <c r="E682" s="17">
        <f>IF($A682="","",_xll.BDP($A682&amp;" Corp","INDUSTRY_SECTOR"))</f>
        <v/>
      </c>
      <c r="F682" s="17">
        <f>IF($A682="","",PROPER(_xll.BDP($A682&amp;" Corp","COUNTRY_FULL_NAME")))</f>
        <v/>
      </c>
      <c r="G682" s="17">
        <f>IF($A682="","",_xll.BDP($A682&amp;" Corp","CRNCY"))</f>
        <v/>
      </c>
      <c r="H682" s="17">
        <f>IF($A682="","",IFERROR(INDEX(SYZ_static!$T$2:$T$806,MATCH($A682,SYZ_static!$A$2:$A$806,0)),_xll.BDP($A682&amp;" Corp","RTG_SP")))</f>
        <v/>
      </c>
      <c r="I682" s="17">
        <f>IF($A682="","",IFERROR(INDEX(SYZ_static!$S$2:$S$806,MATCH($A682,SYZ_static!$A$2:$A$806,0)),""))</f>
        <v/>
      </c>
      <c r="J682" s="17">
        <f>IF($A682="","",_xll.BDP($A682&amp;" Corp","PAYMENT_RANK"))</f>
        <v/>
      </c>
      <c r="K682" s="18">
        <f>IF($A682="","",_xll.BDP($A682&amp;" Corp","CPN"))</f>
        <v/>
      </c>
      <c r="L682" s="19">
        <f>IF($A682="","",_xll.BDP($A682&amp;" Corp","MATURITY"))</f>
        <v/>
      </c>
      <c r="M682" s="20">
        <f>IF($A682="","",IFERROR(_xll.BDP($A682&amp;" Corp","MIN_PIECE")/1000,""))</f>
        <v/>
      </c>
      <c r="N682" s="21">
        <f>IF($A682="","",_xll.BDP($A682&amp;" Corp","PX_LAST"))</f>
        <v/>
      </c>
      <c r="O682" s="21">
        <f>IF($A682="","",_xll.BDP($A682&amp;" Corp","YAS_BOND_YLD","YAS_YLD_FLAG=15"))</f>
        <v/>
      </c>
      <c r="P682" s="21">
        <f>IF($A682="","",_xll.BDP($A682&amp;" Corp","YAS_MOD_DUR"))</f>
        <v/>
      </c>
      <c r="Q682" s="22">
        <f>IF($A682="","",_xll.BDP($A682&amp;" Corp","YAS_OAS_SPRD"))</f>
        <v/>
      </c>
      <c r="R682" s="22">
        <f>IF($A682="","",_xll.BDP($A682&amp;" Corp","YAS_OAS_SPRD","SETTLE_DT",$B$2))</f>
        <v/>
      </c>
      <c r="S682" s="23">
        <f>IF($A682="","",IF(OR(NOT(ISNUMBER($Q682)),NOT(ISNUMBER($R682))),"",$Q682-$R682))</f>
        <v/>
      </c>
      <c r="T682" s="21">
        <f>IF($A682="","",_xll.BDP($A682&amp;" Corp","YAS_BOND_YLD","YAS_YLD_FLAG=15","SETTLE_DT",$B$2))</f>
        <v/>
      </c>
      <c r="U682" s="24">
        <f>IF($A682="","",IF(OR(NOT(ISNUMBER($O682)),NOT(ISNUMBER($T682))),"",$O682-$T682))</f>
        <v/>
      </c>
      <c r="V682" s="22">
        <f>IF(NOT(ISNUMBER($S682)),"",COUNTIFS($G$7:$G$850,$G682,$S$7:$S$850,"&gt;"&amp;$S682)+COUNTIFS($G$7:$G682,$G682,$S$7:$S682,$S682))</f>
        <v/>
      </c>
      <c r="W682" s="22">
        <f>IF(NOT(ISNUMBER($S682)),"",COUNTIFS($G$7:$G$850,$G682,$S$7:$S$850,"&lt;"&amp;$S682)+COUNTIFS($G$7:$G682,$G682,$S$7:$S682,$S682))</f>
        <v/>
      </c>
      <c r="X682" s="17">
        <f>IF($V682="","",$G682&amp;"|"&amp;$V682)</f>
        <v/>
      </c>
      <c r="Y682" s="17">
        <f>IF($W682="","",$G682&amp;"|"&amp;$W682)</f>
        <v/>
      </c>
    </row>
    <row r="683">
      <c r="A683" s="7" t="inlineStr">
        <is>
          <t>CH0425766539</t>
        </is>
      </c>
      <c r="B683" s="8">
        <f>IF($A683="","",PROPER(_xll.BDP($A683&amp;" Corp","NAME")))</f>
        <v/>
      </c>
      <c r="C683" s="8">
        <f>IF($A683="","",IFERROR(INDEX(Company_desc!$B$2:$B$1144,MATCH($A683,Company_desc!$A$2:$A$1144,0)),IFERROR(INDEX(SYZ_static!$Q$2:$Q$806,MATCH($A683,SYZ_static!$A$2:$A$806,0)),"")))</f>
        <v/>
      </c>
      <c r="D683" s="8">
        <f>IF($A683="","",IFERROR(INDEX(SYZ_static!$B$2:$B$806,MATCH($A683,SYZ_static!$A$2:$A$806,0)),""))</f>
        <v/>
      </c>
      <c r="E683" s="8">
        <f>IF($A683="","",_xll.BDP($A683&amp;" Corp","INDUSTRY_SECTOR"))</f>
        <v/>
      </c>
      <c r="F683" s="8">
        <f>IF($A683="","",PROPER(_xll.BDP($A683&amp;" Corp","COUNTRY_FULL_NAME")))</f>
        <v/>
      </c>
      <c r="G683" s="8">
        <f>IF($A683="","",_xll.BDP($A683&amp;" Corp","CRNCY"))</f>
        <v/>
      </c>
      <c r="H683" s="8">
        <f>IF($A683="","",IFERROR(INDEX(SYZ_static!$T$2:$T$806,MATCH($A683,SYZ_static!$A$2:$A$806,0)),_xll.BDP($A683&amp;" Corp","RTG_SP")))</f>
        <v/>
      </c>
      <c r="I683" s="8">
        <f>IF($A683="","",IFERROR(INDEX(SYZ_static!$S$2:$S$806,MATCH($A683,SYZ_static!$A$2:$A$806,0)),""))</f>
        <v/>
      </c>
      <c r="J683" s="8">
        <f>IF($A683="","",_xll.BDP($A683&amp;" Corp","PAYMENT_RANK"))</f>
        <v/>
      </c>
      <c r="K683" s="9">
        <f>IF($A683="","",_xll.BDP($A683&amp;" Corp","CPN"))</f>
        <v/>
      </c>
      <c r="L683" s="10">
        <f>IF($A683="","",_xll.BDP($A683&amp;" Corp","MATURITY"))</f>
        <v/>
      </c>
      <c r="M683" s="11">
        <f>IF($A683="","",IFERROR(_xll.BDP($A683&amp;" Corp","MIN_PIECE")/1000,""))</f>
        <v/>
      </c>
      <c r="N683" s="12">
        <f>IF($A683="","",_xll.BDP($A683&amp;" Corp","PX_LAST"))</f>
        <v/>
      </c>
      <c r="O683" s="12">
        <f>IF($A683="","",_xll.BDP($A683&amp;" Corp","YAS_BOND_YLD","YAS_YLD_FLAG=15"))</f>
        <v/>
      </c>
      <c r="P683" s="12">
        <f>IF($A683="","",_xll.BDP($A683&amp;" Corp","YAS_MOD_DUR"))</f>
        <v/>
      </c>
      <c r="Q683" s="13">
        <f>IF($A683="","",_xll.BDP($A683&amp;" Corp","YAS_OAS_SPRD"))</f>
        <v/>
      </c>
      <c r="R683" s="13">
        <f>IF($A683="","",_xll.BDP($A683&amp;" Corp","YAS_OAS_SPRD","SETTLE_DT",$B$2))</f>
        <v/>
      </c>
      <c r="S683" s="14">
        <f>IF($A683="","",IF(OR(NOT(ISNUMBER($Q683)),NOT(ISNUMBER($R683))),"",$Q683-$R683))</f>
        <v/>
      </c>
      <c r="T683" s="12">
        <f>IF($A683="","",_xll.BDP($A683&amp;" Corp","YAS_BOND_YLD","YAS_YLD_FLAG=15","SETTLE_DT",$B$2))</f>
        <v/>
      </c>
      <c r="U683" s="15">
        <f>IF($A683="","",IF(OR(NOT(ISNUMBER($O683)),NOT(ISNUMBER($T683))),"",$O683-$T683))</f>
        <v/>
      </c>
      <c r="V683" s="13">
        <f>IF(NOT(ISNUMBER($S683)),"",COUNTIFS($G$7:$G$850,$G683,$S$7:$S$850,"&gt;"&amp;$S683)+COUNTIFS($G$7:$G683,$G683,$S$7:$S683,$S683))</f>
        <v/>
      </c>
      <c r="W683" s="13">
        <f>IF(NOT(ISNUMBER($S683)),"",COUNTIFS($G$7:$G$850,$G683,$S$7:$S$850,"&lt;"&amp;$S683)+COUNTIFS($G$7:$G683,$G683,$S$7:$S683,$S683))</f>
        <v/>
      </c>
      <c r="X683" s="8">
        <f>IF($V683="","",$G683&amp;"|"&amp;$V683)</f>
        <v/>
      </c>
      <c r="Y683" s="8">
        <f>IF($W683="","",$G683&amp;"|"&amp;$W683)</f>
        <v/>
      </c>
    </row>
    <row r="684">
      <c r="A684" s="16" t="inlineStr">
        <is>
          <t>US713448EL82</t>
        </is>
      </c>
      <c r="B684" s="17">
        <f>IF($A684="","",PROPER(_xll.BDP($A684&amp;" Corp","NAME")))</f>
        <v/>
      </c>
      <c r="C684" s="17">
        <f>IF($A684="","",IFERROR(INDEX(Company_desc!$B$2:$B$1144,MATCH($A684,Company_desc!$A$2:$A$1144,0)),IFERROR(INDEX(SYZ_static!$Q$2:$Q$806,MATCH($A684,SYZ_static!$A$2:$A$806,0)),"")))</f>
        <v/>
      </c>
      <c r="D684" s="17">
        <f>IF($A684="","",IFERROR(INDEX(SYZ_static!$B$2:$B$806,MATCH($A684,SYZ_static!$A$2:$A$806,0)),""))</f>
        <v/>
      </c>
      <c r="E684" s="17">
        <f>IF($A684="","",_xll.BDP($A684&amp;" Corp","INDUSTRY_SECTOR"))</f>
        <v/>
      </c>
      <c r="F684" s="17">
        <f>IF($A684="","",PROPER(_xll.BDP($A684&amp;" Corp","COUNTRY_FULL_NAME")))</f>
        <v/>
      </c>
      <c r="G684" s="17">
        <f>IF($A684="","",_xll.BDP($A684&amp;" Corp","CRNCY"))</f>
        <v/>
      </c>
      <c r="H684" s="17">
        <f>IF($A684="","",IFERROR(INDEX(SYZ_static!$T$2:$T$806,MATCH($A684,SYZ_static!$A$2:$A$806,0)),_xll.BDP($A684&amp;" Corp","RTG_SP")))</f>
        <v/>
      </c>
      <c r="I684" s="17">
        <f>IF($A684="","",IFERROR(INDEX(SYZ_static!$S$2:$S$806,MATCH($A684,SYZ_static!$A$2:$A$806,0)),""))</f>
        <v/>
      </c>
      <c r="J684" s="17">
        <f>IF($A684="","",_xll.BDP($A684&amp;" Corp","PAYMENT_RANK"))</f>
        <v/>
      </c>
      <c r="K684" s="18">
        <f>IF($A684="","",_xll.BDP($A684&amp;" Corp","CPN"))</f>
        <v/>
      </c>
      <c r="L684" s="19">
        <f>IF($A684="","",_xll.BDP($A684&amp;" Corp","MATURITY"))</f>
        <v/>
      </c>
      <c r="M684" s="20">
        <f>IF($A684="","",IFERROR(_xll.BDP($A684&amp;" Corp","MIN_PIECE")/1000,""))</f>
        <v/>
      </c>
      <c r="N684" s="21">
        <f>IF($A684="","",_xll.BDP($A684&amp;" Corp","PX_LAST"))</f>
        <v/>
      </c>
      <c r="O684" s="21">
        <f>IF($A684="","",_xll.BDP($A684&amp;" Corp","YAS_BOND_YLD","YAS_YLD_FLAG=15"))</f>
        <v/>
      </c>
      <c r="P684" s="21">
        <f>IF($A684="","",_xll.BDP($A684&amp;" Corp","YAS_MOD_DUR"))</f>
        <v/>
      </c>
      <c r="Q684" s="22">
        <f>IF($A684="","",_xll.BDP($A684&amp;" Corp","YAS_OAS_SPRD"))</f>
        <v/>
      </c>
      <c r="R684" s="22">
        <f>IF($A684="","",_xll.BDP($A684&amp;" Corp","YAS_OAS_SPRD","SETTLE_DT",$B$2))</f>
        <v/>
      </c>
      <c r="S684" s="23">
        <f>IF($A684="","",IF(OR(NOT(ISNUMBER($Q684)),NOT(ISNUMBER($R684))),"",$Q684-$R684))</f>
        <v/>
      </c>
      <c r="T684" s="21">
        <f>IF($A684="","",_xll.BDP($A684&amp;" Corp","YAS_BOND_YLD","YAS_YLD_FLAG=15","SETTLE_DT",$B$2))</f>
        <v/>
      </c>
      <c r="U684" s="24">
        <f>IF($A684="","",IF(OR(NOT(ISNUMBER($O684)),NOT(ISNUMBER($T684))),"",$O684-$T684))</f>
        <v/>
      </c>
      <c r="V684" s="22">
        <f>IF(NOT(ISNUMBER($S684)),"",COUNTIFS($G$7:$G$850,$G684,$S$7:$S$850,"&gt;"&amp;$S684)+COUNTIFS($G$7:$G684,$G684,$S$7:$S684,$S684))</f>
        <v/>
      </c>
      <c r="W684" s="22">
        <f>IF(NOT(ISNUMBER($S684)),"",COUNTIFS($G$7:$G$850,$G684,$S$7:$S$850,"&lt;"&amp;$S684)+COUNTIFS($G$7:$G684,$G684,$S$7:$S684,$S684))</f>
        <v/>
      </c>
      <c r="X684" s="17">
        <f>IF($V684="","",$G684&amp;"|"&amp;$V684)</f>
        <v/>
      </c>
      <c r="Y684" s="17">
        <f>IF($W684="","",$G684&amp;"|"&amp;$W684)</f>
        <v/>
      </c>
    </row>
    <row r="685">
      <c r="A685" s="7" t="inlineStr">
        <is>
          <t>US66989HAR93</t>
        </is>
      </c>
      <c r="B685" s="8">
        <f>IF($A685="","",PROPER(_xll.BDP($A685&amp;" Corp","NAME")))</f>
        <v/>
      </c>
      <c r="C685" s="8">
        <f>IF($A685="","",IFERROR(INDEX(Company_desc!$B$2:$B$1144,MATCH($A685,Company_desc!$A$2:$A$1144,0)),IFERROR(INDEX(SYZ_static!$Q$2:$Q$806,MATCH($A685,SYZ_static!$A$2:$A$806,0)),"")))</f>
        <v/>
      </c>
      <c r="D685" s="8">
        <f>IF($A685="","",IFERROR(INDEX(SYZ_static!$B$2:$B$806,MATCH($A685,SYZ_static!$A$2:$A$806,0)),""))</f>
        <v/>
      </c>
      <c r="E685" s="8">
        <f>IF($A685="","",_xll.BDP($A685&amp;" Corp","INDUSTRY_SECTOR"))</f>
        <v/>
      </c>
      <c r="F685" s="8">
        <f>IF($A685="","",PROPER(_xll.BDP($A685&amp;" Corp","COUNTRY_FULL_NAME")))</f>
        <v/>
      </c>
      <c r="G685" s="8">
        <f>IF($A685="","",_xll.BDP($A685&amp;" Corp","CRNCY"))</f>
        <v/>
      </c>
      <c r="H685" s="8">
        <f>IF($A685="","",IFERROR(INDEX(SYZ_static!$T$2:$T$806,MATCH($A685,SYZ_static!$A$2:$A$806,0)),_xll.BDP($A685&amp;" Corp","RTG_SP")))</f>
        <v/>
      </c>
      <c r="I685" s="8">
        <f>IF($A685="","",IFERROR(INDEX(SYZ_static!$S$2:$S$806,MATCH($A685,SYZ_static!$A$2:$A$806,0)),""))</f>
        <v/>
      </c>
      <c r="J685" s="8">
        <f>IF($A685="","",_xll.BDP($A685&amp;" Corp","PAYMENT_RANK"))</f>
        <v/>
      </c>
      <c r="K685" s="9">
        <f>IF($A685="","",_xll.BDP($A685&amp;" Corp","CPN"))</f>
        <v/>
      </c>
      <c r="L685" s="10">
        <f>IF($A685="","",_xll.BDP($A685&amp;" Corp","MATURITY"))</f>
        <v/>
      </c>
      <c r="M685" s="11">
        <f>IF($A685="","",IFERROR(_xll.BDP($A685&amp;" Corp","MIN_PIECE")/1000,""))</f>
        <v/>
      </c>
      <c r="N685" s="12">
        <f>IF($A685="","",_xll.BDP($A685&amp;" Corp","PX_LAST"))</f>
        <v/>
      </c>
      <c r="O685" s="12">
        <f>IF($A685="","",_xll.BDP($A685&amp;" Corp","YAS_BOND_YLD","YAS_YLD_FLAG=15"))</f>
        <v/>
      </c>
      <c r="P685" s="12">
        <f>IF($A685="","",_xll.BDP($A685&amp;" Corp","YAS_MOD_DUR"))</f>
        <v/>
      </c>
      <c r="Q685" s="13">
        <f>IF($A685="","",_xll.BDP($A685&amp;" Corp","YAS_OAS_SPRD"))</f>
        <v/>
      </c>
      <c r="R685" s="13">
        <f>IF($A685="","",_xll.BDP($A685&amp;" Corp","YAS_OAS_SPRD","SETTLE_DT",$B$2))</f>
        <v/>
      </c>
      <c r="S685" s="14">
        <f>IF($A685="","",IF(OR(NOT(ISNUMBER($Q685)),NOT(ISNUMBER($R685))),"",$Q685-$R685))</f>
        <v/>
      </c>
      <c r="T685" s="12">
        <f>IF($A685="","",_xll.BDP($A685&amp;" Corp","YAS_BOND_YLD","YAS_YLD_FLAG=15","SETTLE_DT",$B$2))</f>
        <v/>
      </c>
      <c r="U685" s="15">
        <f>IF($A685="","",IF(OR(NOT(ISNUMBER($O685)),NOT(ISNUMBER($T685))),"",$O685-$T685))</f>
        <v/>
      </c>
      <c r="V685" s="13">
        <f>IF(NOT(ISNUMBER($S685)),"",COUNTIFS($G$7:$G$850,$G685,$S$7:$S$850,"&gt;"&amp;$S685)+COUNTIFS($G$7:$G685,$G685,$S$7:$S685,$S685))</f>
        <v/>
      </c>
      <c r="W685" s="13">
        <f>IF(NOT(ISNUMBER($S685)),"",COUNTIFS($G$7:$G$850,$G685,$S$7:$S$850,"&lt;"&amp;$S685)+COUNTIFS($G$7:$G685,$G685,$S$7:$S685,$S685))</f>
        <v/>
      </c>
      <c r="X685" s="8">
        <f>IF($V685="","",$G685&amp;"|"&amp;$V685)</f>
        <v/>
      </c>
      <c r="Y685" s="8">
        <f>IF($W685="","",$G685&amp;"|"&amp;$W685)</f>
        <v/>
      </c>
    </row>
    <row r="686">
      <c r="A686" s="16" t="inlineStr">
        <is>
          <t>US046353AT52</t>
        </is>
      </c>
      <c r="B686" s="17">
        <f>IF($A686="","",PROPER(_xll.BDP($A686&amp;" Corp","NAME")))</f>
        <v/>
      </c>
      <c r="C686" s="17">
        <f>IF($A686="","",IFERROR(INDEX(Company_desc!$B$2:$B$1144,MATCH($A686,Company_desc!$A$2:$A$1144,0)),IFERROR(INDEX(SYZ_static!$Q$2:$Q$806,MATCH($A686,SYZ_static!$A$2:$A$806,0)),"")))</f>
        <v/>
      </c>
      <c r="D686" s="17">
        <f>IF($A686="","",IFERROR(INDEX(SYZ_static!$B$2:$B$806,MATCH($A686,SYZ_static!$A$2:$A$806,0)),""))</f>
        <v/>
      </c>
      <c r="E686" s="17">
        <f>IF($A686="","",_xll.BDP($A686&amp;" Corp","INDUSTRY_SECTOR"))</f>
        <v/>
      </c>
      <c r="F686" s="17">
        <f>IF($A686="","",PROPER(_xll.BDP($A686&amp;" Corp","COUNTRY_FULL_NAME")))</f>
        <v/>
      </c>
      <c r="G686" s="17">
        <f>IF($A686="","",_xll.BDP($A686&amp;" Corp","CRNCY"))</f>
        <v/>
      </c>
      <c r="H686" s="17">
        <f>IF($A686="","",IFERROR(INDEX(SYZ_static!$T$2:$T$806,MATCH($A686,SYZ_static!$A$2:$A$806,0)),_xll.BDP($A686&amp;" Corp","RTG_SP")))</f>
        <v/>
      </c>
      <c r="I686" s="17">
        <f>IF($A686="","",IFERROR(INDEX(SYZ_static!$S$2:$S$806,MATCH($A686,SYZ_static!$A$2:$A$806,0)),""))</f>
        <v/>
      </c>
      <c r="J686" s="17">
        <f>IF($A686="","",_xll.BDP($A686&amp;" Corp","PAYMENT_RANK"))</f>
        <v/>
      </c>
      <c r="K686" s="18">
        <f>IF($A686="","",_xll.BDP($A686&amp;" Corp","CPN"))</f>
        <v/>
      </c>
      <c r="L686" s="19">
        <f>IF($A686="","",_xll.BDP($A686&amp;" Corp","MATURITY"))</f>
        <v/>
      </c>
      <c r="M686" s="20">
        <f>IF($A686="","",IFERROR(_xll.BDP($A686&amp;" Corp","MIN_PIECE")/1000,""))</f>
        <v/>
      </c>
      <c r="N686" s="21">
        <f>IF($A686="","",_xll.BDP($A686&amp;" Corp","PX_LAST"))</f>
        <v/>
      </c>
      <c r="O686" s="21">
        <f>IF($A686="","",_xll.BDP($A686&amp;" Corp","YAS_BOND_YLD","YAS_YLD_FLAG=15"))</f>
        <v/>
      </c>
      <c r="P686" s="21">
        <f>IF($A686="","",_xll.BDP($A686&amp;" Corp","YAS_MOD_DUR"))</f>
        <v/>
      </c>
      <c r="Q686" s="22">
        <f>IF($A686="","",_xll.BDP($A686&amp;" Corp","YAS_OAS_SPRD"))</f>
        <v/>
      </c>
      <c r="R686" s="22">
        <f>IF($A686="","",_xll.BDP($A686&amp;" Corp","YAS_OAS_SPRD","SETTLE_DT",$B$2))</f>
        <v/>
      </c>
      <c r="S686" s="23">
        <f>IF($A686="","",IF(OR(NOT(ISNUMBER($Q686)),NOT(ISNUMBER($R686))),"",$Q686-$R686))</f>
        <v/>
      </c>
      <c r="T686" s="21">
        <f>IF($A686="","",_xll.BDP($A686&amp;" Corp","YAS_BOND_YLD","YAS_YLD_FLAG=15","SETTLE_DT",$B$2))</f>
        <v/>
      </c>
      <c r="U686" s="24">
        <f>IF($A686="","",IF(OR(NOT(ISNUMBER($O686)),NOT(ISNUMBER($T686))),"",$O686-$T686))</f>
        <v/>
      </c>
      <c r="V686" s="22">
        <f>IF(NOT(ISNUMBER($S686)),"",COUNTIFS($G$7:$G$850,$G686,$S$7:$S$850,"&gt;"&amp;$S686)+COUNTIFS($G$7:$G686,$G686,$S$7:$S686,$S686))</f>
        <v/>
      </c>
      <c r="W686" s="22">
        <f>IF(NOT(ISNUMBER($S686)),"",COUNTIFS($G$7:$G$850,$G686,$S$7:$S$850,"&lt;"&amp;$S686)+COUNTIFS($G$7:$G686,$G686,$S$7:$S686,$S686))</f>
        <v/>
      </c>
      <c r="X686" s="17">
        <f>IF($V686="","",$G686&amp;"|"&amp;$V686)</f>
        <v/>
      </c>
      <c r="Y686" s="17">
        <f>IF($W686="","",$G686&amp;"|"&amp;$W686)</f>
        <v/>
      </c>
    </row>
    <row r="687">
      <c r="A687" s="7" t="inlineStr">
        <is>
          <t>XS2592088236</t>
        </is>
      </c>
      <c r="B687" s="8">
        <f>IF($A687="","",PROPER(_xll.BDP($A687&amp;" Corp","NAME")))</f>
        <v/>
      </c>
      <c r="C687" s="8">
        <f>IF($A687="","",IFERROR(INDEX(Company_desc!$B$2:$B$1144,MATCH($A687,Company_desc!$A$2:$A$1144,0)),IFERROR(INDEX(SYZ_static!$Q$2:$Q$806,MATCH($A687,SYZ_static!$A$2:$A$806,0)),"")))</f>
        <v/>
      </c>
      <c r="D687" s="8">
        <f>IF($A687="","",IFERROR(INDEX(SYZ_static!$B$2:$B$806,MATCH($A687,SYZ_static!$A$2:$A$806,0)),""))</f>
        <v/>
      </c>
      <c r="E687" s="8">
        <f>IF($A687="","",_xll.BDP($A687&amp;" Corp","INDUSTRY_SECTOR"))</f>
        <v/>
      </c>
      <c r="F687" s="8">
        <f>IF($A687="","",PROPER(_xll.BDP($A687&amp;" Corp","COUNTRY_FULL_NAME")))</f>
        <v/>
      </c>
      <c r="G687" s="8">
        <f>IF($A687="","",_xll.BDP($A687&amp;" Corp","CRNCY"))</f>
        <v/>
      </c>
      <c r="H687" s="8">
        <f>IF($A687="","",IFERROR(INDEX(SYZ_static!$T$2:$T$806,MATCH($A687,SYZ_static!$A$2:$A$806,0)),_xll.BDP($A687&amp;" Corp","RTG_SP")))</f>
        <v/>
      </c>
      <c r="I687" s="8">
        <f>IF($A687="","",IFERROR(INDEX(SYZ_static!$S$2:$S$806,MATCH($A687,SYZ_static!$A$2:$A$806,0)),""))</f>
        <v/>
      </c>
      <c r="J687" s="8">
        <f>IF($A687="","",_xll.BDP($A687&amp;" Corp","PAYMENT_RANK"))</f>
        <v/>
      </c>
      <c r="K687" s="9">
        <f>IF($A687="","",_xll.BDP($A687&amp;" Corp","CPN"))</f>
        <v/>
      </c>
      <c r="L687" s="10">
        <f>IF($A687="","",_xll.BDP($A687&amp;" Corp","MATURITY"))</f>
        <v/>
      </c>
      <c r="M687" s="11">
        <f>IF($A687="","",IFERROR(_xll.BDP($A687&amp;" Corp","MIN_PIECE")/1000,""))</f>
        <v/>
      </c>
      <c r="N687" s="12">
        <f>IF($A687="","",_xll.BDP($A687&amp;" Corp","PX_LAST"))</f>
        <v/>
      </c>
      <c r="O687" s="12">
        <f>IF($A687="","",_xll.BDP($A687&amp;" Corp","YAS_BOND_YLD","YAS_YLD_FLAG=15"))</f>
        <v/>
      </c>
      <c r="P687" s="12">
        <f>IF($A687="","",_xll.BDP($A687&amp;" Corp","YAS_MOD_DUR"))</f>
        <v/>
      </c>
      <c r="Q687" s="13">
        <f>IF($A687="","",_xll.BDP($A687&amp;" Corp","YAS_OAS_SPRD"))</f>
        <v/>
      </c>
      <c r="R687" s="13">
        <f>IF($A687="","",_xll.BDP($A687&amp;" Corp","YAS_OAS_SPRD","SETTLE_DT",$B$2))</f>
        <v/>
      </c>
      <c r="S687" s="14">
        <f>IF($A687="","",IF(OR(NOT(ISNUMBER($Q687)),NOT(ISNUMBER($R687))),"",$Q687-$R687))</f>
        <v/>
      </c>
      <c r="T687" s="12">
        <f>IF($A687="","",_xll.BDP($A687&amp;" Corp","YAS_BOND_YLD","YAS_YLD_FLAG=15","SETTLE_DT",$B$2))</f>
        <v/>
      </c>
      <c r="U687" s="15">
        <f>IF($A687="","",IF(OR(NOT(ISNUMBER($O687)),NOT(ISNUMBER($T687))),"",$O687-$T687))</f>
        <v/>
      </c>
      <c r="V687" s="13">
        <f>IF(NOT(ISNUMBER($S687)),"",COUNTIFS($G$7:$G$850,$G687,$S$7:$S$850,"&gt;"&amp;$S687)+COUNTIFS($G$7:$G687,$G687,$S$7:$S687,$S687))</f>
        <v/>
      </c>
      <c r="W687" s="13">
        <f>IF(NOT(ISNUMBER($S687)),"",COUNTIFS($G$7:$G$850,$G687,$S$7:$S$850,"&lt;"&amp;$S687)+COUNTIFS($G$7:$G687,$G687,$S$7:$S687,$S687))</f>
        <v/>
      </c>
      <c r="X687" s="8">
        <f>IF($V687="","",$G687&amp;"|"&amp;$V687)</f>
        <v/>
      </c>
      <c r="Y687" s="8">
        <f>IF($W687="","",$G687&amp;"|"&amp;$W687)</f>
        <v/>
      </c>
    </row>
    <row r="688">
      <c r="A688" s="16" t="inlineStr">
        <is>
          <t>US882508BL77</t>
        </is>
      </c>
      <c r="B688" s="17">
        <f>IF($A688="","",PROPER(_xll.BDP($A688&amp;" Corp","NAME")))</f>
        <v/>
      </c>
      <c r="C688" s="17">
        <f>IF($A688="","",IFERROR(INDEX(Company_desc!$B$2:$B$1144,MATCH($A688,Company_desc!$A$2:$A$1144,0)),IFERROR(INDEX(SYZ_static!$Q$2:$Q$806,MATCH($A688,SYZ_static!$A$2:$A$806,0)),"")))</f>
        <v/>
      </c>
      <c r="D688" s="17">
        <f>IF($A688="","",IFERROR(INDEX(SYZ_static!$B$2:$B$806,MATCH($A688,SYZ_static!$A$2:$A$806,0)),""))</f>
        <v/>
      </c>
      <c r="E688" s="17">
        <f>IF($A688="","",_xll.BDP($A688&amp;" Corp","INDUSTRY_SECTOR"))</f>
        <v/>
      </c>
      <c r="F688" s="17">
        <f>IF($A688="","",PROPER(_xll.BDP($A688&amp;" Corp","COUNTRY_FULL_NAME")))</f>
        <v/>
      </c>
      <c r="G688" s="17">
        <f>IF($A688="","",_xll.BDP($A688&amp;" Corp","CRNCY"))</f>
        <v/>
      </c>
      <c r="H688" s="17">
        <f>IF($A688="","",IFERROR(INDEX(SYZ_static!$T$2:$T$806,MATCH($A688,SYZ_static!$A$2:$A$806,0)),_xll.BDP($A688&amp;" Corp","RTG_SP")))</f>
        <v/>
      </c>
      <c r="I688" s="17">
        <f>IF($A688="","",IFERROR(INDEX(SYZ_static!$S$2:$S$806,MATCH($A688,SYZ_static!$A$2:$A$806,0)),""))</f>
        <v/>
      </c>
      <c r="J688" s="17">
        <f>IF($A688="","",_xll.BDP($A688&amp;" Corp","PAYMENT_RANK"))</f>
        <v/>
      </c>
      <c r="K688" s="18">
        <f>IF($A688="","",_xll.BDP($A688&amp;" Corp","CPN"))</f>
        <v/>
      </c>
      <c r="L688" s="19">
        <f>IF($A688="","",_xll.BDP($A688&amp;" Corp","MATURITY"))</f>
        <v/>
      </c>
      <c r="M688" s="20">
        <f>IF($A688="","",IFERROR(_xll.BDP($A688&amp;" Corp","MIN_PIECE")/1000,""))</f>
        <v/>
      </c>
      <c r="N688" s="21">
        <f>IF($A688="","",_xll.BDP($A688&amp;" Corp","PX_LAST"))</f>
        <v/>
      </c>
      <c r="O688" s="21">
        <f>IF($A688="","",_xll.BDP($A688&amp;" Corp","YAS_BOND_YLD","YAS_YLD_FLAG=15"))</f>
        <v/>
      </c>
      <c r="P688" s="21">
        <f>IF($A688="","",_xll.BDP($A688&amp;" Corp","YAS_MOD_DUR"))</f>
        <v/>
      </c>
      <c r="Q688" s="22">
        <f>IF($A688="","",_xll.BDP($A688&amp;" Corp","YAS_OAS_SPRD"))</f>
        <v/>
      </c>
      <c r="R688" s="22">
        <f>IF($A688="","",_xll.BDP($A688&amp;" Corp","YAS_OAS_SPRD","SETTLE_DT",$B$2))</f>
        <v/>
      </c>
      <c r="S688" s="23">
        <f>IF($A688="","",IF(OR(NOT(ISNUMBER($Q688)),NOT(ISNUMBER($R688))),"",$Q688-$R688))</f>
        <v/>
      </c>
      <c r="T688" s="21">
        <f>IF($A688="","",_xll.BDP($A688&amp;" Corp","YAS_BOND_YLD","YAS_YLD_FLAG=15","SETTLE_DT",$B$2))</f>
        <v/>
      </c>
      <c r="U688" s="24">
        <f>IF($A688="","",IF(OR(NOT(ISNUMBER($O688)),NOT(ISNUMBER($T688))),"",$O688-$T688))</f>
        <v/>
      </c>
      <c r="V688" s="22">
        <f>IF(NOT(ISNUMBER($S688)),"",COUNTIFS($G$7:$G$850,$G688,$S$7:$S$850,"&gt;"&amp;$S688)+COUNTIFS($G$7:$G688,$G688,$S$7:$S688,$S688))</f>
        <v/>
      </c>
      <c r="W688" s="22">
        <f>IF(NOT(ISNUMBER($S688)),"",COUNTIFS($G$7:$G$850,$G688,$S$7:$S$850,"&lt;"&amp;$S688)+COUNTIFS($G$7:$G688,$G688,$S$7:$S688,$S688))</f>
        <v/>
      </c>
      <c r="X688" s="17">
        <f>IF($V688="","",$G688&amp;"|"&amp;$V688)</f>
        <v/>
      </c>
      <c r="Y688" s="17">
        <f>IF($W688="","",$G688&amp;"|"&amp;$W688)</f>
        <v/>
      </c>
    </row>
    <row r="689">
      <c r="A689" s="7" t="inlineStr">
        <is>
          <t>XS1508566392</t>
        </is>
      </c>
      <c r="B689" s="8">
        <f>IF($A689="","",PROPER(_xll.BDP($A689&amp;" Corp","NAME")))</f>
        <v/>
      </c>
      <c r="C689" s="8">
        <f>IF($A689="","",IFERROR(INDEX(Company_desc!$B$2:$B$1144,MATCH($A689,Company_desc!$A$2:$A$1144,0)),IFERROR(INDEX(SYZ_static!$Q$2:$Q$806,MATCH($A689,SYZ_static!$A$2:$A$806,0)),"")))</f>
        <v/>
      </c>
      <c r="D689" s="8">
        <f>IF($A689="","",IFERROR(INDEX(SYZ_static!$B$2:$B$806,MATCH($A689,SYZ_static!$A$2:$A$806,0)),""))</f>
        <v/>
      </c>
      <c r="E689" s="8">
        <f>IF($A689="","",_xll.BDP($A689&amp;" Corp","INDUSTRY_SECTOR"))</f>
        <v/>
      </c>
      <c r="F689" s="8">
        <f>IF($A689="","",PROPER(_xll.BDP($A689&amp;" Corp","COUNTRY_FULL_NAME")))</f>
        <v/>
      </c>
      <c r="G689" s="8">
        <f>IF($A689="","",_xll.BDP($A689&amp;" Corp","CRNCY"))</f>
        <v/>
      </c>
      <c r="H689" s="8">
        <f>IF($A689="","",IFERROR(INDEX(SYZ_static!$T$2:$T$806,MATCH($A689,SYZ_static!$A$2:$A$806,0)),_xll.BDP($A689&amp;" Corp","RTG_SP")))</f>
        <v/>
      </c>
      <c r="I689" s="8">
        <f>IF($A689="","",IFERROR(INDEX(SYZ_static!$S$2:$S$806,MATCH($A689,SYZ_static!$A$2:$A$806,0)),""))</f>
        <v/>
      </c>
      <c r="J689" s="8">
        <f>IF($A689="","",_xll.BDP($A689&amp;" Corp","PAYMENT_RANK"))</f>
        <v/>
      </c>
      <c r="K689" s="9">
        <f>IF($A689="","",_xll.BDP($A689&amp;" Corp","CPN"))</f>
        <v/>
      </c>
      <c r="L689" s="10">
        <f>IF($A689="","",_xll.BDP($A689&amp;" Corp","MATURITY"))</f>
        <v/>
      </c>
      <c r="M689" s="11">
        <f>IF($A689="","",IFERROR(_xll.BDP($A689&amp;" Corp","MIN_PIECE")/1000,""))</f>
        <v/>
      </c>
      <c r="N689" s="12">
        <f>IF($A689="","",_xll.BDP($A689&amp;" Corp","PX_LAST"))</f>
        <v/>
      </c>
      <c r="O689" s="12">
        <f>IF($A689="","",_xll.BDP($A689&amp;" Corp","YAS_BOND_YLD","YAS_YLD_FLAG=15"))</f>
        <v/>
      </c>
      <c r="P689" s="12">
        <f>IF($A689="","",_xll.BDP($A689&amp;" Corp","YAS_MOD_DUR"))</f>
        <v/>
      </c>
      <c r="Q689" s="13">
        <f>IF($A689="","",_xll.BDP($A689&amp;" Corp","YAS_OAS_SPRD"))</f>
        <v/>
      </c>
      <c r="R689" s="13">
        <f>IF($A689="","",_xll.BDP($A689&amp;" Corp","YAS_OAS_SPRD","SETTLE_DT",$B$2))</f>
        <v/>
      </c>
      <c r="S689" s="14">
        <f>IF($A689="","",IF(OR(NOT(ISNUMBER($Q689)),NOT(ISNUMBER($R689))),"",$Q689-$R689))</f>
        <v/>
      </c>
      <c r="T689" s="12">
        <f>IF($A689="","",_xll.BDP($A689&amp;" Corp","YAS_BOND_YLD","YAS_YLD_FLAG=15","SETTLE_DT",$B$2))</f>
        <v/>
      </c>
      <c r="U689" s="15">
        <f>IF($A689="","",IF(OR(NOT(ISNUMBER($O689)),NOT(ISNUMBER($T689))),"",$O689-$T689))</f>
        <v/>
      </c>
      <c r="V689" s="13">
        <f>IF(NOT(ISNUMBER($S689)),"",COUNTIFS($G$7:$G$850,$G689,$S$7:$S$850,"&gt;"&amp;$S689)+COUNTIFS($G$7:$G689,$G689,$S$7:$S689,$S689))</f>
        <v/>
      </c>
      <c r="W689" s="13">
        <f>IF(NOT(ISNUMBER($S689)),"",COUNTIFS($G$7:$G$850,$G689,$S$7:$S$850,"&lt;"&amp;$S689)+COUNTIFS($G$7:$G689,$G689,$S$7:$S689,$S689))</f>
        <v/>
      </c>
      <c r="X689" s="8">
        <f>IF($V689="","",$G689&amp;"|"&amp;$V689)</f>
        <v/>
      </c>
      <c r="Y689" s="8">
        <f>IF($W689="","",$G689&amp;"|"&amp;$W689)</f>
        <v/>
      </c>
    </row>
    <row r="690">
      <c r="A690" s="16" t="inlineStr">
        <is>
          <t>US00440KAA16</t>
        </is>
      </c>
      <c r="B690" s="17">
        <f>IF($A690="","",PROPER(_xll.BDP($A690&amp;" Corp","NAME")))</f>
        <v/>
      </c>
      <c r="C690" s="17">
        <f>IF($A690="","",IFERROR(INDEX(Company_desc!$B$2:$B$1144,MATCH($A690,Company_desc!$A$2:$A$1144,0)),IFERROR(INDEX(SYZ_static!$Q$2:$Q$806,MATCH($A690,SYZ_static!$A$2:$A$806,0)),"")))</f>
        <v/>
      </c>
      <c r="D690" s="17">
        <f>IF($A690="","",IFERROR(INDEX(SYZ_static!$B$2:$B$806,MATCH($A690,SYZ_static!$A$2:$A$806,0)),""))</f>
        <v/>
      </c>
      <c r="E690" s="17">
        <f>IF($A690="","",_xll.BDP($A690&amp;" Corp","INDUSTRY_SECTOR"))</f>
        <v/>
      </c>
      <c r="F690" s="17">
        <f>IF($A690="","",PROPER(_xll.BDP($A690&amp;" Corp","COUNTRY_FULL_NAME")))</f>
        <v/>
      </c>
      <c r="G690" s="17">
        <f>IF($A690="","",_xll.BDP($A690&amp;" Corp","CRNCY"))</f>
        <v/>
      </c>
      <c r="H690" s="17">
        <f>IF($A690="","",IFERROR(INDEX(SYZ_static!$T$2:$T$806,MATCH($A690,SYZ_static!$A$2:$A$806,0)),_xll.BDP($A690&amp;" Corp","RTG_SP")))</f>
        <v/>
      </c>
      <c r="I690" s="17">
        <f>IF($A690="","",IFERROR(INDEX(SYZ_static!$S$2:$S$806,MATCH($A690,SYZ_static!$A$2:$A$806,0)),""))</f>
        <v/>
      </c>
      <c r="J690" s="17">
        <f>IF($A690="","",_xll.BDP($A690&amp;" Corp","PAYMENT_RANK"))</f>
        <v/>
      </c>
      <c r="K690" s="18">
        <f>IF($A690="","",_xll.BDP($A690&amp;" Corp","CPN"))</f>
        <v/>
      </c>
      <c r="L690" s="19">
        <f>IF($A690="","",_xll.BDP($A690&amp;" Corp","MATURITY"))</f>
        <v/>
      </c>
      <c r="M690" s="20">
        <f>IF($A690="","",IFERROR(_xll.BDP($A690&amp;" Corp","MIN_PIECE")/1000,""))</f>
        <v/>
      </c>
      <c r="N690" s="21">
        <f>IF($A690="","",_xll.BDP($A690&amp;" Corp","PX_LAST"))</f>
        <v/>
      </c>
      <c r="O690" s="21">
        <f>IF($A690="","",_xll.BDP($A690&amp;" Corp","YAS_BOND_YLD","YAS_YLD_FLAG=15"))</f>
        <v/>
      </c>
      <c r="P690" s="21">
        <f>IF($A690="","",_xll.BDP($A690&amp;" Corp","YAS_MOD_DUR"))</f>
        <v/>
      </c>
      <c r="Q690" s="22">
        <f>IF($A690="","",_xll.BDP($A690&amp;" Corp","YAS_OAS_SPRD"))</f>
        <v/>
      </c>
      <c r="R690" s="22">
        <f>IF($A690="","",_xll.BDP($A690&amp;" Corp","YAS_OAS_SPRD","SETTLE_DT",$B$2))</f>
        <v/>
      </c>
      <c r="S690" s="23">
        <f>IF($A690="","",IF(OR(NOT(ISNUMBER($Q690)),NOT(ISNUMBER($R690))),"",$Q690-$R690))</f>
        <v/>
      </c>
      <c r="T690" s="21">
        <f>IF($A690="","",_xll.BDP($A690&amp;" Corp","YAS_BOND_YLD","YAS_YLD_FLAG=15","SETTLE_DT",$B$2))</f>
        <v/>
      </c>
      <c r="U690" s="24">
        <f>IF($A690="","",IF(OR(NOT(ISNUMBER($O690)),NOT(ISNUMBER($T690))),"",$O690-$T690))</f>
        <v/>
      </c>
      <c r="V690" s="22">
        <f>IF(NOT(ISNUMBER($S690)),"",COUNTIFS($G$7:$G$850,$G690,$S$7:$S$850,"&gt;"&amp;$S690)+COUNTIFS($G$7:$G690,$G690,$S$7:$S690,$S690))</f>
        <v/>
      </c>
      <c r="W690" s="22">
        <f>IF(NOT(ISNUMBER($S690)),"",COUNTIFS($G$7:$G$850,$G690,$S$7:$S$850,"&lt;"&amp;$S690)+COUNTIFS($G$7:$G690,$G690,$S$7:$S690,$S690))</f>
        <v/>
      </c>
      <c r="X690" s="17">
        <f>IF($V690="","",$G690&amp;"|"&amp;$V690)</f>
        <v/>
      </c>
      <c r="Y690" s="17">
        <f>IF($W690="","",$G690&amp;"|"&amp;$W690)</f>
        <v/>
      </c>
    </row>
    <row r="691">
      <c r="A691" s="7" t="inlineStr">
        <is>
          <t>XS1865126343</t>
        </is>
      </c>
      <c r="B691" s="8">
        <f>IF($A691="","",PROPER(_xll.BDP($A691&amp;" Corp","NAME")))</f>
        <v/>
      </c>
      <c r="C691" s="8">
        <f>IF($A691="","",IFERROR(INDEX(Company_desc!$B$2:$B$1144,MATCH($A691,Company_desc!$A$2:$A$1144,0)),IFERROR(INDEX(SYZ_static!$Q$2:$Q$806,MATCH($A691,SYZ_static!$A$2:$A$806,0)),"")))</f>
        <v/>
      </c>
      <c r="D691" s="8">
        <f>IF($A691="","",IFERROR(INDEX(SYZ_static!$B$2:$B$806,MATCH($A691,SYZ_static!$A$2:$A$806,0)),""))</f>
        <v/>
      </c>
      <c r="E691" s="8">
        <f>IF($A691="","",_xll.BDP($A691&amp;" Corp","INDUSTRY_SECTOR"))</f>
        <v/>
      </c>
      <c r="F691" s="8">
        <f>IF($A691="","",PROPER(_xll.BDP($A691&amp;" Corp","COUNTRY_FULL_NAME")))</f>
        <v/>
      </c>
      <c r="G691" s="8">
        <f>IF($A691="","",_xll.BDP($A691&amp;" Corp","CRNCY"))</f>
        <v/>
      </c>
      <c r="H691" s="8">
        <f>IF($A691="","",IFERROR(INDEX(SYZ_static!$T$2:$T$806,MATCH($A691,SYZ_static!$A$2:$A$806,0)),_xll.BDP($A691&amp;" Corp","RTG_SP")))</f>
        <v/>
      </c>
      <c r="I691" s="8">
        <f>IF($A691="","",IFERROR(INDEX(SYZ_static!$S$2:$S$806,MATCH($A691,SYZ_static!$A$2:$A$806,0)),""))</f>
        <v/>
      </c>
      <c r="J691" s="8">
        <f>IF($A691="","",_xll.BDP($A691&amp;" Corp","PAYMENT_RANK"))</f>
        <v/>
      </c>
      <c r="K691" s="9">
        <f>IF($A691="","",_xll.BDP($A691&amp;" Corp","CPN"))</f>
        <v/>
      </c>
      <c r="L691" s="10">
        <f>IF($A691="","",_xll.BDP($A691&amp;" Corp","MATURITY"))</f>
        <v/>
      </c>
      <c r="M691" s="11">
        <f>IF($A691="","",IFERROR(_xll.BDP($A691&amp;" Corp","MIN_PIECE")/1000,""))</f>
        <v/>
      </c>
      <c r="N691" s="12">
        <f>IF($A691="","",_xll.BDP($A691&amp;" Corp","PX_LAST"))</f>
        <v/>
      </c>
      <c r="O691" s="12">
        <f>IF($A691="","",_xll.BDP($A691&amp;" Corp","YAS_BOND_YLD","YAS_YLD_FLAG=15"))</f>
        <v/>
      </c>
      <c r="P691" s="12">
        <f>IF($A691="","",_xll.BDP($A691&amp;" Corp","YAS_MOD_DUR"))</f>
        <v/>
      </c>
      <c r="Q691" s="13">
        <f>IF($A691="","",_xll.BDP($A691&amp;" Corp","YAS_OAS_SPRD"))</f>
        <v/>
      </c>
      <c r="R691" s="13">
        <f>IF($A691="","",_xll.BDP($A691&amp;" Corp","YAS_OAS_SPRD","SETTLE_DT",$B$2))</f>
        <v/>
      </c>
      <c r="S691" s="14">
        <f>IF($A691="","",IF(OR(NOT(ISNUMBER($Q691)),NOT(ISNUMBER($R691))),"",$Q691-$R691))</f>
        <v/>
      </c>
      <c r="T691" s="12">
        <f>IF($A691="","",_xll.BDP($A691&amp;" Corp","YAS_BOND_YLD","YAS_YLD_FLAG=15","SETTLE_DT",$B$2))</f>
        <v/>
      </c>
      <c r="U691" s="15">
        <f>IF($A691="","",IF(OR(NOT(ISNUMBER($O691)),NOT(ISNUMBER($T691))),"",$O691-$T691))</f>
        <v/>
      </c>
      <c r="V691" s="13">
        <f>IF(NOT(ISNUMBER($S691)),"",COUNTIFS($G$7:$G$850,$G691,$S$7:$S$850,"&gt;"&amp;$S691)+COUNTIFS($G$7:$G691,$G691,$S$7:$S691,$S691))</f>
        <v/>
      </c>
      <c r="W691" s="13">
        <f>IF(NOT(ISNUMBER($S691)),"",COUNTIFS($G$7:$G$850,$G691,$S$7:$S$850,"&lt;"&amp;$S691)+COUNTIFS($G$7:$G691,$G691,$S$7:$S691,$S691))</f>
        <v/>
      </c>
      <c r="X691" s="8">
        <f>IF($V691="","",$G691&amp;"|"&amp;$V691)</f>
        <v/>
      </c>
      <c r="Y691" s="8">
        <f>IF($W691="","",$G691&amp;"|"&amp;$W691)</f>
        <v/>
      </c>
    </row>
    <row r="692">
      <c r="A692" s="16" t="inlineStr">
        <is>
          <t>BE6295393936</t>
        </is>
      </c>
      <c r="B692" s="17">
        <f>IF($A692="","",PROPER(_xll.BDP($A692&amp;" Corp","NAME")))</f>
        <v/>
      </c>
      <c r="C692" s="17">
        <f>IF($A692="","",IFERROR(INDEX(Company_desc!$B$2:$B$1144,MATCH($A692,Company_desc!$A$2:$A$1144,0)),IFERROR(INDEX(SYZ_static!$Q$2:$Q$806,MATCH($A692,SYZ_static!$A$2:$A$806,0)),"")))</f>
        <v/>
      </c>
      <c r="D692" s="17">
        <f>IF($A692="","",IFERROR(INDEX(SYZ_static!$B$2:$B$806,MATCH($A692,SYZ_static!$A$2:$A$806,0)),""))</f>
        <v/>
      </c>
      <c r="E692" s="17">
        <f>IF($A692="","",_xll.BDP($A692&amp;" Corp","INDUSTRY_SECTOR"))</f>
        <v/>
      </c>
      <c r="F692" s="17">
        <f>IF($A692="","",PROPER(_xll.BDP($A692&amp;" Corp","COUNTRY_FULL_NAME")))</f>
        <v/>
      </c>
      <c r="G692" s="17">
        <f>IF($A692="","",_xll.BDP($A692&amp;" Corp","CRNCY"))</f>
        <v/>
      </c>
      <c r="H692" s="17">
        <f>IF($A692="","",IFERROR(INDEX(SYZ_static!$T$2:$T$806,MATCH($A692,SYZ_static!$A$2:$A$806,0)),_xll.BDP($A692&amp;" Corp","RTG_SP")))</f>
        <v/>
      </c>
      <c r="I692" s="17">
        <f>IF($A692="","",IFERROR(INDEX(SYZ_static!$S$2:$S$806,MATCH($A692,SYZ_static!$A$2:$A$806,0)),""))</f>
        <v/>
      </c>
      <c r="J692" s="17">
        <f>IF($A692="","",_xll.BDP($A692&amp;" Corp","PAYMENT_RANK"))</f>
        <v/>
      </c>
      <c r="K692" s="18">
        <f>IF($A692="","",_xll.BDP($A692&amp;" Corp","CPN"))</f>
        <v/>
      </c>
      <c r="L692" s="19">
        <f>IF($A692="","",_xll.BDP($A692&amp;" Corp","MATURITY"))</f>
        <v/>
      </c>
      <c r="M692" s="20">
        <f>IF($A692="","",IFERROR(_xll.BDP($A692&amp;" Corp","MIN_PIECE")/1000,""))</f>
        <v/>
      </c>
      <c r="N692" s="21">
        <f>IF($A692="","",_xll.BDP($A692&amp;" Corp","PX_LAST"))</f>
        <v/>
      </c>
      <c r="O692" s="21">
        <f>IF($A692="","",_xll.BDP($A692&amp;" Corp","YAS_BOND_YLD","YAS_YLD_FLAG=15"))</f>
        <v/>
      </c>
      <c r="P692" s="21">
        <f>IF($A692="","",_xll.BDP($A692&amp;" Corp","YAS_MOD_DUR"))</f>
        <v/>
      </c>
      <c r="Q692" s="22">
        <f>IF($A692="","",_xll.BDP($A692&amp;" Corp","YAS_OAS_SPRD"))</f>
        <v/>
      </c>
      <c r="R692" s="22">
        <f>IF($A692="","",_xll.BDP($A692&amp;" Corp","YAS_OAS_SPRD","SETTLE_DT",$B$2))</f>
        <v/>
      </c>
      <c r="S692" s="23">
        <f>IF($A692="","",IF(OR(NOT(ISNUMBER($Q692)),NOT(ISNUMBER($R692))),"",$Q692-$R692))</f>
        <v/>
      </c>
      <c r="T692" s="21">
        <f>IF($A692="","",_xll.BDP($A692&amp;" Corp","YAS_BOND_YLD","YAS_YLD_FLAG=15","SETTLE_DT",$B$2))</f>
        <v/>
      </c>
      <c r="U692" s="24">
        <f>IF($A692="","",IF(OR(NOT(ISNUMBER($O692)),NOT(ISNUMBER($T692))),"",$O692-$T692))</f>
        <v/>
      </c>
      <c r="V692" s="22">
        <f>IF(NOT(ISNUMBER($S692)),"",COUNTIFS($G$7:$G$850,$G692,$S$7:$S$850,"&gt;"&amp;$S692)+COUNTIFS($G$7:$G692,$G692,$S$7:$S692,$S692))</f>
        <v/>
      </c>
      <c r="W692" s="22">
        <f>IF(NOT(ISNUMBER($S692)),"",COUNTIFS($G$7:$G$850,$G692,$S$7:$S$850,"&lt;"&amp;$S692)+COUNTIFS($G$7:$G692,$G692,$S$7:$S692,$S692))</f>
        <v/>
      </c>
      <c r="X692" s="17">
        <f>IF($V692="","",$G692&amp;"|"&amp;$V692)</f>
        <v/>
      </c>
      <c r="Y692" s="17">
        <f>IF($W692="","",$G692&amp;"|"&amp;$W692)</f>
        <v/>
      </c>
    </row>
    <row r="693">
      <c r="A693" s="7" t="inlineStr">
        <is>
          <t>US437076CH36</t>
        </is>
      </c>
      <c r="B693" s="8">
        <f>IF($A693="","",PROPER(_xll.BDP($A693&amp;" Corp","NAME")))</f>
        <v/>
      </c>
      <c r="C693" s="8">
        <f>IF($A693="","",IFERROR(INDEX(Company_desc!$B$2:$B$1144,MATCH($A693,Company_desc!$A$2:$A$1144,0)),IFERROR(INDEX(SYZ_static!$Q$2:$Q$806,MATCH($A693,SYZ_static!$A$2:$A$806,0)),"")))</f>
        <v/>
      </c>
      <c r="D693" s="8">
        <f>IF($A693="","",IFERROR(INDEX(SYZ_static!$B$2:$B$806,MATCH($A693,SYZ_static!$A$2:$A$806,0)),""))</f>
        <v/>
      </c>
      <c r="E693" s="8">
        <f>IF($A693="","",_xll.BDP($A693&amp;" Corp","INDUSTRY_SECTOR"))</f>
        <v/>
      </c>
      <c r="F693" s="8">
        <f>IF($A693="","",PROPER(_xll.BDP($A693&amp;" Corp","COUNTRY_FULL_NAME")))</f>
        <v/>
      </c>
      <c r="G693" s="8">
        <f>IF($A693="","",_xll.BDP($A693&amp;" Corp","CRNCY"))</f>
        <v/>
      </c>
      <c r="H693" s="8">
        <f>IF($A693="","",IFERROR(INDEX(SYZ_static!$T$2:$T$806,MATCH($A693,SYZ_static!$A$2:$A$806,0)),_xll.BDP($A693&amp;" Corp","RTG_SP")))</f>
        <v/>
      </c>
      <c r="I693" s="8">
        <f>IF($A693="","",IFERROR(INDEX(SYZ_static!$S$2:$S$806,MATCH($A693,SYZ_static!$A$2:$A$806,0)),""))</f>
        <v/>
      </c>
      <c r="J693" s="8">
        <f>IF($A693="","",_xll.BDP($A693&amp;" Corp","PAYMENT_RANK"))</f>
        <v/>
      </c>
      <c r="K693" s="9">
        <f>IF($A693="","",_xll.BDP($A693&amp;" Corp","CPN"))</f>
        <v/>
      </c>
      <c r="L693" s="10">
        <f>IF($A693="","",_xll.BDP($A693&amp;" Corp","MATURITY"))</f>
        <v/>
      </c>
      <c r="M693" s="11">
        <f>IF($A693="","",IFERROR(_xll.BDP($A693&amp;" Corp","MIN_PIECE")/1000,""))</f>
        <v/>
      </c>
      <c r="N693" s="12">
        <f>IF($A693="","",_xll.BDP($A693&amp;" Corp","PX_LAST"))</f>
        <v/>
      </c>
      <c r="O693" s="12">
        <f>IF($A693="","",_xll.BDP($A693&amp;" Corp","YAS_BOND_YLD","YAS_YLD_FLAG=15"))</f>
        <v/>
      </c>
      <c r="P693" s="12">
        <f>IF($A693="","",_xll.BDP($A693&amp;" Corp","YAS_MOD_DUR"))</f>
        <v/>
      </c>
      <c r="Q693" s="13">
        <f>IF($A693="","",_xll.BDP($A693&amp;" Corp","YAS_OAS_SPRD"))</f>
        <v/>
      </c>
      <c r="R693" s="13">
        <f>IF($A693="","",_xll.BDP($A693&amp;" Corp","YAS_OAS_SPRD","SETTLE_DT",$B$2))</f>
        <v/>
      </c>
      <c r="S693" s="14">
        <f>IF($A693="","",IF(OR(NOT(ISNUMBER($Q693)),NOT(ISNUMBER($R693))),"",$Q693-$R693))</f>
        <v/>
      </c>
      <c r="T693" s="12">
        <f>IF($A693="","",_xll.BDP($A693&amp;" Corp","YAS_BOND_YLD","YAS_YLD_FLAG=15","SETTLE_DT",$B$2))</f>
        <v/>
      </c>
      <c r="U693" s="15">
        <f>IF($A693="","",IF(OR(NOT(ISNUMBER($O693)),NOT(ISNUMBER($T693))),"",$O693-$T693))</f>
        <v/>
      </c>
      <c r="V693" s="13">
        <f>IF(NOT(ISNUMBER($S693)),"",COUNTIFS($G$7:$G$850,$G693,$S$7:$S$850,"&gt;"&amp;$S693)+COUNTIFS($G$7:$G693,$G693,$S$7:$S693,$S693))</f>
        <v/>
      </c>
      <c r="W693" s="13">
        <f>IF(NOT(ISNUMBER($S693)),"",COUNTIFS($G$7:$G$850,$G693,$S$7:$S$850,"&lt;"&amp;$S693)+COUNTIFS($G$7:$G693,$G693,$S$7:$S693,$S693))</f>
        <v/>
      </c>
      <c r="X693" s="8">
        <f>IF($V693="","",$G693&amp;"|"&amp;$V693)</f>
        <v/>
      </c>
      <c r="Y693" s="8">
        <f>IF($W693="","",$G693&amp;"|"&amp;$W693)</f>
        <v/>
      </c>
    </row>
    <row r="694">
      <c r="A694" s="16" t="inlineStr">
        <is>
          <t>US741503AZ91</t>
        </is>
      </c>
      <c r="B694" s="17">
        <f>IF($A694="","",PROPER(_xll.BDP($A694&amp;" Corp","NAME")))</f>
        <v/>
      </c>
      <c r="C694" s="17">
        <f>IF($A694="","",IFERROR(INDEX(Company_desc!$B$2:$B$1144,MATCH($A694,Company_desc!$A$2:$A$1144,0)),IFERROR(INDEX(SYZ_static!$Q$2:$Q$806,MATCH($A694,SYZ_static!$A$2:$A$806,0)),"")))</f>
        <v/>
      </c>
      <c r="D694" s="17">
        <f>IF($A694="","",IFERROR(INDEX(SYZ_static!$B$2:$B$806,MATCH($A694,SYZ_static!$A$2:$A$806,0)),""))</f>
        <v/>
      </c>
      <c r="E694" s="17">
        <f>IF($A694="","",_xll.BDP($A694&amp;" Corp","INDUSTRY_SECTOR"))</f>
        <v/>
      </c>
      <c r="F694" s="17">
        <f>IF($A694="","",PROPER(_xll.BDP($A694&amp;" Corp","COUNTRY_FULL_NAME")))</f>
        <v/>
      </c>
      <c r="G694" s="17">
        <f>IF($A694="","",_xll.BDP($A694&amp;" Corp","CRNCY"))</f>
        <v/>
      </c>
      <c r="H694" s="17">
        <f>IF($A694="","",IFERROR(INDEX(SYZ_static!$T$2:$T$806,MATCH($A694,SYZ_static!$A$2:$A$806,0)),_xll.BDP($A694&amp;" Corp","RTG_SP")))</f>
        <v/>
      </c>
      <c r="I694" s="17">
        <f>IF($A694="","",IFERROR(INDEX(SYZ_static!$S$2:$S$806,MATCH($A694,SYZ_static!$A$2:$A$806,0)),""))</f>
        <v/>
      </c>
      <c r="J694" s="17">
        <f>IF($A694="","",_xll.BDP($A694&amp;" Corp","PAYMENT_RANK"))</f>
        <v/>
      </c>
      <c r="K694" s="18">
        <f>IF($A694="","",_xll.BDP($A694&amp;" Corp","CPN"))</f>
        <v/>
      </c>
      <c r="L694" s="19">
        <f>IF($A694="","",_xll.BDP($A694&amp;" Corp","MATURITY"))</f>
        <v/>
      </c>
      <c r="M694" s="20">
        <f>IF($A694="","",IFERROR(_xll.BDP($A694&amp;" Corp","MIN_PIECE")/1000,""))</f>
        <v/>
      </c>
      <c r="N694" s="21">
        <f>IF($A694="","",_xll.BDP($A694&amp;" Corp","PX_LAST"))</f>
        <v/>
      </c>
      <c r="O694" s="21">
        <f>IF($A694="","",_xll.BDP($A694&amp;" Corp","YAS_BOND_YLD","YAS_YLD_FLAG=15"))</f>
        <v/>
      </c>
      <c r="P694" s="21">
        <f>IF($A694="","",_xll.BDP($A694&amp;" Corp","YAS_MOD_DUR"))</f>
        <v/>
      </c>
      <c r="Q694" s="22">
        <f>IF($A694="","",_xll.BDP($A694&amp;" Corp","YAS_OAS_SPRD"))</f>
        <v/>
      </c>
      <c r="R694" s="22">
        <f>IF($A694="","",_xll.BDP($A694&amp;" Corp","YAS_OAS_SPRD","SETTLE_DT",$B$2))</f>
        <v/>
      </c>
      <c r="S694" s="23">
        <f>IF($A694="","",IF(OR(NOT(ISNUMBER($Q694)),NOT(ISNUMBER($R694))),"",$Q694-$R694))</f>
        <v/>
      </c>
      <c r="T694" s="21">
        <f>IF($A694="","",_xll.BDP($A694&amp;" Corp","YAS_BOND_YLD","YAS_YLD_FLAG=15","SETTLE_DT",$B$2))</f>
        <v/>
      </c>
      <c r="U694" s="24">
        <f>IF($A694="","",IF(OR(NOT(ISNUMBER($O694)),NOT(ISNUMBER($T694))),"",$O694-$T694))</f>
        <v/>
      </c>
      <c r="V694" s="22">
        <f>IF(NOT(ISNUMBER($S694)),"",COUNTIFS($G$7:$G$850,$G694,$S$7:$S$850,"&gt;"&amp;$S694)+COUNTIFS($G$7:$G694,$G694,$S$7:$S694,$S694))</f>
        <v/>
      </c>
      <c r="W694" s="22">
        <f>IF(NOT(ISNUMBER($S694)),"",COUNTIFS($G$7:$G$850,$G694,$S$7:$S$850,"&lt;"&amp;$S694)+COUNTIFS($G$7:$G694,$G694,$S$7:$S694,$S694))</f>
        <v/>
      </c>
      <c r="X694" s="17">
        <f>IF($V694="","",$G694&amp;"|"&amp;$V694)</f>
        <v/>
      </c>
      <c r="Y694" s="17">
        <f>IF($W694="","",$G694&amp;"|"&amp;$W694)</f>
        <v/>
      </c>
    </row>
    <row r="695">
      <c r="A695" s="7" t="inlineStr">
        <is>
          <t>XS2347663507</t>
        </is>
      </c>
      <c r="B695" s="8">
        <f>IF($A695="","",PROPER(_xll.BDP($A695&amp;" Corp","NAME")))</f>
        <v/>
      </c>
      <c r="C695" s="8">
        <f>IF($A695="","",IFERROR(INDEX(Company_desc!$B$2:$B$1144,MATCH($A695,Company_desc!$A$2:$A$1144,0)),IFERROR(INDEX(SYZ_static!$Q$2:$Q$806,MATCH($A695,SYZ_static!$A$2:$A$806,0)),"")))</f>
        <v/>
      </c>
      <c r="D695" s="8">
        <f>IF($A695="","",IFERROR(INDEX(SYZ_static!$B$2:$B$806,MATCH($A695,SYZ_static!$A$2:$A$806,0)),""))</f>
        <v/>
      </c>
      <c r="E695" s="8">
        <f>IF($A695="","",_xll.BDP($A695&amp;" Corp","INDUSTRY_SECTOR"))</f>
        <v/>
      </c>
      <c r="F695" s="8">
        <f>IF($A695="","",PROPER(_xll.BDP($A695&amp;" Corp","COUNTRY_FULL_NAME")))</f>
        <v/>
      </c>
      <c r="G695" s="8">
        <f>IF($A695="","",_xll.BDP($A695&amp;" Corp","CRNCY"))</f>
        <v/>
      </c>
      <c r="H695" s="8">
        <f>IF($A695="","",IFERROR(INDEX(SYZ_static!$T$2:$T$806,MATCH($A695,SYZ_static!$A$2:$A$806,0)),_xll.BDP($A695&amp;" Corp","RTG_SP")))</f>
        <v/>
      </c>
      <c r="I695" s="8">
        <f>IF($A695="","",IFERROR(INDEX(SYZ_static!$S$2:$S$806,MATCH($A695,SYZ_static!$A$2:$A$806,0)),""))</f>
        <v/>
      </c>
      <c r="J695" s="8">
        <f>IF($A695="","",_xll.BDP($A695&amp;" Corp","PAYMENT_RANK"))</f>
        <v/>
      </c>
      <c r="K695" s="9">
        <f>IF($A695="","",_xll.BDP($A695&amp;" Corp","CPN"))</f>
        <v/>
      </c>
      <c r="L695" s="10">
        <f>IF($A695="","",_xll.BDP($A695&amp;" Corp","MATURITY"))</f>
        <v/>
      </c>
      <c r="M695" s="11">
        <f>IF($A695="","",IFERROR(_xll.BDP($A695&amp;" Corp","MIN_PIECE")/1000,""))</f>
        <v/>
      </c>
      <c r="N695" s="12">
        <f>IF($A695="","",_xll.BDP($A695&amp;" Corp","PX_LAST"))</f>
        <v/>
      </c>
      <c r="O695" s="12">
        <f>IF($A695="","",_xll.BDP($A695&amp;" Corp","YAS_BOND_YLD","YAS_YLD_FLAG=15"))</f>
        <v/>
      </c>
      <c r="P695" s="12">
        <f>IF($A695="","",_xll.BDP($A695&amp;" Corp","YAS_MOD_DUR"))</f>
        <v/>
      </c>
      <c r="Q695" s="13">
        <f>IF($A695="","",_xll.BDP($A695&amp;" Corp","YAS_OAS_SPRD"))</f>
        <v/>
      </c>
      <c r="R695" s="13">
        <f>IF($A695="","",_xll.BDP($A695&amp;" Corp","YAS_OAS_SPRD","SETTLE_DT",$B$2))</f>
        <v/>
      </c>
      <c r="S695" s="14">
        <f>IF($A695="","",IF(OR(NOT(ISNUMBER($Q695)),NOT(ISNUMBER($R695))),"",$Q695-$R695))</f>
        <v/>
      </c>
      <c r="T695" s="12">
        <f>IF($A695="","",_xll.BDP($A695&amp;" Corp","YAS_BOND_YLD","YAS_YLD_FLAG=15","SETTLE_DT",$B$2))</f>
        <v/>
      </c>
      <c r="U695" s="15">
        <f>IF($A695="","",IF(OR(NOT(ISNUMBER($O695)),NOT(ISNUMBER($T695))),"",$O695-$T695))</f>
        <v/>
      </c>
      <c r="V695" s="13">
        <f>IF(NOT(ISNUMBER($S695)),"",COUNTIFS($G$7:$G$850,$G695,$S$7:$S$850,"&gt;"&amp;$S695)+COUNTIFS($G$7:$G695,$G695,$S$7:$S695,$S695))</f>
        <v/>
      </c>
      <c r="W695" s="13">
        <f>IF(NOT(ISNUMBER($S695)),"",COUNTIFS($G$7:$G$850,$G695,$S$7:$S$850,"&lt;"&amp;$S695)+COUNTIFS($G$7:$G695,$G695,$S$7:$S695,$S695))</f>
        <v/>
      </c>
      <c r="X695" s="8">
        <f>IF($V695="","",$G695&amp;"|"&amp;$V695)</f>
        <v/>
      </c>
      <c r="Y695" s="8">
        <f>IF($W695="","",$G695&amp;"|"&amp;$W695)</f>
        <v/>
      </c>
    </row>
    <row r="696">
      <c r="A696" s="16" t="inlineStr">
        <is>
          <t>XS2292953069</t>
        </is>
      </c>
      <c r="B696" s="17">
        <f>IF($A696="","",PROPER(_xll.BDP($A696&amp;" Corp","NAME")))</f>
        <v/>
      </c>
      <c r="C696" s="17">
        <f>IF($A696="","",IFERROR(INDEX(Company_desc!$B$2:$B$1144,MATCH($A696,Company_desc!$A$2:$A$1144,0)),IFERROR(INDEX(SYZ_static!$Q$2:$Q$806,MATCH($A696,SYZ_static!$A$2:$A$806,0)),"")))</f>
        <v/>
      </c>
      <c r="D696" s="17">
        <f>IF($A696="","",IFERROR(INDEX(SYZ_static!$B$2:$B$806,MATCH($A696,SYZ_static!$A$2:$A$806,0)),""))</f>
        <v/>
      </c>
      <c r="E696" s="17">
        <f>IF($A696="","",_xll.BDP($A696&amp;" Corp","INDUSTRY_SECTOR"))</f>
        <v/>
      </c>
      <c r="F696" s="17">
        <f>IF($A696="","",PROPER(_xll.BDP($A696&amp;" Corp","COUNTRY_FULL_NAME")))</f>
        <v/>
      </c>
      <c r="G696" s="17">
        <f>IF($A696="","",_xll.BDP($A696&amp;" Corp","CRNCY"))</f>
        <v/>
      </c>
      <c r="H696" s="17">
        <f>IF($A696="","",IFERROR(INDEX(SYZ_static!$T$2:$T$806,MATCH($A696,SYZ_static!$A$2:$A$806,0)),_xll.BDP($A696&amp;" Corp","RTG_SP")))</f>
        <v/>
      </c>
      <c r="I696" s="17">
        <f>IF($A696="","",IFERROR(INDEX(SYZ_static!$S$2:$S$806,MATCH($A696,SYZ_static!$A$2:$A$806,0)),""))</f>
        <v/>
      </c>
      <c r="J696" s="17">
        <f>IF($A696="","",_xll.BDP($A696&amp;" Corp","PAYMENT_RANK"))</f>
        <v/>
      </c>
      <c r="K696" s="18">
        <f>IF($A696="","",_xll.BDP($A696&amp;" Corp","CPN"))</f>
        <v/>
      </c>
      <c r="L696" s="19">
        <f>IF($A696="","",_xll.BDP($A696&amp;" Corp","MATURITY"))</f>
        <v/>
      </c>
      <c r="M696" s="20">
        <f>IF($A696="","",IFERROR(_xll.BDP($A696&amp;" Corp","MIN_PIECE")/1000,""))</f>
        <v/>
      </c>
      <c r="N696" s="21">
        <f>IF($A696="","",_xll.BDP($A696&amp;" Corp","PX_LAST"))</f>
        <v/>
      </c>
      <c r="O696" s="21">
        <f>IF($A696="","",_xll.BDP($A696&amp;" Corp","YAS_BOND_YLD","YAS_YLD_FLAG=15"))</f>
        <v/>
      </c>
      <c r="P696" s="21">
        <f>IF($A696="","",_xll.BDP($A696&amp;" Corp","YAS_MOD_DUR"))</f>
        <v/>
      </c>
      <c r="Q696" s="22">
        <f>IF($A696="","",_xll.BDP($A696&amp;" Corp","YAS_OAS_SPRD"))</f>
        <v/>
      </c>
      <c r="R696" s="22">
        <f>IF($A696="","",_xll.BDP($A696&amp;" Corp","YAS_OAS_SPRD","SETTLE_DT",$B$2))</f>
        <v/>
      </c>
      <c r="S696" s="23">
        <f>IF($A696="","",IF(OR(NOT(ISNUMBER($Q696)),NOT(ISNUMBER($R696))),"",$Q696-$R696))</f>
        <v/>
      </c>
      <c r="T696" s="21">
        <f>IF($A696="","",_xll.BDP($A696&amp;" Corp","YAS_BOND_YLD","YAS_YLD_FLAG=15","SETTLE_DT",$B$2))</f>
        <v/>
      </c>
      <c r="U696" s="24">
        <f>IF($A696="","",IF(OR(NOT(ISNUMBER($O696)),NOT(ISNUMBER($T696))),"",$O696-$T696))</f>
        <v/>
      </c>
      <c r="V696" s="22">
        <f>IF(NOT(ISNUMBER($S696)),"",COUNTIFS($G$7:$G$850,$G696,$S$7:$S$850,"&gt;"&amp;$S696)+COUNTIFS($G$7:$G696,$G696,$S$7:$S696,$S696))</f>
        <v/>
      </c>
      <c r="W696" s="22">
        <f>IF(NOT(ISNUMBER($S696)),"",COUNTIFS($G$7:$G$850,$G696,$S$7:$S$850,"&lt;"&amp;$S696)+COUNTIFS($G$7:$G696,$G696,$S$7:$S696,$S696))</f>
        <v/>
      </c>
      <c r="X696" s="17">
        <f>IF($V696="","",$G696&amp;"|"&amp;$V696)</f>
        <v/>
      </c>
      <c r="Y696" s="17">
        <f>IF($W696="","",$G696&amp;"|"&amp;$W696)</f>
        <v/>
      </c>
    </row>
    <row r="697">
      <c r="A697" s="7" t="inlineStr">
        <is>
          <t>US30303M8M79</t>
        </is>
      </c>
      <c r="B697" s="8">
        <f>IF($A697="","",PROPER(_xll.BDP($A697&amp;" Corp","NAME")))</f>
        <v/>
      </c>
      <c r="C697" s="8">
        <f>IF($A697="","",IFERROR(INDEX(Company_desc!$B$2:$B$1144,MATCH($A697,Company_desc!$A$2:$A$1144,0)),IFERROR(INDEX(SYZ_static!$Q$2:$Q$806,MATCH($A697,SYZ_static!$A$2:$A$806,0)),"")))</f>
        <v/>
      </c>
      <c r="D697" s="8">
        <f>IF($A697="","",IFERROR(INDEX(SYZ_static!$B$2:$B$806,MATCH($A697,SYZ_static!$A$2:$A$806,0)),""))</f>
        <v/>
      </c>
      <c r="E697" s="8">
        <f>IF($A697="","",_xll.BDP($A697&amp;" Corp","INDUSTRY_SECTOR"))</f>
        <v/>
      </c>
      <c r="F697" s="8">
        <f>IF($A697="","",PROPER(_xll.BDP($A697&amp;" Corp","COUNTRY_FULL_NAME")))</f>
        <v/>
      </c>
      <c r="G697" s="8">
        <f>IF($A697="","",_xll.BDP($A697&amp;" Corp","CRNCY"))</f>
        <v/>
      </c>
      <c r="H697" s="8">
        <f>IF($A697="","",IFERROR(INDEX(SYZ_static!$T$2:$T$806,MATCH($A697,SYZ_static!$A$2:$A$806,0)),_xll.BDP($A697&amp;" Corp","RTG_SP")))</f>
        <v/>
      </c>
      <c r="I697" s="8">
        <f>IF($A697="","",IFERROR(INDEX(SYZ_static!$S$2:$S$806,MATCH($A697,SYZ_static!$A$2:$A$806,0)),""))</f>
        <v/>
      </c>
      <c r="J697" s="8">
        <f>IF($A697="","",_xll.BDP($A697&amp;" Corp","PAYMENT_RANK"))</f>
        <v/>
      </c>
      <c r="K697" s="9">
        <f>IF($A697="","",_xll.BDP($A697&amp;" Corp","CPN"))</f>
        <v/>
      </c>
      <c r="L697" s="10">
        <f>IF($A697="","",_xll.BDP($A697&amp;" Corp","MATURITY"))</f>
        <v/>
      </c>
      <c r="M697" s="11">
        <f>IF($A697="","",IFERROR(_xll.BDP($A697&amp;" Corp","MIN_PIECE")/1000,""))</f>
        <v/>
      </c>
      <c r="N697" s="12">
        <f>IF($A697="","",_xll.BDP($A697&amp;" Corp","PX_LAST"))</f>
        <v/>
      </c>
      <c r="O697" s="12">
        <f>IF($A697="","",_xll.BDP($A697&amp;" Corp","YAS_BOND_YLD","YAS_YLD_FLAG=15"))</f>
        <v/>
      </c>
      <c r="P697" s="12">
        <f>IF($A697="","",_xll.BDP($A697&amp;" Corp","YAS_MOD_DUR"))</f>
        <v/>
      </c>
      <c r="Q697" s="13">
        <f>IF($A697="","",_xll.BDP($A697&amp;" Corp","YAS_OAS_SPRD"))</f>
        <v/>
      </c>
      <c r="R697" s="13">
        <f>IF($A697="","",_xll.BDP($A697&amp;" Corp","YAS_OAS_SPRD","SETTLE_DT",$B$2))</f>
        <v/>
      </c>
      <c r="S697" s="14">
        <f>IF($A697="","",IF(OR(NOT(ISNUMBER($Q697)),NOT(ISNUMBER($R697))),"",$Q697-$R697))</f>
        <v/>
      </c>
      <c r="T697" s="12">
        <f>IF($A697="","",_xll.BDP($A697&amp;" Corp","YAS_BOND_YLD","YAS_YLD_FLAG=15","SETTLE_DT",$B$2))</f>
        <v/>
      </c>
      <c r="U697" s="15">
        <f>IF($A697="","",IF(OR(NOT(ISNUMBER($O697)),NOT(ISNUMBER($T697))),"",$O697-$T697))</f>
        <v/>
      </c>
      <c r="V697" s="13">
        <f>IF(NOT(ISNUMBER($S697)),"",COUNTIFS($G$7:$G$850,$G697,$S$7:$S$850,"&gt;"&amp;$S697)+COUNTIFS($G$7:$G697,$G697,$S$7:$S697,$S697))</f>
        <v/>
      </c>
      <c r="W697" s="13">
        <f>IF(NOT(ISNUMBER($S697)),"",COUNTIFS($G$7:$G$850,$G697,$S$7:$S$850,"&lt;"&amp;$S697)+COUNTIFS($G$7:$G697,$G697,$S$7:$S697,$S697))</f>
        <v/>
      </c>
      <c r="X697" s="8">
        <f>IF($V697="","",$G697&amp;"|"&amp;$V697)</f>
        <v/>
      </c>
      <c r="Y697" s="8">
        <f>IF($W697="","",$G697&amp;"|"&amp;$W697)</f>
        <v/>
      </c>
    </row>
    <row r="698">
      <c r="A698" s="16" t="inlineStr">
        <is>
          <t>XS0866588527</t>
        </is>
      </c>
      <c r="B698" s="17">
        <f>IF($A698="","",PROPER(_xll.BDP($A698&amp;" Corp","NAME")))</f>
        <v/>
      </c>
      <c r="C698" s="17">
        <f>IF($A698="","",IFERROR(INDEX(Company_desc!$B$2:$B$1144,MATCH($A698,Company_desc!$A$2:$A$1144,0)),IFERROR(INDEX(SYZ_static!$Q$2:$Q$806,MATCH($A698,SYZ_static!$A$2:$A$806,0)),"")))</f>
        <v/>
      </c>
      <c r="D698" s="17">
        <f>IF($A698="","",IFERROR(INDEX(SYZ_static!$B$2:$B$806,MATCH($A698,SYZ_static!$A$2:$A$806,0)),""))</f>
        <v/>
      </c>
      <c r="E698" s="17">
        <f>IF($A698="","",_xll.BDP($A698&amp;" Corp","INDUSTRY_SECTOR"))</f>
        <v/>
      </c>
      <c r="F698" s="17">
        <f>IF($A698="","",PROPER(_xll.BDP($A698&amp;" Corp","COUNTRY_FULL_NAME")))</f>
        <v/>
      </c>
      <c r="G698" s="17">
        <f>IF($A698="","",_xll.BDP($A698&amp;" Corp","CRNCY"))</f>
        <v/>
      </c>
      <c r="H698" s="17">
        <f>IF($A698="","",IFERROR(INDEX(SYZ_static!$T$2:$T$806,MATCH($A698,SYZ_static!$A$2:$A$806,0)),_xll.BDP($A698&amp;" Corp","RTG_SP")))</f>
        <v/>
      </c>
      <c r="I698" s="17">
        <f>IF($A698="","",IFERROR(INDEX(SYZ_static!$S$2:$S$806,MATCH($A698,SYZ_static!$A$2:$A$806,0)),""))</f>
        <v/>
      </c>
      <c r="J698" s="17">
        <f>IF($A698="","",_xll.BDP($A698&amp;" Corp","PAYMENT_RANK"))</f>
        <v/>
      </c>
      <c r="K698" s="18">
        <f>IF($A698="","",_xll.BDP($A698&amp;" Corp","CPN"))</f>
        <v/>
      </c>
      <c r="L698" s="19">
        <f>IF($A698="","",_xll.BDP($A698&amp;" Corp","MATURITY"))</f>
        <v/>
      </c>
      <c r="M698" s="20">
        <f>IF($A698="","",IFERROR(_xll.BDP($A698&amp;" Corp","MIN_PIECE")/1000,""))</f>
        <v/>
      </c>
      <c r="N698" s="21">
        <f>IF($A698="","",_xll.BDP($A698&amp;" Corp","PX_LAST"))</f>
        <v/>
      </c>
      <c r="O698" s="21">
        <f>IF($A698="","",_xll.BDP($A698&amp;" Corp","YAS_BOND_YLD","YAS_YLD_FLAG=15"))</f>
        <v/>
      </c>
      <c r="P698" s="21">
        <f>IF($A698="","",_xll.BDP($A698&amp;" Corp","YAS_MOD_DUR"))</f>
        <v/>
      </c>
      <c r="Q698" s="22">
        <f>IF($A698="","",_xll.BDP($A698&amp;" Corp","YAS_OAS_SPRD"))</f>
        <v/>
      </c>
      <c r="R698" s="22">
        <f>IF($A698="","",_xll.BDP($A698&amp;" Corp","YAS_OAS_SPRD","SETTLE_DT",$B$2))</f>
        <v/>
      </c>
      <c r="S698" s="23">
        <f>IF($A698="","",IF(OR(NOT(ISNUMBER($Q698)),NOT(ISNUMBER($R698))),"",$Q698-$R698))</f>
        <v/>
      </c>
      <c r="T698" s="21">
        <f>IF($A698="","",_xll.BDP($A698&amp;" Corp","YAS_BOND_YLD","YAS_YLD_FLAG=15","SETTLE_DT",$B$2))</f>
        <v/>
      </c>
      <c r="U698" s="24">
        <f>IF($A698="","",IF(OR(NOT(ISNUMBER($O698)),NOT(ISNUMBER($T698))),"",$O698-$T698))</f>
        <v/>
      </c>
      <c r="V698" s="22">
        <f>IF(NOT(ISNUMBER($S698)),"",COUNTIFS($G$7:$G$850,$G698,$S$7:$S$850,"&gt;"&amp;$S698)+COUNTIFS($G$7:$G698,$G698,$S$7:$S698,$S698))</f>
        <v/>
      </c>
      <c r="W698" s="22">
        <f>IF(NOT(ISNUMBER($S698)),"",COUNTIFS($G$7:$G$850,$G698,$S$7:$S$850,"&lt;"&amp;$S698)+COUNTIFS($G$7:$G698,$G698,$S$7:$S698,$S698))</f>
        <v/>
      </c>
      <c r="X698" s="17">
        <f>IF($V698="","",$G698&amp;"|"&amp;$V698)</f>
        <v/>
      </c>
      <c r="Y698" s="17">
        <f>IF($W698="","",$G698&amp;"|"&amp;$W698)</f>
        <v/>
      </c>
    </row>
    <row r="699">
      <c r="A699" s="7" t="inlineStr">
        <is>
          <t>XS2982069788</t>
        </is>
      </c>
      <c r="B699" s="8">
        <f>IF($A699="","",PROPER(_xll.BDP($A699&amp;" Corp","NAME")))</f>
        <v/>
      </c>
      <c r="C699" s="8">
        <f>IF($A699="","",IFERROR(INDEX(Company_desc!$B$2:$B$1144,MATCH($A699,Company_desc!$A$2:$A$1144,0)),IFERROR(INDEX(SYZ_static!$Q$2:$Q$806,MATCH($A699,SYZ_static!$A$2:$A$806,0)),"")))</f>
        <v/>
      </c>
      <c r="D699" s="8">
        <f>IF($A699="","",IFERROR(INDEX(SYZ_static!$B$2:$B$806,MATCH($A699,SYZ_static!$A$2:$A$806,0)),""))</f>
        <v/>
      </c>
      <c r="E699" s="8">
        <f>IF($A699="","",_xll.BDP($A699&amp;" Corp","INDUSTRY_SECTOR"))</f>
        <v/>
      </c>
      <c r="F699" s="8">
        <f>IF($A699="","",PROPER(_xll.BDP($A699&amp;" Corp","COUNTRY_FULL_NAME")))</f>
        <v/>
      </c>
      <c r="G699" s="8">
        <f>IF($A699="","",_xll.BDP($A699&amp;" Corp","CRNCY"))</f>
        <v/>
      </c>
      <c r="H699" s="8">
        <f>IF($A699="","",IFERROR(INDEX(SYZ_static!$T$2:$T$806,MATCH($A699,SYZ_static!$A$2:$A$806,0)),_xll.BDP($A699&amp;" Corp","RTG_SP")))</f>
        <v/>
      </c>
      <c r="I699" s="8">
        <f>IF($A699="","",IFERROR(INDEX(SYZ_static!$S$2:$S$806,MATCH($A699,SYZ_static!$A$2:$A$806,0)),""))</f>
        <v/>
      </c>
      <c r="J699" s="8">
        <f>IF($A699="","",_xll.BDP($A699&amp;" Corp","PAYMENT_RANK"))</f>
        <v/>
      </c>
      <c r="K699" s="9">
        <f>IF($A699="","",_xll.BDP($A699&amp;" Corp","CPN"))</f>
        <v/>
      </c>
      <c r="L699" s="10">
        <f>IF($A699="","",_xll.BDP($A699&amp;" Corp","MATURITY"))</f>
        <v/>
      </c>
      <c r="M699" s="11">
        <f>IF($A699="","",IFERROR(_xll.BDP($A699&amp;" Corp","MIN_PIECE")/1000,""))</f>
        <v/>
      </c>
      <c r="N699" s="12">
        <f>IF($A699="","",_xll.BDP($A699&amp;" Corp","PX_LAST"))</f>
        <v/>
      </c>
      <c r="O699" s="12">
        <f>IF($A699="","",_xll.BDP($A699&amp;" Corp","YAS_BOND_YLD","YAS_YLD_FLAG=15"))</f>
        <v/>
      </c>
      <c r="P699" s="12">
        <f>IF($A699="","",_xll.BDP($A699&amp;" Corp","YAS_MOD_DUR"))</f>
        <v/>
      </c>
      <c r="Q699" s="13">
        <f>IF($A699="","",_xll.BDP($A699&amp;" Corp","YAS_OAS_SPRD"))</f>
        <v/>
      </c>
      <c r="R699" s="13">
        <f>IF($A699="","",_xll.BDP($A699&amp;" Corp","YAS_OAS_SPRD","SETTLE_DT",$B$2))</f>
        <v/>
      </c>
      <c r="S699" s="14">
        <f>IF($A699="","",IF(OR(NOT(ISNUMBER($Q699)),NOT(ISNUMBER($R699))),"",$Q699-$R699))</f>
        <v/>
      </c>
      <c r="T699" s="12">
        <f>IF($A699="","",_xll.BDP($A699&amp;" Corp","YAS_BOND_YLD","YAS_YLD_FLAG=15","SETTLE_DT",$B$2))</f>
        <v/>
      </c>
      <c r="U699" s="15">
        <f>IF($A699="","",IF(OR(NOT(ISNUMBER($O699)),NOT(ISNUMBER($T699))),"",$O699-$T699))</f>
        <v/>
      </c>
      <c r="V699" s="13">
        <f>IF(NOT(ISNUMBER($S699)),"",COUNTIFS($G$7:$G$850,$G699,$S$7:$S$850,"&gt;"&amp;$S699)+COUNTIFS($G$7:$G699,$G699,$S$7:$S699,$S699))</f>
        <v/>
      </c>
      <c r="W699" s="13">
        <f>IF(NOT(ISNUMBER($S699)),"",COUNTIFS($G$7:$G$850,$G699,$S$7:$S$850,"&lt;"&amp;$S699)+COUNTIFS($G$7:$G699,$G699,$S$7:$S699,$S699))</f>
        <v/>
      </c>
      <c r="X699" s="8">
        <f>IF($V699="","",$G699&amp;"|"&amp;$V699)</f>
        <v/>
      </c>
      <c r="Y699" s="8">
        <f>IF($W699="","",$G699&amp;"|"&amp;$W699)</f>
        <v/>
      </c>
    </row>
    <row r="700">
      <c r="A700" s="16" t="inlineStr">
        <is>
          <t>US24422EXZ77</t>
        </is>
      </c>
      <c r="B700" s="17">
        <f>IF($A700="","",PROPER(_xll.BDP($A700&amp;" Corp","NAME")))</f>
        <v/>
      </c>
      <c r="C700" s="17">
        <f>IF($A700="","",IFERROR(INDEX(Company_desc!$B$2:$B$1144,MATCH($A700,Company_desc!$A$2:$A$1144,0)),IFERROR(INDEX(SYZ_static!$Q$2:$Q$806,MATCH($A700,SYZ_static!$A$2:$A$806,0)),"")))</f>
        <v/>
      </c>
      <c r="D700" s="17">
        <f>IF($A700="","",IFERROR(INDEX(SYZ_static!$B$2:$B$806,MATCH($A700,SYZ_static!$A$2:$A$806,0)),""))</f>
        <v/>
      </c>
      <c r="E700" s="17">
        <f>IF($A700="","",_xll.BDP($A700&amp;" Corp","INDUSTRY_SECTOR"))</f>
        <v/>
      </c>
      <c r="F700" s="17">
        <f>IF($A700="","",PROPER(_xll.BDP($A700&amp;" Corp","COUNTRY_FULL_NAME")))</f>
        <v/>
      </c>
      <c r="G700" s="17">
        <f>IF($A700="","",_xll.BDP($A700&amp;" Corp","CRNCY"))</f>
        <v/>
      </c>
      <c r="H700" s="17">
        <f>IF($A700="","",IFERROR(INDEX(SYZ_static!$T$2:$T$806,MATCH($A700,SYZ_static!$A$2:$A$806,0)),_xll.BDP($A700&amp;" Corp","RTG_SP")))</f>
        <v/>
      </c>
      <c r="I700" s="17">
        <f>IF($A700="","",IFERROR(INDEX(SYZ_static!$S$2:$S$806,MATCH($A700,SYZ_static!$A$2:$A$806,0)),""))</f>
        <v/>
      </c>
      <c r="J700" s="17">
        <f>IF($A700="","",_xll.BDP($A700&amp;" Corp","PAYMENT_RANK"))</f>
        <v/>
      </c>
      <c r="K700" s="18">
        <f>IF($A700="","",_xll.BDP($A700&amp;" Corp","CPN"))</f>
        <v/>
      </c>
      <c r="L700" s="19">
        <f>IF($A700="","",_xll.BDP($A700&amp;" Corp","MATURITY"))</f>
        <v/>
      </c>
      <c r="M700" s="20">
        <f>IF($A700="","",IFERROR(_xll.BDP($A700&amp;" Corp","MIN_PIECE")/1000,""))</f>
        <v/>
      </c>
      <c r="N700" s="21">
        <f>IF($A700="","",_xll.BDP($A700&amp;" Corp","PX_LAST"))</f>
        <v/>
      </c>
      <c r="O700" s="21">
        <f>IF($A700="","",_xll.BDP($A700&amp;" Corp","YAS_BOND_YLD","YAS_YLD_FLAG=15"))</f>
        <v/>
      </c>
      <c r="P700" s="21">
        <f>IF($A700="","",_xll.BDP($A700&amp;" Corp","YAS_MOD_DUR"))</f>
        <v/>
      </c>
      <c r="Q700" s="22">
        <f>IF($A700="","",_xll.BDP($A700&amp;" Corp","YAS_OAS_SPRD"))</f>
        <v/>
      </c>
      <c r="R700" s="22">
        <f>IF($A700="","",_xll.BDP($A700&amp;" Corp","YAS_OAS_SPRD","SETTLE_DT",$B$2))</f>
        <v/>
      </c>
      <c r="S700" s="23">
        <f>IF($A700="","",IF(OR(NOT(ISNUMBER($Q700)),NOT(ISNUMBER($R700))),"",$Q700-$R700))</f>
        <v/>
      </c>
      <c r="T700" s="21">
        <f>IF($A700="","",_xll.BDP($A700&amp;" Corp","YAS_BOND_YLD","YAS_YLD_FLAG=15","SETTLE_DT",$B$2))</f>
        <v/>
      </c>
      <c r="U700" s="24">
        <f>IF($A700="","",IF(OR(NOT(ISNUMBER($O700)),NOT(ISNUMBER($T700))),"",$O700-$T700))</f>
        <v/>
      </c>
      <c r="V700" s="22">
        <f>IF(NOT(ISNUMBER($S700)),"",COUNTIFS($G$7:$G$850,$G700,$S$7:$S$850,"&gt;"&amp;$S700)+COUNTIFS($G$7:$G700,$G700,$S$7:$S700,$S700))</f>
        <v/>
      </c>
      <c r="W700" s="22">
        <f>IF(NOT(ISNUMBER($S700)),"",COUNTIFS($G$7:$G$850,$G700,$S$7:$S$850,"&lt;"&amp;$S700)+COUNTIFS($G$7:$G700,$G700,$S$7:$S700,$S700))</f>
        <v/>
      </c>
      <c r="X700" s="17">
        <f>IF($V700="","",$G700&amp;"|"&amp;$V700)</f>
        <v/>
      </c>
      <c r="Y700" s="17">
        <f>IF($W700="","",$G700&amp;"|"&amp;$W700)</f>
        <v/>
      </c>
    </row>
    <row r="701">
      <c r="A701" s="7" t="inlineStr">
        <is>
          <t>XS2972982917</t>
        </is>
      </c>
      <c r="B701" s="8">
        <f>IF($A701="","",PROPER(_xll.BDP($A701&amp;" Corp","NAME")))</f>
        <v/>
      </c>
      <c r="C701" s="8">
        <f>IF($A701="","",IFERROR(INDEX(Company_desc!$B$2:$B$1144,MATCH($A701,Company_desc!$A$2:$A$1144,0)),IFERROR(INDEX(SYZ_static!$Q$2:$Q$806,MATCH($A701,SYZ_static!$A$2:$A$806,0)),"")))</f>
        <v/>
      </c>
      <c r="D701" s="8">
        <f>IF($A701="","",IFERROR(INDEX(SYZ_static!$B$2:$B$806,MATCH($A701,SYZ_static!$A$2:$A$806,0)),""))</f>
        <v/>
      </c>
      <c r="E701" s="8">
        <f>IF($A701="","",_xll.BDP($A701&amp;" Corp","INDUSTRY_SECTOR"))</f>
        <v/>
      </c>
      <c r="F701" s="8">
        <f>IF($A701="","",PROPER(_xll.BDP($A701&amp;" Corp","COUNTRY_FULL_NAME")))</f>
        <v/>
      </c>
      <c r="G701" s="8">
        <f>IF($A701="","",_xll.BDP($A701&amp;" Corp","CRNCY"))</f>
        <v/>
      </c>
      <c r="H701" s="8">
        <f>IF($A701="","",IFERROR(INDEX(SYZ_static!$T$2:$T$806,MATCH($A701,SYZ_static!$A$2:$A$806,0)),_xll.BDP($A701&amp;" Corp","RTG_SP")))</f>
        <v/>
      </c>
      <c r="I701" s="8">
        <f>IF($A701="","",IFERROR(INDEX(SYZ_static!$S$2:$S$806,MATCH($A701,SYZ_static!$A$2:$A$806,0)),""))</f>
        <v/>
      </c>
      <c r="J701" s="8">
        <f>IF($A701="","",_xll.BDP($A701&amp;" Corp","PAYMENT_RANK"))</f>
        <v/>
      </c>
      <c r="K701" s="9">
        <f>IF($A701="","",_xll.BDP($A701&amp;" Corp","CPN"))</f>
        <v/>
      </c>
      <c r="L701" s="10">
        <f>IF($A701="","",_xll.BDP($A701&amp;" Corp","MATURITY"))</f>
        <v/>
      </c>
      <c r="M701" s="11">
        <f>IF($A701="","",IFERROR(_xll.BDP($A701&amp;" Corp","MIN_PIECE")/1000,""))</f>
        <v/>
      </c>
      <c r="N701" s="12">
        <f>IF($A701="","",_xll.BDP($A701&amp;" Corp","PX_LAST"))</f>
        <v/>
      </c>
      <c r="O701" s="12">
        <f>IF($A701="","",_xll.BDP($A701&amp;" Corp","YAS_BOND_YLD","YAS_YLD_FLAG=15"))</f>
        <v/>
      </c>
      <c r="P701" s="12">
        <f>IF($A701="","",_xll.BDP($A701&amp;" Corp","YAS_MOD_DUR"))</f>
        <v/>
      </c>
      <c r="Q701" s="13">
        <f>IF($A701="","",_xll.BDP($A701&amp;" Corp","YAS_OAS_SPRD"))</f>
        <v/>
      </c>
      <c r="R701" s="13">
        <f>IF($A701="","",_xll.BDP($A701&amp;" Corp","YAS_OAS_SPRD","SETTLE_DT",$B$2))</f>
        <v/>
      </c>
      <c r="S701" s="14">
        <f>IF($A701="","",IF(OR(NOT(ISNUMBER($Q701)),NOT(ISNUMBER($R701))),"",$Q701-$R701))</f>
        <v/>
      </c>
      <c r="T701" s="12">
        <f>IF($A701="","",_xll.BDP($A701&amp;" Corp","YAS_BOND_YLD","YAS_YLD_FLAG=15","SETTLE_DT",$B$2))</f>
        <v/>
      </c>
      <c r="U701" s="15">
        <f>IF($A701="","",IF(OR(NOT(ISNUMBER($O701)),NOT(ISNUMBER($T701))),"",$O701-$T701))</f>
        <v/>
      </c>
      <c r="V701" s="13">
        <f>IF(NOT(ISNUMBER($S701)),"",COUNTIFS($G$7:$G$850,$G701,$S$7:$S$850,"&gt;"&amp;$S701)+COUNTIFS($G$7:$G701,$G701,$S$7:$S701,$S701))</f>
        <v/>
      </c>
      <c r="W701" s="13">
        <f>IF(NOT(ISNUMBER($S701)),"",COUNTIFS($G$7:$G$850,$G701,$S$7:$S$850,"&lt;"&amp;$S701)+COUNTIFS($G$7:$G701,$G701,$S$7:$S701,$S701))</f>
        <v/>
      </c>
      <c r="X701" s="8">
        <f>IF($V701="","",$G701&amp;"|"&amp;$V701)</f>
        <v/>
      </c>
      <c r="Y701" s="8">
        <f>IF($W701="","",$G701&amp;"|"&amp;$W701)</f>
        <v/>
      </c>
    </row>
    <row r="702">
      <c r="A702" s="16" t="inlineStr">
        <is>
          <t>XS1269176191</t>
        </is>
      </c>
      <c r="B702" s="17">
        <f>IF($A702="","",PROPER(_xll.BDP($A702&amp;" Corp","NAME")))</f>
        <v/>
      </c>
      <c r="C702" s="17">
        <f>IF($A702="","",IFERROR(INDEX(Company_desc!$B$2:$B$1144,MATCH($A702,Company_desc!$A$2:$A$1144,0)),IFERROR(INDEX(SYZ_static!$Q$2:$Q$806,MATCH($A702,SYZ_static!$A$2:$A$806,0)),"")))</f>
        <v/>
      </c>
      <c r="D702" s="17">
        <f>IF($A702="","",IFERROR(INDEX(SYZ_static!$B$2:$B$806,MATCH($A702,SYZ_static!$A$2:$A$806,0)),""))</f>
        <v/>
      </c>
      <c r="E702" s="17">
        <f>IF($A702="","",_xll.BDP($A702&amp;" Corp","INDUSTRY_SECTOR"))</f>
        <v/>
      </c>
      <c r="F702" s="17">
        <f>IF($A702="","",PROPER(_xll.BDP($A702&amp;" Corp","COUNTRY_FULL_NAME")))</f>
        <v/>
      </c>
      <c r="G702" s="17">
        <f>IF($A702="","",_xll.BDP($A702&amp;" Corp","CRNCY"))</f>
        <v/>
      </c>
      <c r="H702" s="17">
        <f>IF($A702="","",IFERROR(INDEX(SYZ_static!$T$2:$T$806,MATCH($A702,SYZ_static!$A$2:$A$806,0)),_xll.BDP($A702&amp;" Corp","RTG_SP")))</f>
        <v/>
      </c>
      <c r="I702" s="17">
        <f>IF($A702="","",IFERROR(INDEX(SYZ_static!$S$2:$S$806,MATCH($A702,SYZ_static!$A$2:$A$806,0)),""))</f>
        <v/>
      </c>
      <c r="J702" s="17">
        <f>IF($A702="","",_xll.BDP($A702&amp;" Corp","PAYMENT_RANK"))</f>
        <v/>
      </c>
      <c r="K702" s="18">
        <f>IF($A702="","",_xll.BDP($A702&amp;" Corp","CPN"))</f>
        <v/>
      </c>
      <c r="L702" s="19">
        <f>IF($A702="","",_xll.BDP($A702&amp;" Corp","MATURITY"))</f>
        <v/>
      </c>
      <c r="M702" s="20">
        <f>IF($A702="","",IFERROR(_xll.BDP($A702&amp;" Corp","MIN_PIECE")/1000,""))</f>
        <v/>
      </c>
      <c r="N702" s="21">
        <f>IF($A702="","",_xll.BDP($A702&amp;" Corp","PX_LAST"))</f>
        <v/>
      </c>
      <c r="O702" s="21">
        <f>IF($A702="","",_xll.BDP($A702&amp;" Corp","YAS_BOND_YLD","YAS_YLD_FLAG=15"))</f>
        <v/>
      </c>
      <c r="P702" s="21">
        <f>IF($A702="","",_xll.BDP($A702&amp;" Corp","YAS_MOD_DUR"))</f>
        <v/>
      </c>
      <c r="Q702" s="22">
        <f>IF($A702="","",_xll.BDP($A702&amp;" Corp","YAS_OAS_SPRD"))</f>
        <v/>
      </c>
      <c r="R702" s="22">
        <f>IF($A702="","",_xll.BDP($A702&amp;" Corp","YAS_OAS_SPRD","SETTLE_DT",$B$2))</f>
        <v/>
      </c>
      <c r="S702" s="23">
        <f>IF($A702="","",IF(OR(NOT(ISNUMBER($Q702)),NOT(ISNUMBER($R702))),"",$Q702-$R702))</f>
        <v/>
      </c>
      <c r="T702" s="21">
        <f>IF($A702="","",_xll.BDP($A702&amp;" Corp","YAS_BOND_YLD","YAS_YLD_FLAG=15","SETTLE_DT",$B$2))</f>
        <v/>
      </c>
      <c r="U702" s="24">
        <f>IF($A702="","",IF(OR(NOT(ISNUMBER($O702)),NOT(ISNUMBER($T702))),"",$O702-$T702))</f>
        <v/>
      </c>
      <c r="V702" s="22">
        <f>IF(NOT(ISNUMBER($S702)),"",COUNTIFS($G$7:$G$850,$G702,$S$7:$S$850,"&gt;"&amp;$S702)+COUNTIFS($G$7:$G702,$G702,$S$7:$S702,$S702))</f>
        <v/>
      </c>
      <c r="W702" s="22">
        <f>IF(NOT(ISNUMBER($S702)),"",COUNTIFS($G$7:$G$850,$G702,$S$7:$S$850,"&lt;"&amp;$S702)+COUNTIFS($G$7:$G702,$G702,$S$7:$S702,$S702))</f>
        <v/>
      </c>
      <c r="X702" s="17">
        <f>IF($V702="","",$G702&amp;"|"&amp;$V702)</f>
        <v/>
      </c>
      <c r="Y702" s="17">
        <f>IF($W702="","",$G702&amp;"|"&amp;$W702)</f>
        <v/>
      </c>
    </row>
    <row r="703">
      <c r="A703" s="7" t="inlineStr">
        <is>
          <t>XS2978922313</t>
        </is>
      </c>
      <c r="B703" s="8">
        <f>IF($A703="","",PROPER(_xll.BDP($A703&amp;" Corp","NAME")))</f>
        <v/>
      </c>
      <c r="C703" s="8">
        <f>IF($A703="","",IFERROR(INDEX(Company_desc!$B$2:$B$1144,MATCH($A703,Company_desc!$A$2:$A$1144,0)),IFERROR(INDEX(SYZ_static!$Q$2:$Q$806,MATCH($A703,SYZ_static!$A$2:$A$806,0)),"")))</f>
        <v/>
      </c>
      <c r="D703" s="8">
        <f>IF($A703="","",IFERROR(INDEX(SYZ_static!$B$2:$B$806,MATCH($A703,SYZ_static!$A$2:$A$806,0)),""))</f>
        <v/>
      </c>
      <c r="E703" s="8">
        <f>IF($A703="","",_xll.BDP($A703&amp;" Corp","INDUSTRY_SECTOR"))</f>
        <v/>
      </c>
      <c r="F703" s="8">
        <f>IF($A703="","",PROPER(_xll.BDP($A703&amp;" Corp","COUNTRY_FULL_NAME")))</f>
        <v/>
      </c>
      <c r="G703" s="8">
        <f>IF($A703="","",_xll.BDP($A703&amp;" Corp","CRNCY"))</f>
        <v/>
      </c>
      <c r="H703" s="8">
        <f>IF($A703="","",IFERROR(INDEX(SYZ_static!$T$2:$T$806,MATCH($A703,SYZ_static!$A$2:$A$806,0)),_xll.BDP($A703&amp;" Corp","RTG_SP")))</f>
        <v/>
      </c>
      <c r="I703" s="8">
        <f>IF($A703="","",IFERROR(INDEX(SYZ_static!$S$2:$S$806,MATCH($A703,SYZ_static!$A$2:$A$806,0)),""))</f>
        <v/>
      </c>
      <c r="J703" s="8">
        <f>IF($A703="","",_xll.BDP($A703&amp;" Corp","PAYMENT_RANK"))</f>
        <v/>
      </c>
      <c r="K703" s="9">
        <f>IF($A703="","",_xll.BDP($A703&amp;" Corp","CPN"))</f>
        <v/>
      </c>
      <c r="L703" s="10">
        <f>IF($A703="","",_xll.BDP($A703&amp;" Corp","MATURITY"))</f>
        <v/>
      </c>
      <c r="M703" s="11">
        <f>IF($A703="","",IFERROR(_xll.BDP($A703&amp;" Corp","MIN_PIECE")/1000,""))</f>
        <v/>
      </c>
      <c r="N703" s="12">
        <f>IF($A703="","",_xll.BDP($A703&amp;" Corp","PX_LAST"))</f>
        <v/>
      </c>
      <c r="O703" s="12">
        <f>IF($A703="","",_xll.BDP($A703&amp;" Corp","YAS_BOND_YLD","YAS_YLD_FLAG=15"))</f>
        <v/>
      </c>
      <c r="P703" s="12">
        <f>IF($A703="","",_xll.BDP($A703&amp;" Corp","YAS_MOD_DUR"))</f>
        <v/>
      </c>
      <c r="Q703" s="13">
        <f>IF($A703="","",_xll.BDP($A703&amp;" Corp","YAS_OAS_SPRD"))</f>
        <v/>
      </c>
      <c r="R703" s="13">
        <f>IF($A703="","",_xll.BDP($A703&amp;" Corp","YAS_OAS_SPRD","SETTLE_DT",$B$2))</f>
        <v/>
      </c>
      <c r="S703" s="14">
        <f>IF($A703="","",IF(OR(NOT(ISNUMBER($Q703)),NOT(ISNUMBER($R703))),"",$Q703-$R703))</f>
        <v/>
      </c>
      <c r="T703" s="12">
        <f>IF($A703="","",_xll.BDP($A703&amp;" Corp","YAS_BOND_YLD","YAS_YLD_FLAG=15","SETTLE_DT",$B$2))</f>
        <v/>
      </c>
      <c r="U703" s="15">
        <f>IF($A703="","",IF(OR(NOT(ISNUMBER($O703)),NOT(ISNUMBER($T703))),"",$O703-$T703))</f>
        <v/>
      </c>
      <c r="V703" s="13">
        <f>IF(NOT(ISNUMBER($S703)),"",COUNTIFS($G$7:$G$850,$G703,$S$7:$S$850,"&gt;"&amp;$S703)+COUNTIFS($G$7:$G703,$G703,$S$7:$S703,$S703))</f>
        <v/>
      </c>
      <c r="W703" s="13">
        <f>IF(NOT(ISNUMBER($S703)),"",COUNTIFS($G$7:$G$850,$G703,$S$7:$S$850,"&lt;"&amp;$S703)+COUNTIFS($G$7:$G703,$G703,$S$7:$S703,$S703))</f>
        <v/>
      </c>
      <c r="X703" s="8">
        <f>IF($V703="","",$G703&amp;"|"&amp;$V703)</f>
        <v/>
      </c>
      <c r="Y703" s="8">
        <f>IF($W703="","",$G703&amp;"|"&amp;$W703)</f>
        <v/>
      </c>
    </row>
    <row r="704">
      <c r="A704" s="16" t="inlineStr">
        <is>
          <t>XS3000458557</t>
        </is>
      </c>
      <c r="B704" s="17">
        <f>IF($A704="","",PROPER(_xll.BDP($A704&amp;" Corp","NAME")))</f>
        <v/>
      </c>
      <c r="C704" s="17">
        <f>IF($A704="","",IFERROR(INDEX(Company_desc!$B$2:$B$1144,MATCH($A704,Company_desc!$A$2:$A$1144,0)),IFERROR(INDEX(SYZ_static!$Q$2:$Q$806,MATCH($A704,SYZ_static!$A$2:$A$806,0)),"")))</f>
        <v/>
      </c>
      <c r="D704" s="17">
        <f>IF($A704="","",IFERROR(INDEX(SYZ_static!$B$2:$B$806,MATCH($A704,SYZ_static!$A$2:$A$806,0)),""))</f>
        <v/>
      </c>
      <c r="E704" s="17">
        <f>IF($A704="","",_xll.BDP($A704&amp;" Corp","INDUSTRY_SECTOR"))</f>
        <v/>
      </c>
      <c r="F704" s="17">
        <f>IF($A704="","",PROPER(_xll.BDP($A704&amp;" Corp","COUNTRY_FULL_NAME")))</f>
        <v/>
      </c>
      <c r="G704" s="17">
        <f>IF($A704="","",_xll.BDP($A704&amp;" Corp","CRNCY"))</f>
        <v/>
      </c>
      <c r="H704" s="17">
        <f>IF($A704="","",IFERROR(INDEX(SYZ_static!$T$2:$T$806,MATCH($A704,SYZ_static!$A$2:$A$806,0)),_xll.BDP($A704&amp;" Corp","RTG_SP")))</f>
        <v/>
      </c>
      <c r="I704" s="17">
        <f>IF($A704="","",IFERROR(INDEX(SYZ_static!$S$2:$S$806,MATCH($A704,SYZ_static!$A$2:$A$806,0)),""))</f>
        <v/>
      </c>
      <c r="J704" s="17">
        <f>IF($A704="","",_xll.BDP($A704&amp;" Corp","PAYMENT_RANK"))</f>
        <v/>
      </c>
      <c r="K704" s="18">
        <f>IF($A704="","",_xll.BDP($A704&amp;" Corp","CPN"))</f>
        <v/>
      </c>
      <c r="L704" s="19">
        <f>IF($A704="","",_xll.BDP($A704&amp;" Corp","MATURITY"))</f>
        <v/>
      </c>
      <c r="M704" s="20">
        <f>IF($A704="","",IFERROR(_xll.BDP($A704&amp;" Corp","MIN_PIECE")/1000,""))</f>
        <v/>
      </c>
      <c r="N704" s="21">
        <f>IF($A704="","",_xll.BDP($A704&amp;" Corp","PX_LAST"))</f>
        <v/>
      </c>
      <c r="O704" s="21">
        <f>IF($A704="","",_xll.BDP($A704&amp;" Corp","YAS_BOND_YLD","YAS_YLD_FLAG=15"))</f>
        <v/>
      </c>
      <c r="P704" s="21">
        <f>IF($A704="","",_xll.BDP($A704&amp;" Corp","YAS_MOD_DUR"))</f>
        <v/>
      </c>
      <c r="Q704" s="22">
        <f>IF($A704="","",_xll.BDP($A704&amp;" Corp","YAS_OAS_SPRD"))</f>
        <v/>
      </c>
      <c r="R704" s="22">
        <f>IF($A704="","",_xll.BDP($A704&amp;" Corp","YAS_OAS_SPRD","SETTLE_DT",$B$2))</f>
        <v/>
      </c>
      <c r="S704" s="23">
        <f>IF($A704="","",IF(OR(NOT(ISNUMBER($Q704)),NOT(ISNUMBER($R704))),"",$Q704-$R704))</f>
        <v/>
      </c>
      <c r="T704" s="21">
        <f>IF($A704="","",_xll.BDP($A704&amp;" Corp","YAS_BOND_YLD","YAS_YLD_FLAG=15","SETTLE_DT",$B$2))</f>
        <v/>
      </c>
      <c r="U704" s="24">
        <f>IF($A704="","",IF(OR(NOT(ISNUMBER($O704)),NOT(ISNUMBER($T704))),"",$O704-$T704))</f>
        <v/>
      </c>
      <c r="V704" s="22">
        <f>IF(NOT(ISNUMBER($S704)),"",COUNTIFS($G$7:$G$850,$G704,$S$7:$S$850,"&gt;"&amp;$S704)+COUNTIFS($G$7:$G704,$G704,$S$7:$S704,$S704))</f>
        <v/>
      </c>
      <c r="W704" s="22">
        <f>IF(NOT(ISNUMBER($S704)),"",COUNTIFS($G$7:$G$850,$G704,$S$7:$S$850,"&lt;"&amp;$S704)+COUNTIFS($G$7:$G704,$G704,$S$7:$S704,$S704))</f>
        <v/>
      </c>
      <c r="X704" s="17">
        <f>IF($V704="","",$G704&amp;"|"&amp;$V704)</f>
        <v/>
      </c>
      <c r="Y704" s="17">
        <f>IF($W704="","",$G704&amp;"|"&amp;$W704)</f>
        <v/>
      </c>
    </row>
    <row r="705">
      <c r="A705" s="7" t="inlineStr">
        <is>
          <t>XS2973019693</t>
        </is>
      </c>
      <c r="B705" s="8">
        <f>IF($A705="","",PROPER(_xll.BDP($A705&amp;" Corp","NAME")))</f>
        <v/>
      </c>
      <c r="C705" s="8">
        <f>IF($A705="","",IFERROR(INDEX(Company_desc!$B$2:$B$1144,MATCH($A705,Company_desc!$A$2:$A$1144,0)),IFERROR(INDEX(SYZ_static!$Q$2:$Q$806,MATCH($A705,SYZ_static!$A$2:$A$806,0)),"")))</f>
        <v/>
      </c>
      <c r="D705" s="8">
        <f>IF($A705="","",IFERROR(INDEX(SYZ_static!$B$2:$B$806,MATCH($A705,SYZ_static!$A$2:$A$806,0)),""))</f>
        <v/>
      </c>
      <c r="E705" s="8">
        <f>IF($A705="","",_xll.BDP($A705&amp;" Corp","INDUSTRY_SECTOR"))</f>
        <v/>
      </c>
      <c r="F705" s="8">
        <f>IF($A705="","",PROPER(_xll.BDP($A705&amp;" Corp","COUNTRY_FULL_NAME")))</f>
        <v/>
      </c>
      <c r="G705" s="8">
        <f>IF($A705="","",_xll.BDP($A705&amp;" Corp","CRNCY"))</f>
        <v/>
      </c>
      <c r="H705" s="8">
        <f>IF($A705="","",IFERROR(INDEX(SYZ_static!$T$2:$T$806,MATCH($A705,SYZ_static!$A$2:$A$806,0)),_xll.BDP($A705&amp;" Corp","RTG_SP")))</f>
        <v/>
      </c>
      <c r="I705" s="8">
        <f>IF($A705="","",IFERROR(INDEX(SYZ_static!$S$2:$S$806,MATCH($A705,SYZ_static!$A$2:$A$806,0)),""))</f>
        <v/>
      </c>
      <c r="J705" s="8">
        <f>IF($A705="","",_xll.BDP($A705&amp;" Corp","PAYMENT_RANK"))</f>
        <v/>
      </c>
      <c r="K705" s="9">
        <f>IF($A705="","",_xll.BDP($A705&amp;" Corp","CPN"))</f>
        <v/>
      </c>
      <c r="L705" s="10">
        <f>IF($A705="","",_xll.BDP($A705&amp;" Corp","MATURITY"))</f>
        <v/>
      </c>
      <c r="M705" s="11">
        <f>IF($A705="","",IFERROR(_xll.BDP($A705&amp;" Corp","MIN_PIECE")/1000,""))</f>
        <v/>
      </c>
      <c r="N705" s="12">
        <f>IF($A705="","",_xll.BDP($A705&amp;" Corp","PX_LAST"))</f>
        <v/>
      </c>
      <c r="O705" s="12">
        <f>IF($A705="","",_xll.BDP($A705&amp;" Corp","YAS_BOND_YLD","YAS_YLD_FLAG=15"))</f>
        <v/>
      </c>
      <c r="P705" s="12">
        <f>IF($A705="","",_xll.BDP($A705&amp;" Corp","YAS_MOD_DUR"))</f>
        <v/>
      </c>
      <c r="Q705" s="13">
        <f>IF($A705="","",_xll.BDP($A705&amp;" Corp","YAS_OAS_SPRD"))</f>
        <v/>
      </c>
      <c r="R705" s="13">
        <f>IF($A705="","",_xll.BDP($A705&amp;" Corp","YAS_OAS_SPRD","SETTLE_DT",$B$2))</f>
        <v/>
      </c>
      <c r="S705" s="14">
        <f>IF($A705="","",IF(OR(NOT(ISNUMBER($Q705)),NOT(ISNUMBER($R705))),"",$Q705-$R705))</f>
        <v/>
      </c>
      <c r="T705" s="12">
        <f>IF($A705="","",_xll.BDP($A705&amp;" Corp","YAS_BOND_YLD","YAS_YLD_FLAG=15","SETTLE_DT",$B$2))</f>
        <v/>
      </c>
      <c r="U705" s="15">
        <f>IF($A705="","",IF(OR(NOT(ISNUMBER($O705)),NOT(ISNUMBER($T705))),"",$O705-$T705))</f>
        <v/>
      </c>
      <c r="V705" s="13">
        <f>IF(NOT(ISNUMBER($S705)),"",COUNTIFS($G$7:$G$850,$G705,$S$7:$S$850,"&gt;"&amp;$S705)+COUNTIFS($G$7:$G705,$G705,$S$7:$S705,$S705))</f>
        <v/>
      </c>
      <c r="W705" s="13">
        <f>IF(NOT(ISNUMBER($S705)),"",COUNTIFS($G$7:$G$850,$G705,$S$7:$S$850,"&lt;"&amp;$S705)+COUNTIFS($G$7:$G705,$G705,$S$7:$S705,$S705))</f>
        <v/>
      </c>
      <c r="X705" s="8">
        <f>IF($V705="","",$G705&amp;"|"&amp;$V705)</f>
        <v/>
      </c>
      <c r="Y705" s="8">
        <f>IF($W705="","",$G705&amp;"|"&amp;$W705)</f>
        <v/>
      </c>
    </row>
    <row r="706">
      <c r="A706" s="16" t="inlineStr">
        <is>
          <t>US14913R2G11</t>
        </is>
      </c>
      <c r="B706" s="17">
        <f>IF($A706="","",PROPER(_xll.BDP($A706&amp;" Corp","NAME")))</f>
        <v/>
      </c>
      <c r="C706" s="17">
        <f>IF($A706="","",IFERROR(INDEX(Company_desc!$B$2:$B$1144,MATCH($A706,Company_desc!$A$2:$A$1144,0)),IFERROR(INDEX(SYZ_static!$Q$2:$Q$806,MATCH($A706,SYZ_static!$A$2:$A$806,0)),"")))</f>
        <v/>
      </c>
      <c r="D706" s="17">
        <f>IF($A706="","",IFERROR(INDEX(SYZ_static!$B$2:$B$806,MATCH($A706,SYZ_static!$A$2:$A$806,0)),""))</f>
        <v/>
      </c>
      <c r="E706" s="17">
        <f>IF($A706="","",_xll.BDP($A706&amp;" Corp","INDUSTRY_SECTOR"))</f>
        <v/>
      </c>
      <c r="F706" s="17">
        <f>IF($A706="","",PROPER(_xll.BDP($A706&amp;" Corp","COUNTRY_FULL_NAME")))</f>
        <v/>
      </c>
      <c r="G706" s="17">
        <f>IF($A706="","",_xll.BDP($A706&amp;" Corp","CRNCY"))</f>
        <v/>
      </c>
      <c r="H706" s="17">
        <f>IF($A706="","",IFERROR(INDEX(SYZ_static!$T$2:$T$806,MATCH($A706,SYZ_static!$A$2:$A$806,0)),_xll.BDP($A706&amp;" Corp","RTG_SP")))</f>
        <v/>
      </c>
      <c r="I706" s="17">
        <f>IF($A706="","",IFERROR(INDEX(SYZ_static!$S$2:$S$806,MATCH($A706,SYZ_static!$A$2:$A$806,0)),""))</f>
        <v/>
      </c>
      <c r="J706" s="17">
        <f>IF($A706="","",_xll.BDP($A706&amp;" Corp","PAYMENT_RANK"))</f>
        <v/>
      </c>
      <c r="K706" s="18">
        <f>IF($A706="","",_xll.BDP($A706&amp;" Corp","CPN"))</f>
        <v/>
      </c>
      <c r="L706" s="19">
        <f>IF($A706="","",_xll.BDP($A706&amp;" Corp","MATURITY"))</f>
        <v/>
      </c>
      <c r="M706" s="20">
        <f>IF($A706="","",IFERROR(_xll.BDP($A706&amp;" Corp","MIN_PIECE")/1000,""))</f>
        <v/>
      </c>
      <c r="N706" s="21">
        <f>IF($A706="","",_xll.BDP($A706&amp;" Corp","PX_LAST"))</f>
        <v/>
      </c>
      <c r="O706" s="21">
        <f>IF($A706="","",_xll.BDP($A706&amp;" Corp","YAS_BOND_YLD","YAS_YLD_FLAG=15"))</f>
        <v/>
      </c>
      <c r="P706" s="21">
        <f>IF($A706="","",_xll.BDP($A706&amp;" Corp","YAS_MOD_DUR"))</f>
        <v/>
      </c>
      <c r="Q706" s="22">
        <f>IF($A706="","",_xll.BDP($A706&amp;" Corp","YAS_OAS_SPRD"))</f>
        <v/>
      </c>
      <c r="R706" s="22">
        <f>IF($A706="","",_xll.BDP($A706&amp;" Corp","YAS_OAS_SPRD","SETTLE_DT",$B$2))</f>
        <v/>
      </c>
      <c r="S706" s="23">
        <f>IF($A706="","",IF(OR(NOT(ISNUMBER($Q706)),NOT(ISNUMBER($R706))),"",$Q706-$R706))</f>
        <v/>
      </c>
      <c r="T706" s="21">
        <f>IF($A706="","",_xll.BDP($A706&amp;" Corp","YAS_BOND_YLD","YAS_YLD_FLAG=15","SETTLE_DT",$B$2))</f>
        <v/>
      </c>
      <c r="U706" s="24">
        <f>IF($A706="","",IF(OR(NOT(ISNUMBER($O706)),NOT(ISNUMBER($T706))),"",$O706-$T706))</f>
        <v/>
      </c>
      <c r="V706" s="22">
        <f>IF(NOT(ISNUMBER($S706)),"",COUNTIFS($G$7:$G$850,$G706,$S$7:$S$850,"&gt;"&amp;$S706)+COUNTIFS($G$7:$G706,$G706,$S$7:$S706,$S706))</f>
        <v/>
      </c>
      <c r="W706" s="22">
        <f>IF(NOT(ISNUMBER($S706)),"",COUNTIFS($G$7:$G$850,$G706,$S$7:$S$850,"&lt;"&amp;$S706)+COUNTIFS($G$7:$G706,$G706,$S$7:$S706,$S706))</f>
        <v/>
      </c>
      <c r="X706" s="17">
        <f>IF($V706="","",$G706&amp;"|"&amp;$V706)</f>
        <v/>
      </c>
      <c r="Y706" s="17">
        <f>IF($W706="","",$G706&amp;"|"&amp;$W706)</f>
        <v/>
      </c>
    </row>
    <row r="707">
      <c r="A707" s="7" t="inlineStr">
        <is>
          <t>US532457CU02</t>
        </is>
      </c>
      <c r="B707" s="8">
        <f>IF($A707="","",PROPER(_xll.BDP($A707&amp;" Corp","NAME")))</f>
        <v/>
      </c>
      <c r="C707" s="8">
        <f>IF($A707="","",IFERROR(INDEX(Company_desc!$B$2:$B$1144,MATCH($A707,Company_desc!$A$2:$A$1144,0)),IFERROR(INDEX(SYZ_static!$Q$2:$Q$806,MATCH($A707,SYZ_static!$A$2:$A$806,0)),"")))</f>
        <v/>
      </c>
      <c r="D707" s="8">
        <f>IF($A707="","",IFERROR(INDEX(SYZ_static!$B$2:$B$806,MATCH($A707,SYZ_static!$A$2:$A$806,0)),""))</f>
        <v/>
      </c>
      <c r="E707" s="8">
        <f>IF($A707="","",_xll.BDP($A707&amp;" Corp","INDUSTRY_SECTOR"))</f>
        <v/>
      </c>
      <c r="F707" s="8">
        <f>IF($A707="","",PROPER(_xll.BDP($A707&amp;" Corp","COUNTRY_FULL_NAME")))</f>
        <v/>
      </c>
      <c r="G707" s="8">
        <f>IF($A707="","",_xll.BDP($A707&amp;" Corp","CRNCY"))</f>
        <v/>
      </c>
      <c r="H707" s="8">
        <f>IF($A707="","",IFERROR(INDEX(SYZ_static!$T$2:$T$806,MATCH($A707,SYZ_static!$A$2:$A$806,0)),_xll.BDP($A707&amp;" Corp","RTG_SP")))</f>
        <v/>
      </c>
      <c r="I707" s="8">
        <f>IF($A707="","",IFERROR(INDEX(SYZ_static!$S$2:$S$806,MATCH($A707,SYZ_static!$A$2:$A$806,0)),""))</f>
        <v/>
      </c>
      <c r="J707" s="8">
        <f>IF($A707="","",_xll.BDP($A707&amp;" Corp","PAYMENT_RANK"))</f>
        <v/>
      </c>
      <c r="K707" s="9">
        <f>IF($A707="","",_xll.BDP($A707&amp;" Corp","CPN"))</f>
        <v/>
      </c>
      <c r="L707" s="10">
        <f>IF($A707="","",_xll.BDP($A707&amp;" Corp","MATURITY"))</f>
        <v/>
      </c>
      <c r="M707" s="11">
        <f>IF($A707="","",IFERROR(_xll.BDP($A707&amp;" Corp","MIN_PIECE")/1000,""))</f>
        <v/>
      </c>
      <c r="N707" s="12">
        <f>IF($A707="","",_xll.BDP($A707&amp;" Corp","PX_LAST"))</f>
        <v/>
      </c>
      <c r="O707" s="12">
        <f>IF($A707="","",_xll.BDP($A707&amp;" Corp","YAS_BOND_YLD","YAS_YLD_FLAG=15"))</f>
        <v/>
      </c>
      <c r="P707" s="12">
        <f>IF($A707="","",_xll.BDP($A707&amp;" Corp","YAS_MOD_DUR"))</f>
        <v/>
      </c>
      <c r="Q707" s="13">
        <f>IF($A707="","",_xll.BDP($A707&amp;" Corp","YAS_OAS_SPRD"))</f>
        <v/>
      </c>
      <c r="R707" s="13">
        <f>IF($A707="","",_xll.BDP($A707&amp;" Corp","YAS_OAS_SPRD","SETTLE_DT",$B$2))</f>
        <v/>
      </c>
      <c r="S707" s="14">
        <f>IF($A707="","",IF(OR(NOT(ISNUMBER($Q707)),NOT(ISNUMBER($R707))),"",$Q707-$R707))</f>
        <v/>
      </c>
      <c r="T707" s="12">
        <f>IF($A707="","",_xll.BDP($A707&amp;" Corp","YAS_BOND_YLD","YAS_YLD_FLAG=15","SETTLE_DT",$B$2))</f>
        <v/>
      </c>
      <c r="U707" s="15">
        <f>IF($A707="","",IF(OR(NOT(ISNUMBER($O707)),NOT(ISNUMBER($T707))),"",$O707-$T707))</f>
        <v/>
      </c>
      <c r="V707" s="13">
        <f>IF(NOT(ISNUMBER($S707)),"",COUNTIFS($G$7:$G$850,$G707,$S$7:$S$850,"&gt;"&amp;$S707)+COUNTIFS($G$7:$G707,$G707,$S$7:$S707,$S707))</f>
        <v/>
      </c>
      <c r="W707" s="13">
        <f>IF(NOT(ISNUMBER($S707)),"",COUNTIFS($G$7:$G$850,$G707,$S$7:$S$850,"&lt;"&amp;$S707)+COUNTIFS($G$7:$G707,$G707,$S$7:$S707,$S707))</f>
        <v/>
      </c>
      <c r="X707" s="8">
        <f>IF($V707="","",$G707&amp;"|"&amp;$V707)</f>
        <v/>
      </c>
      <c r="Y707" s="8">
        <f>IF($W707="","",$G707&amp;"|"&amp;$W707)</f>
        <v/>
      </c>
    </row>
    <row r="708">
      <c r="A708" s="16" t="inlineStr">
        <is>
          <t>US02079KAD90</t>
        </is>
      </c>
      <c r="B708" s="17">
        <f>IF($A708="","",PROPER(_xll.BDP($A708&amp;" Corp","NAME")))</f>
        <v/>
      </c>
      <c r="C708" s="17">
        <f>IF($A708="","",IFERROR(INDEX(Company_desc!$B$2:$B$1144,MATCH($A708,Company_desc!$A$2:$A$1144,0)),IFERROR(INDEX(SYZ_static!$Q$2:$Q$806,MATCH($A708,SYZ_static!$A$2:$A$806,0)),"")))</f>
        <v/>
      </c>
      <c r="D708" s="17">
        <f>IF($A708="","",IFERROR(INDEX(SYZ_static!$B$2:$B$806,MATCH($A708,SYZ_static!$A$2:$A$806,0)),""))</f>
        <v/>
      </c>
      <c r="E708" s="17">
        <f>IF($A708="","",_xll.BDP($A708&amp;" Corp","INDUSTRY_SECTOR"))</f>
        <v/>
      </c>
      <c r="F708" s="17">
        <f>IF($A708="","",PROPER(_xll.BDP($A708&amp;" Corp","COUNTRY_FULL_NAME")))</f>
        <v/>
      </c>
      <c r="G708" s="17">
        <f>IF($A708="","",_xll.BDP($A708&amp;" Corp","CRNCY"))</f>
        <v/>
      </c>
      <c r="H708" s="17">
        <f>IF($A708="","",IFERROR(INDEX(SYZ_static!$T$2:$T$806,MATCH($A708,SYZ_static!$A$2:$A$806,0)),_xll.BDP($A708&amp;" Corp","RTG_SP")))</f>
        <v/>
      </c>
      <c r="I708" s="17">
        <f>IF($A708="","",IFERROR(INDEX(SYZ_static!$S$2:$S$806,MATCH($A708,SYZ_static!$A$2:$A$806,0)),""))</f>
        <v/>
      </c>
      <c r="J708" s="17">
        <f>IF($A708="","",_xll.BDP($A708&amp;" Corp","PAYMENT_RANK"))</f>
        <v/>
      </c>
      <c r="K708" s="18">
        <f>IF($A708="","",_xll.BDP($A708&amp;" Corp","CPN"))</f>
        <v/>
      </c>
      <c r="L708" s="19">
        <f>IF($A708="","",_xll.BDP($A708&amp;" Corp","MATURITY"))</f>
        <v/>
      </c>
      <c r="M708" s="20">
        <f>IF($A708="","",IFERROR(_xll.BDP($A708&amp;" Corp","MIN_PIECE")/1000,""))</f>
        <v/>
      </c>
      <c r="N708" s="21">
        <f>IF($A708="","",_xll.BDP($A708&amp;" Corp","PX_LAST"))</f>
        <v/>
      </c>
      <c r="O708" s="21">
        <f>IF($A708="","",_xll.BDP($A708&amp;" Corp","YAS_BOND_YLD","YAS_YLD_FLAG=15"))</f>
        <v/>
      </c>
      <c r="P708" s="21">
        <f>IF($A708="","",_xll.BDP($A708&amp;" Corp","YAS_MOD_DUR"))</f>
        <v/>
      </c>
      <c r="Q708" s="22">
        <f>IF($A708="","",_xll.BDP($A708&amp;" Corp","YAS_OAS_SPRD"))</f>
        <v/>
      </c>
      <c r="R708" s="22">
        <f>IF($A708="","",_xll.BDP($A708&amp;" Corp","YAS_OAS_SPRD","SETTLE_DT",$B$2))</f>
        <v/>
      </c>
      <c r="S708" s="23">
        <f>IF($A708="","",IF(OR(NOT(ISNUMBER($Q708)),NOT(ISNUMBER($R708))),"",$Q708-$R708))</f>
        <v/>
      </c>
      <c r="T708" s="21">
        <f>IF($A708="","",_xll.BDP($A708&amp;" Corp","YAS_BOND_YLD","YAS_YLD_FLAG=15","SETTLE_DT",$B$2))</f>
        <v/>
      </c>
      <c r="U708" s="24">
        <f>IF($A708="","",IF(OR(NOT(ISNUMBER($O708)),NOT(ISNUMBER($T708))),"",$O708-$T708))</f>
        <v/>
      </c>
      <c r="V708" s="22">
        <f>IF(NOT(ISNUMBER($S708)),"",COUNTIFS($G$7:$G$850,$G708,$S$7:$S$850,"&gt;"&amp;$S708)+COUNTIFS($G$7:$G708,$G708,$S$7:$S708,$S708))</f>
        <v/>
      </c>
      <c r="W708" s="22">
        <f>IF(NOT(ISNUMBER($S708)),"",COUNTIFS($G$7:$G$850,$G708,$S$7:$S$850,"&lt;"&amp;$S708)+COUNTIFS($G$7:$G708,$G708,$S$7:$S708,$S708))</f>
        <v/>
      </c>
      <c r="X708" s="17">
        <f>IF($V708="","",$G708&amp;"|"&amp;$V708)</f>
        <v/>
      </c>
      <c r="Y708" s="17">
        <f>IF($W708="","",$G708&amp;"|"&amp;$W708)</f>
        <v/>
      </c>
    </row>
    <row r="709">
      <c r="A709" s="7" t="inlineStr">
        <is>
          <t>XS1574158082</t>
        </is>
      </c>
      <c r="B709" s="8">
        <f>IF($A709="","",PROPER(_xll.BDP($A709&amp;" Corp","NAME")))</f>
        <v/>
      </c>
      <c r="C709" s="8">
        <f>IF($A709="","",IFERROR(INDEX(Company_desc!$B$2:$B$1144,MATCH($A709,Company_desc!$A$2:$A$1144,0)),IFERROR(INDEX(SYZ_static!$Q$2:$Q$806,MATCH($A709,SYZ_static!$A$2:$A$806,0)),"")))</f>
        <v/>
      </c>
      <c r="D709" s="8">
        <f>IF($A709="","",IFERROR(INDEX(SYZ_static!$B$2:$B$806,MATCH($A709,SYZ_static!$A$2:$A$806,0)),""))</f>
        <v/>
      </c>
      <c r="E709" s="8">
        <f>IF($A709="","",_xll.BDP($A709&amp;" Corp","INDUSTRY_SECTOR"))</f>
        <v/>
      </c>
      <c r="F709" s="8">
        <f>IF($A709="","",PROPER(_xll.BDP($A709&amp;" Corp","COUNTRY_FULL_NAME")))</f>
        <v/>
      </c>
      <c r="G709" s="8">
        <f>IF($A709="","",_xll.BDP($A709&amp;" Corp","CRNCY"))</f>
        <v/>
      </c>
      <c r="H709" s="8">
        <f>IF($A709="","",IFERROR(INDEX(SYZ_static!$T$2:$T$806,MATCH($A709,SYZ_static!$A$2:$A$806,0)),_xll.BDP($A709&amp;" Corp","RTG_SP")))</f>
        <v/>
      </c>
      <c r="I709" s="8">
        <f>IF($A709="","",IFERROR(INDEX(SYZ_static!$S$2:$S$806,MATCH($A709,SYZ_static!$A$2:$A$806,0)),""))</f>
        <v/>
      </c>
      <c r="J709" s="8">
        <f>IF($A709="","",_xll.BDP($A709&amp;" Corp","PAYMENT_RANK"))</f>
        <v/>
      </c>
      <c r="K709" s="9">
        <f>IF($A709="","",_xll.BDP($A709&amp;" Corp","CPN"))</f>
        <v/>
      </c>
      <c r="L709" s="10">
        <f>IF($A709="","",_xll.BDP($A709&amp;" Corp","MATURITY"))</f>
        <v/>
      </c>
      <c r="M709" s="11">
        <f>IF($A709="","",IFERROR(_xll.BDP($A709&amp;" Corp","MIN_PIECE")/1000,""))</f>
        <v/>
      </c>
      <c r="N709" s="12">
        <f>IF($A709="","",_xll.BDP($A709&amp;" Corp","PX_LAST"))</f>
        <v/>
      </c>
      <c r="O709" s="12">
        <f>IF($A709="","",_xll.BDP($A709&amp;" Corp","YAS_BOND_YLD","YAS_YLD_FLAG=15"))</f>
        <v/>
      </c>
      <c r="P709" s="12">
        <f>IF($A709="","",_xll.BDP($A709&amp;" Corp","YAS_MOD_DUR"))</f>
        <v/>
      </c>
      <c r="Q709" s="13">
        <f>IF($A709="","",_xll.BDP($A709&amp;" Corp","YAS_OAS_SPRD"))</f>
        <v/>
      </c>
      <c r="R709" s="13">
        <f>IF($A709="","",_xll.BDP($A709&amp;" Corp","YAS_OAS_SPRD","SETTLE_DT",$B$2))</f>
        <v/>
      </c>
      <c r="S709" s="14">
        <f>IF($A709="","",IF(OR(NOT(ISNUMBER($Q709)),NOT(ISNUMBER($R709))),"",$Q709-$R709))</f>
        <v/>
      </c>
      <c r="T709" s="12">
        <f>IF($A709="","",_xll.BDP($A709&amp;" Corp","YAS_BOND_YLD","YAS_YLD_FLAG=15","SETTLE_DT",$B$2))</f>
        <v/>
      </c>
      <c r="U709" s="15">
        <f>IF($A709="","",IF(OR(NOT(ISNUMBER($O709)),NOT(ISNUMBER($T709))),"",$O709-$T709))</f>
        <v/>
      </c>
      <c r="V709" s="13">
        <f>IF(NOT(ISNUMBER($S709)),"",COUNTIFS($G$7:$G$850,$G709,$S$7:$S$850,"&gt;"&amp;$S709)+COUNTIFS($G$7:$G709,$G709,$S$7:$S709,$S709))</f>
        <v/>
      </c>
      <c r="W709" s="13">
        <f>IF(NOT(ISNUMBER($S709)),"",COUNTIFS($G$7:$G$850,$G709,$S$7:$S$850,"&lt;"&amp;$S709)+COUNTIFS($G$7:$G709,$G709,$S$7:$S709,$S709))</f>
        <v/>
      </c>
      <c r="X709" s="8">
        <f>IF($V709="","",$G709&amp;"|"&amp;$V709)</f>
        <v/>
      </c>
      <c r="Y709" s="8">
        <f>IF($W709="","",$G709&amp;"|"&amp;$W709)</f>
        <v/>
      </c>
    </row>
    <row r="710">
      <c r="A710" s="16" t="inlineStr">
        <is>
          <t>US459200KW06</t>
        </is>
      </c>
      <c r="B710" s="17">
        <f>IF($A710="","",PROPER(_xll.BDP($A710&amp;" Corp","NAME")))</f>
        <v/>
      </c>
      <c r="C710" s="17">
        <f>IF($A710="","",IFERROR(INDEX(Company_desc!$B$2:$B$1144,MATCH($A710,Company_desc!$A$2:$A$1144,0)),IFERROR(INDEX(SYZ_static!$Q$2:$Q$806,MATCH($A710,SYZ_static!$A$2:$A$806,0)),"")))</f>
        <v/>
      </c>
      <c r="D710" s="17">
        <f>IF($A710="","",IFERROR(INDEX(SYZ_static!$B$2:$B$806,MATCH($A710,SYZ_static!$A$2:$A$806,0)),""))</f>
        <v/>
      </c>
      <c r="E710" s="17">
        <f>IF($A710="","",_xll.BDP($A710&amp;" Corp","INDUSTRY_SECTOR"))</f>
        <v/>
      </c>
      <c r="F710" s="17">
        <f>IF($A710="","",PROPER(_xll.BDP($A710&amp;" Corp","COUNTRY_FULL_NAME")))</f>
        <v/>
      </c>
      <c r="G710" s="17">
        <f>IF($A710="","",_xll.BDP($A710&amp;" Corp","CRNCY"))</f>
        <v/>
      </c>
      <c r="H710" s="17">
        <f>IF($A710="","",IFERROR(INDEX(SYZ_static!$T$2:$T$806,MATCH($A710,SYZ_static!$A$2:$A$806,0)),_xll.BDP($A710&amp;" Corp","RTG_SP")))</f>
        <v/>
      </c>
      <c r="I710" s="17">
        <f>IF($A710="","",IFERROR(INDEX(SYZ_static!$S$2:$S$806,MATCH($A710,SYZ_static!$A$2:$A$806,0)),""))</f>
        <v/>
      </c>
      <c r="J710" s="17">
        <f>IF($A710="","",_xll.BDP($A710&amp;" Corp","PAYMENT_RANK"))</f>
        <v/>
      </c>
      <c r="K710" s="18">
        <f>IF($A710="","",_xll.BDP($A710&amp;" Corp","CPN"))</f>
        <v/>
      </c>
      <c r="L710" s="19">
        <f>IF($A710="","",_xll.BDP($A710&amp;" Corp","MATURITY"))</f>
        <v/>
      </c>
      <c r="M710" s="20">
        <f>IF($A710="","",IFERROR(_xll.BDP($A710&amp;" Corp","MIN_PIECE")/1000,""))</f>
        <v/>
      </c>
      <c r="N710" s="21">
        <f>IF($A710="","",_xll.BDP($A710&amp;" Corp","PX_LAST"))</f>
        <v/>
      </c>
      <c r="O710" s="21">
        <f>IF($A710="","",_xll.BDP($A710&amp;" Corp","YAS_BOND_YLD","YAS_YLD_FLAG=15"))</f>
        <v/>
      </c>
      <c r="P710" s="21">
        <f>IF($A710="","",_xll.BDP($A710&amp;" Corp","YAS_MOD_DUR"))</f>
        <v/>
      </c>
      <c r="Q710" s="22">
        <f>IF($A710="","",_xll.BDP($A710&amp;" Corp","YAS_OAS_SPRD"))</f>
        <v/>
      </c>
      <c r="R710" s="22">
        <f>IF($A710="","",_xll.BDP($A710&amp;" Corp","YAS_OAS_SPRD","SETTLE_DT",$B$2))</f>
        <v/>
      </c>
      <c r="S710" s="23">
        <f>IF($A710="","",IF(OR(NOT(ISNUMBER($Q710)),NOT(ISNUMBER($R710))),"",$Q710-$R710))</f>
        <v/>
      </c>
      <c r="T710" s="21">
        <f>IF($A710="","",_xll.BDP($A710&amp;" Corp","YAS_BOND_YLD","YAS_YLD_FLAG=15","SETTLE_DT",$B$2))</f>
        <v/>
      </c>
      <c r="U710" s="24">
        <f>IF($A710="","",IF(OR(NOT(ISNUMBER($O710)),NOT(ISNUMBER($T710))),"",$O710-$T710))</f>
        <v/>
      </c>
      <c r="V710" s="22">
        <f>IF(NOT(ISNUMBER($S710)),"",COUNTIFS($G$7:$G$850,$G710,$S$7:$S$850,"&gt;"&amp;$S710)+COUNTIFS($G$7:$G710,$G710,$S$7:$S710,$S710))</f>
        <v/>
      </c>
      <c r="W710" s="22">
        <f>IF(NOT(ISNUMBER($S710)),"",COUNTIFS($G$7:$G$850,$G710,$S$7:$S$850,"&lt;"&amp;$S710)+COUNTIFS($G$7:$G710,$G710,$S$7:$S710,$S710))</f>
        <v/>
      </c>
      <c r="X710" s="17">
        <f>IF($V710="","",$G710&amp;"|"&amp;$V710)</f>
        <v/>
      </c>
      <c r="Y710" s="17">
        <f>IF($W710="","",$G710&amp;"|"&amp;$W710)</f>
        <v/>
      </c>
    </row>
    <row r="711">
      <c r="A711" s="7" t="inlineStr">
        <is>
          <t>XS2679764493</t>
        </is>
      </c>
      <c r="B711" s="8">
        <f>IF($A711="","",PROPER(_xll.BDP($A711&amp;" Corp","NAME")))</f>
        <v/>
      </c>
      <c r="C711" s="8">
        <f>IF($A711="","",IFERROR(INDEX(Company_desc!$B$2:$B$1144,MATCH($A711,Company_desc!$A$2:$A$1144,0)),IFERROR(INDEX(SYZ_static!$Q$2:$Q$806,MATCH($A711,SYZ_static!$A$2:$A$806,0)),"")))</f>
        <v/>
      </c>
      <c r="D711" s="8">
        <f>IF($A711="","",IFERROR(INDEX(SYZ_static!$B$2:$B$806,MATCH($A711,SYZ_static!$A$2:$A$806,0)),""))</f>
        <v/>
      </c>
      <c r="E711" s="8">
        <f>IF($A711="","",_xll.BDP($A711&amp;" Corp","INDUSTRY_SECTOR"))</f>
        <v/>
      </c>
      <c r="F711" s="8">
        <f>IF($A711="","",PROPER(_xll.BDP($A711&amp;" Corp","COUNTRY_FULL_NAME")))</f>
        <v/>
      </c>
      <c r="G711" s="8">
        <f>IF($A711="","",_xll.BDP($A711&amp;" Corp","CRNCY"))</f>
        <v/>
      </c>
      <c r="H711" s="8">
        <f>IF($A711="","",IFERROR(INDEX(SYZ_static!$T$2:$T$806,MATCH($A711,SYZ_static!$A$2:$A$806,0)),_xll.BDP($A711&amp;" Corp","RTG_SP")))</f>
        <v/>
      </c>
      <c r="I711" s="8">
        <f>IF($A711="","",IFERROR(INDEX(SYZ_static!$S$2:$S$806,MATCH($A711,SYZ_static!$A$2:$A$806,0)),""))</f>
        <v/>
      </c>
      <c r="J711" s="8">
        <f>IF($A711="","",_xll.BDP($A711&amp;" Corp","PAYMENT_RANK"))</f>
        <v/>
      </c>
      <c r="K711" s="9">
        <f>IF($A711="","",_xll.BDP($A711&amp;" Corp","CPN"))</f>
        <v/>
      </c>
      <c r="L711" s="10">
        <f>IF($A711="","",_xll.BDP($A711&amp;" Corp","MATURITY"))</f>
        <v/>
      </c>
      <c r="M711" s="11">
        <f>IF($A711="","",IFERROR(_xll.BDP($A711&amp;" Corp","MIN_PIECE")/1000,""))</f>
        <v/>
      </c>
      <c r="N711" s="12">
        <f>IF($A711="","",_xll.BDP($A711&amp;" Corp","PX_LAST"))</f>
        <v/>
      </c>
      <c r="O711" s="12">
        <f>IF($A711="","",_xll.BDP($A711&amp;" Corp","YAS_BOND_YLD","YAS_YLD_FLAG=15"))</f>
        <v/>
      </c>
      <c r="P711" s="12">
        <f>IF($A711="","",_xll.BDP($A711&amp;" Corp","YAS_MOD_DUR"))</f>
        <v/>
      </c>
      <c r="Q711" s="13">
        <f>IF($A711="","",_xll.BDP($A711&amp;" Corp","YAS_OAS_SPRD"))</f>
        <v/>
      </c>
      <c r="R711" s="13">
        <f>IF($A711="","",_xll.BDP($A711&amp;" Corp","YAS_OAS_SPRD","SETTLE_DT",$B$2))</f>
        <v/>
      </c>
      <c r="S711" s="14">
        <f>IF($A711="","",IF(OR(NOT(ISNUMBER($Q711)),NOT(ISNUMBER($R711))),"",$Q711-$R711))</f>
        <v/>
      </c>
      <c r="T711" s="12">
        <f>IF($A711="","",_xll.BDP($A711&amp;" Corp","YAS_BOND_YLD","YAS_YLD_FLAG=15","SETTLE_DT",$B$2))</f>
        <v/>
      </c>
      <c r="U711" s="15">
        <f>IF($A711="","",IF(OR(NOT(ISNUMBER($O711)),NOT(ISNUMBER($T711))),"",$O711-$T711))</f>
        <v/>
      </c>
      <c r="V711" s="13">
        <f>IF(NOT(ISNUMBER($S711)),"",COUNTIFS($G$7:$G$850,$G711,$S$7:$S$850,"&gt;"&amp;$S711)+COUNTIFS($G$7:$G711,$G711,$S$7:$S711,$S711))</f>
        <v/>
      </c>
      <c r="W711" s="13">
        <f>IF(NOT(ISNUMBER($S711)),"",COUNTIFS($G$7:$G$850,$G711,$S$7:$S$850,"&lt;"&amp;$S711)+COUNTIFS($G$7:$G711,$G711,$S$7:$S711,$S711))</f>
        <v/>
      </c>
      <c r="X711" s="8">
        <f>IF($V711="","",$G711&amp;"|"&amp;$V711)</f>
        <v/>
      </c>
      <c r="Y711" s="8">
        <f>IF($W711="","",$G711&amp;"|"&amp;$W711)</f>
        <v/>
      </c>
    </row>
    <row r="712">
      <c r="A712" s="16" t="inlineStr">
        <is>
          <t>XS2987626509</t>
        </is>
      </c>
      <c r="B712" s="17">
        <f>IF($A712="","",PROPER(_xll.BDP($A712&amp;" Corp","NAME")))</f>
        <v/>
      </c>
      <c r="C712" s="17">
        <f>IF($A712="","",IFERROR(INDEX(Company_desc!$B$2:$B$1144,MATCH($A712,Company_desc!$A$2:$A$1144,0)),IFERROR(INDEX(SYZ_static!$Q$2:$Q$806,MATCH($A712,SYZ_static!$A$2:$A$806,0)),"")))</f>
        <v/>
      </c>
      <c r="D712" s="17">
        <f>IF($A712="","",IFERROR(INDEX(SYZ_static!$B$2:$B$806,MATCH($A712,SYZ_static!$A$2:$A$806,0)),""))</f>
        <v/>
      </c>
      <c r="E712" s="17">
        <f>IF($A712="","",_xll.BDP($A712&amp;" Corp","INDUSTRY_SECTOR"))</f>
        <v/>
      </c>
      <c r="F712" s="17">
        <f>IF($A712="","",PROPER(_xll.BDP($A712&amp;" Corp","COUNTRY_FULL_NAME")))</f>
        <v/>
      </c>
      <c r="G712" s="17">
        <f>IF($A712="","",_xll.BDP($A712&amp;" Corp","CRNCY"))</f>
        <v/>
      </c>
      <c r="H712" s="17">
        <f>IF($A712="","",IFERROR(INDEX(SYZ_static!$T$2:$T$806,MATCH($A712,SYZ_static!$A$2:$A$806,0)),_xll.BDP($A712&amp;" Corp","RTG_SP")))</f>
        <v/>
      </c>
      <c r="I712" s="17">
        <f>IF($A712="","",IFERROR(INDEX(SYZ_static!$S$2:$S$806,MATCH($A712,SYZ_static!$A$2:$A$806,0)),""))</f>
        <v/>
      </c>
      <c r="J712" s="17">
        <f>IF($A712="","",_xll.BDP($A712&amp;" Corp","PAYMENT_RANK"))</f>
        <v/>
      </c>
      <c r="K712" s="18">
        <f>IF($A712="","",_xll.BDP($A712&amp;" Corp","CPN"))</f>
        <v/>
      </c>
      <c r="L712" s="19">
        <f>IF($A712="","",_xll.BDP($A712&amp;" Corp","MATURITY"))</f>
        <v/>
      </c>
      <c r="M712" s="20">
        <f>IF($A712="","",IFERROR(_xll.BDP($A712&amp;" Corp","MIN_PIECE")/1000,""))</f>
        <v/>
      </c>
      <c r="N712" s="21">
        <f>IF($A712="","",_xll.BDP($A712&amp;" Corp","PX_LAST"))</f>
        <v/>
      </c>
      <c r="O712" s="21">
        <f>IF($A712="","",_xll.BDP($A712&amp;" Corp","YAS_BOND_YLD","YAS_YLD_FLAG=15"))</f>
        <v/>
      </c>
      <c r="P712" s="21">
        <f>IF($A712="","",_xll.BDP($A712&amp;" Corp","YAS_MOD_DUR"))</f>
        <v/>
      </c>
      <c r="Q712" s="22">
        <f>IF($A712="","",_xll.BDP($A712&amp;" Corp","YAS_OAS_SPRD"))</f>
        <v/>
      </c>
      <c r="R712" s="22">
        <f>IF($A712="","",_xll.BDP($A712&amp;" Corp","YAS_OAS_SPRD","SETTLE_DT",$B$2))</f>
        <v/>
      </c>
      <c r="S712" s="23">
        <f>IF($A712="","",IF(OR(NOT(ISNUMBER($Q712)),NOT(ISNUMBER($R712))),"",$Q712-$R712))</f>
        <v/>
      </c>
      <c r="T712" s="21">
        <f>IF($A712="","",_xll.BDP($A712&amp;" Corp","YAS_BOND_YLD","YAS_YLD_FLAG=15","SETTLE_DT",$B$2))</f>
        <v/>
      </c>
      <c r="U712" s="24">
        <f>IF($A712="","",IF(OR(NOT(ISNUMBER($O712)),NOT(ISNUMBER($T712))),"",$O712-$T712))</f>
        <v/>
      </c>
      <c r="V712" s="22">
        <f>IF(NOT(ISNUMBER($S712)),"",COUNTIFS($G$7:$G$850,$G712,$S$7:$S$850,"&gt;"&amp;$S712)+COUNTIFS($G$7:$G712,$G712,$S$7:$S712,$S712))</f>
        <v/>
      </c>
      <c r="W712" s="22">
        <f>IF(NOT(ISNUMBER($S712)),"",COUNTIFS($G$7:$G$850,$G712,$S$7:$S$850,"&lt;"&amp;$S712)+COUNTIFS($G$7:$G712,$G712,$S$7:$S712,$S712))</f>
        <v/>
      </c>
      <c r="X712" s="17">
        <f>IF($V712="","",$G712&amp;"|"&amp;$V712)</f>
        <v/>
      </c>
      <c r="Y712" s="17">
        <f>IF($W712="","",$G712&amp;"|"&amp;$W712)</f>
        <v/>
      </c>
    </row>
    <row r="713">
      <c r="A713" s="7" t="inlineStr">
        <is>
          <t>US57636QAW42</t>
        </is>
      </c>
      <c r="B713" s="8">
        <f>IF($A713="","",PROPER(_xll.BDP($A713&amp;" Corp","NAME")))</f>
        <v/>
      </c>
      <c r="C713" s="8">
        <f>IF($A713="","",IFERROR(INDEX(Company_desc!$B$2:$B$1144,MATCH($A713,Company_desc!$A$2:$A$1144,0)),IFERROR(INDEX(SYZ_static!$Q$2:$Q$806,MATCH($A713,SYZ_static!$A$2:$A$806,0)),"")))</f>
        <v/>
      </c>
      <c r="D713" s="8">
        <f>IF($A713="","",IFERROR(INDEX(SYZ_static!$B$2:$B$806,MATCH($A713,SYZ_static!$A$2:$A$806,0)),""))</f>
        <v/>
      </c>
      <c r="E713" s="8">
        <f>IF($A713="","",_xll.BDP($A713&amp;" Corp","INDUSTRY_SECTOR"))</f>
        <v/>
      </c>
      <c r="F713" s="8">
        <f>IF($A713="","",PROPER(_xll.BDP($A713&amp;" Corp","COUNTRY_FULL_NAME")))</f>
        <v/>
      </c>
      <c r="G713" s="8">
        <f>IF($A713="","",_xll.BDP($A713&amp;" Corp","CRNCY"))</f>
        <v/>
      </c>
      <c r="H713" s="8">
        <f>IF($A713="","",IFERROR(INDEX(SYZ_static!$T$2:$T$806,MATCH($A713,SYZ_static!$A$2:$A$806,0)),_xll.BDP($A713&amp;" Corp","RTG_SP")))</f>
        <v/>
      </c>
      <c r="I713" s="8">
        <f>IF($A713="","",IFERROR(INDEX(SYZ_static!$S$2:$S$806,MATCH($A713,SYZ_static!$A$2:$A$806,0)),""))</f>
        <v/>
      </c>
      <c r="J713" s="8">
        <f>IF($A713="","",_xll.BDP($A713&amp;" Corp","PAYMENT_RANK"))</f>
        <v/>
      </c>
      <c r="K713" s="9">
        <f>IF($A713="","",_xll.BDP($A713&amp;" Corp","CPN"))</f>
        <v/>
      </c>
      <c r="L713" s="10">
        <f>IF($A713="","",_xll.BDP($A713&amp;" Corp","MATURITY"))</f>
        <v/>
      </c>
      <c r="M713" s="11">
        <f>IF($A713="","",IFERROR(_xll.BDP($A713&amp;" Corp","MIN_PIECE")/1000,""))</f>
        <v/>
      </c>
      <c r="N713" s="12">
        <f>IF($A713="","",_xll.BDP($A713&amp;" Corp","PX_LAST"))</f>
        <v/>
      </c>
      <c r="O713" s="12">
        <f>IF($A713="","",_xll.BDP($A713&amp;" Corp","YAS_BOND_YLD","YAS_YLD_FLAG=15"))</f>
        <v/>
      </c>
      <c r="P713" s="12">
        <f>IF($A713="","",_xll.BDP($A713&amp;" Corp","YAS_MOD_DUR"))</f>
        <v/>
      </c>
      <c r="Q713" s="13">
        <f>IF($A713="","",_xll.BDP($A713&amp;" Corp","YAS_OAS_SPRD"))</f>
        <v/>
      </c>
      <c r="R713" s="13">
        <f>IF($A713="","",_xll.BDP($A713&amp;" Corp","YAS_OAS_SPRD","SETTLE_DT",$B$2))</f>
        <v/>
      </c>
      <c r="S713" s="14">
        <f>IF($A713="","",IF(OR(NOT(ISNUMBER($Q713)),NOT(ISNUMBER($R713))),"",$Q713-$R713))</f>
        <v/>
      </c>
      <c r="T713" s="12">
        <f>IF($A713="","",_xll.BDP($A713&amp;" Corp","YAS_BOND_YLD","YAS_YLD_FLAG=15","SETTLE_DT",$B$2))</f>
        <v/>
      </c>
      <c r="U713" s="15">
        <f>IF($A713="","",IF(OR(NOT(ISNUMBER($O713)),NOT(ISNUMBER($T713))),"",$O713-$T713))</f>
        <v/>
      </c>
      <c r="V713" s="13">
        <f>IF(NOT(ISNUMBER($S713)),"",COUNTIFS($G$7:$G$850,$G713,$S$7:$S$850,"&gt;"&amp;$S713)+COUNTIFS($G$7:$G713,$G713,$S$7:$S713,$S713))</f>
        <v/>
      </c>
      <c r="W713" s="13">
        <f>IF(NOT(ISNUMBER($S713)),"",COUNTIFS($G$7:$G$850,$G713,$S$7:$S$850,"&lt;"&amp;$S713)+COUNTIFS($G$7:$G713,$G713,$S$7:$S713,$S713))</f>
        <v/>
      </c>
      <c r="X713" s="8">
        <f>IF($V713="","",$G713&amp;"|"&amp;$V713)</f>
        <v/>
      </c>
      <c r="Y713" s="8">
        <f>IF($W713="","",$G713&amp;"|"&amp;$W713)</f>
        <v/>
      </c>
    </row>
    <row r="714">
      <c r="A714" s="16" t="inlineStr">
        <is>
          <t>US931142EQ27</t>
        </is>
      </c>
      <c r="B714" s="17">
        <f>IF($A714="","",PROPER(_xll.BDP($A714&amp;" Corp","NAME")))</f>
        <v/>
      </c>
      <c r="C714" s="17">
        <f>IF($A714="","",IFERROR(INDEX(Company_desc!$B$2:$B$1144,MATCH($A714,Company_desc!$A$2:$A$1144,0)),IFERROR(INDEX(SYZ_static!$Q$2:$Q$806,MATCH($A714,SYZ_static!$A$2:$A$806,0)),"")))</f>
        <v/>
      </c>
      <c r="D714" s="17">
        <f>IF($A714="","",IFERROR(INDEX(SYZ_static!$B$2:$B$806,MATCH($A714,SYZ_static!$A$2:$A$806,0)),""))</f>
        <v/>
      </c>
      <c r="E714" s="17">
        <f>IF($A714="","",_xll.BDP($A714&amp;" Corp","INDUSTRY_SECTOR"))</f>
        <v/>
      </c>
      <c r="F714" s="17">
        <f>IF($A714="","",PROPER(_xll.BDP($A714&amp;" Corp","COUNTRY_FULL_NAME")))</f>
        <v/>
      </c>
      <c r="G714" s="17">
        <f>IF($A714="","",_xll.BDP($A714&amp;" Corp","CRNCY"))</f>
        <v/>
      </c>
      <c r="H714" s="17">
        <f>IF($A714="","",IFERROR(INDEX(SYZ_static!$T$2:$T$806,MATCH($A714,SYZ_static!$A$2:$A$806,0)),_xll.BDP($A714&amp;" Corp","RTG_SP")))</f>
        <v/>
      </c>
      <c r="I714" s="17">
        <f>IF($A714="","",IFERROR(INDEX(SYZ_static!$S$2:$S$806,MATCH($A714,SYZ_static!$A$2:$A$806,0)),""))</f>
        <v/>
      </c>
      <c r="J714" s="17">
        <f>IF($A714="","",_xll.BDP($A714&amp;" Corp","PAYMENT_RANK"))</f>
        <v/>
      </c>
      <c r="K714" s="18">
        <f>IF($A714="","",_xll.BDP($A714&amp;" Corp","CPN"))</f>
        <v/>
      </c>
      <c r="L714" s="19">
        <f>IF($A714="","",_xll.BDP($A714&amp;" Corp","MATURITY"))</f>
        <v/>
      </c>
      <c r="M714" s="20">
        <f>IF($A714="","",IFERROR(_xll.BDP($A714&amp;" Corp","MIN_PIECE")/1000,""))</f>
        <v/>
      </c>
      <c r="N714" s="21">
        <f>IF($A714="","",_xll.BDP($A714&amp;" Corp","PX_LAST"))</f>
        <v/>
      </c>
      <c r="O714" s="21">
        <f>IF($A714="","",_xll.BDP($A714&amp;" Corp","YAS_BOND_YLD","YAS_YLD_FLAG=15"))</f>
        <v/>
      </c>
      <c r="P714" s="21">
        <f>IF($A714="","",_xll.BDP($A714&amp;" Corp","YAS_MOD_DUR"))</f>
        <v/>
      </c>
      <c r="Q714" s="22">
        <f>IF($A714="","",_xll.BDP($A714&amp;" Corp","YAS_OAS_SPRD"))</f>
        <v/>
      </c>
      <c r="R714" s="22">
        <f>IF($A714="","",_xll.BDP($A714&amp;" Corp","YAS_OAS_SPRD","SETTLE_DT",$B$2))</f>
        <v/>
      </c>
      <c r="S714" s="23">
        <f>IF($A714="","",IF(OR(NOT(ISNUMBER($Q714)),NOT(ISNUMBER($R714))),"",$Q714-$R714))</f>
        <v/>
      </c>
      <c r="T714" s="21">
        <f>IF($A714="","",_xll.BDP($A714&amp;" Corp","YAS_BOND_YLD","YAS_YLD_FLAG=15","SETTLE_DT",$B$2))</f>
        <v/>
      </c>
      <c r="U714" s="24">
        <f>IF($A714="","",IF(OR(NOT(ISNUMBER($O714)),NOT(ISNUMBER($T714))),"",$O714-$T714))</f>
        <v/>
      </c>
      <c r="V714" s="22">
        <f>IF(NOT(ISNUMBER($S714)),"",COUNTIFS($G$7:$G$850,$G714,$S$7:$S$850,"&gt;"&amp;$S714)+COUNTIFS($G$7:$G714,$G714,$S$7:$S714,$S714))</f>
        <v/>
      </c>
      <c r="W714" s="22">
        <f>IF(NOT(ISNUMBER($S714)),"",COUNTIFS($G$7:$G$850,$G714,$S$7:$S$850,"&lt;"&amp;$S714)+COUNTIFS($G$7:$G714,$G714,$S$7:$S714,$S714))</f>
        <v/>
      </c>
      <c r="X714" s="17">
        <f>IF($V714="","",$G714&amp;"|"&amp;$V714)</f>
        <v/>
      </c>
      <c r="Y714" s="17">
        <f>IF($W714="","",$G714&amp;"|"&amp;$W714)</f>
        <v/>
      </c>
    </row>
    <row r="715">
      <c r="A715" s="7" t="inlineStr">
        <is>
          <t>XS2555179378</t>
        </is>
      </c>
      <c r="B715" s="8">
        <f>IF($A715="","",PROPER(_xll.BDP($A715&amp;" Corp","NAME")))</f>
        <v/>
      </c>
      <c r="C715" s="8">
        <f>IF($A715="","",IFERROR(INDEX(Company_desc!$B$2:$B$1144,MATCH($A715,Company_desc!$A$2:$A$1144,0)),IFERROR(INDEX(SYZ_static!$Q$2:$Q$806,MATCH($A715,SYZ_static!$A$2:$A$806,0)),"")))</f>
        <v/>
      </c>
      <c r="D715" s="8">
        <f>IF($A715="","",IFERROR(INDEX(SYZ_static!$B$2:$B$806,MATCH($A715,SYZ_static!$A$2:$A$806,0)),""))</f>
        <v/>
      </c>
      <c r="E715" s="8">
        <f>IF($A715="","",_xll.BDP($A715&amp;" Corp","INDUSTRY_SECTOR"))</f>
        <v/>
      </c>
      <c r="F715" s="8">
        <f>IF($A715="","",PROPER(_xll.BDP($A715&amp;" Corp","COUNTRY_FULL_NAME")))</f>
        <v/>
      </c>
      <c r="G715" s="8">
        <f>IF($A715="","",_xll.BDP($A715&amp;" Corp","CRNCY"))</f>
        <v/>
      </c>
      <c r="H715" s="8">
        <f>IF($A715="","",IFERROR(INDEX(SYZ_static!$T$2:$T$806,MATCH($A715,SYZ_static!$A$2:$A$806,0)),_xll.BDP($A715&amp;" Corp","RTG_SP")))</f>
        <v/>
      </c>
      <c r="I715" s="8">
        <f>IF($A715="","",IFERROR(INDEX(SYZ_static!$S$2:$S$806,MATCH($A715,SYZ_static!$A$2:$A$806,0)),""))</f>
        <v/>
      </c>
      <c r="J715" s="8">
        <f>IF($A715="","",_xll.BDP($A715&amp;" Corp","PAYMENT_RANK"))</f>
        <v/>
      </c>
      <c r="K715" s="9">
        <f>IF($A715="","",_xll.BDP($A715&amp;" Corp","CPN"))</f>
        <v/>
      </c>
      <c r="L715" s="10">
        <f>IF($A715="","",_xll.BDP($A715&amp;" Corp","MATURITY"))</f>
        <v/>
      </c>
      <c r="M715" s="11">
        <f>IF($A715="","",IFERROR(_xll.BDP($A715&amp;" Corp","MIN_PIECE")/1000,""))</f>
        <v/>
      </c>
      <c r="N715" s="12">
        <f>IF($A715="","",_xll.BDP($A715&amp;" Corp","PX_LAST"))</f>
        <v/>
      </c>
      <c r="O715" s="12">
        <f>IF($A715="","",_xll.BDP($A715&amp;" Corp","YAS_BOND_YLD","YAS_YLD_FLAG=15"))</f>
        <v/>
      </c>
      <c r="P715" s="12">
        <f>IF($A715="","",_xll.BDP($A715&amp;" Corp","YAS_MOD_DUR"))</f>
        <v/>
      </c>
      <c r="Q715" s="13">
        <f>IF($A715="","",_xll.BDP($A715&amp;" Corp","YAS_OAS_SPRD"))</f>
        <v/>
      </c>
      <c r="R715" s="13">
        <f>IF($A715="","",_xll.BDP($A715&amp;" Corp","YAS_OAS_SPRD","SETTLE_DT",$B$2))</f>
        <v/>
      </c>
      <c r="S715" s="14">
        <f>IF($A715="","",IF(OR(NOT(ISNUMBER($Q715)),NOT(ISNUMBER($R715))),"",$Q715-$R715))</f>
        <v/>
      </c>
      <c r="T715" s="12">
        <f>IF($A715="","",_xll.BDP($A715&amp;" Corp","YAS_BOND_YLD","YAS_YLD_FLAG=15","SETTLE_DT",$B$2))</f>
        <v/>
      </c>
      <c r="U715" s="15">
        <f>IF($A715="","",IF(OR(NOT(ISNUMBER($O715)),NOT(ISNUMBER($T715))),"",$O715-$T715))</f>
        <v/>
      </c>
      <c r="V715" s="13">
        <f>IF(NOT(ISNUMBER($S715)),"",COUNTIFS($G$7:$G$850,$G715,$S$7:$S$850,"&gt;"&amp;$S715)+COUNTIFS($G$7:$G715,$G715,$S$7:$S715,$S715))</f>
        <v/>
      </c>
      <c r="W715" s="13">
        <f>IF(NOT(ISNUMBER($S715)),"",COUNTIFS($G$7:$G$850,$G715,$S$7:$S$850,"&lt;"&amp;$S715)+COUNTIFS($G$7:$G715,$G715,$S$7:$S715,$S715))</f>
        <v/>
      </c>
      <c r="X715" s="8">
        <f>IF($V715="","",$G715&amp;"|"&amp;$V715)</f>
        <v/>
      </c>
      <c r="Y715" s="8">
        <f>IF($W715="","",$G715&amp;"|"&amp;$W715)</f>
        <v/>
      </c>
    </row>
    <row r="716">
      <c r="A716" s="16" t="inlineStr">
        <is>
          <t>XS2975106902</t>
        </is>
      </c>
      <c r="B716" s="17">
        <f>IF($A716="","",PROPER(_xll.BDP($A716&amp;" Corp","NAME")))</f>
        <v/>
      </c>
      <c r="C716" s="17">
        <f>IF($A716="","",IFERROR(INDEX(Company_desc!$B$2:$B$1144,MATCH($A716,Company_desc!$A$2:$A$1144,0)),IFERROR(INDEX(SYZ_static!$Q$2:$Q$806,MATCH($A716,SYZ_static!$A$2:$A$806,0)),"")))</f>
        <v/>
      </c>
      <c r="D716" s="17">
        <f>IF($A716="","",IFERROR(INDEX(SYZ_static!$B$2:$B$806,MATCH($A716,SYZ_static!$A$2:$A$806,0)),""))</f>
        <v/>
      </c>
      <c r="E716" s="17">
        <f>IF($A716="","",_xll.BDP($A716&amp;" Corp","INDUSTRY_SECTOR"))</f>
        <v/>
      </c>
      <c r="F716" s="17">
        <f>IF($A716="","",PROPER(_xll.BDP($A716&amp;" Corp","COUNTRY_FULL_NAME")))</f>
        <v/>
      </c>
      <c r="G716" s="17">
        <f>IF($A716="","",_xll.BDP($A716&amp;" Corp","CRNCY"))</f>
        <v/>
      </c>
      <c r="H716" s="17">
        <f>IF($A716="","",IFERROR(INDEX(SYZ_static!$T$2:$T$806,MATCH($A716,SYZ_static!$A$2:$A$806,0)),_xll.BDP($A716&amp;" Corp","RTG_SP")))</f>
        <v/>
      </c>
      <c r="I716" s="17">
        <f>IF($A716="","",IFERROR(INDEX(SYZ_static!$S$2:$S$806,MATCH($A716,SYZ_static!$A$2:$A$806,0)),""))</f>
        <v/>
      </c>
      <c r="J716" s="17">
        <f>IF($A716="","",_xll.BDP($A716&amp;" Corp","PAYMENT_RANK"))</f>
        <v/>
      </c>
      <c r="K716" s="18">
        <f>IF($A716="","",_xll.BDP($A716&amp;" Corp","CPN"))</f>
        <v/>
      </c>
      <c r="L716" s="19">
        <f>IF($A716="","",_xll.BDP($A716&amp;" Corp","MATURITY"))</f>
        <v/>
      </c>
      <c r="M716" s="20">
        <f>IF($A716="","",IFERROR(_xll.BDP($A716&amp;" Corp","MIN_PIECE")/1000,""))</f>
        <v/>
      </c>
      <c r="N716" s="21">
        <f>IF($A716="","",_xll.BDP($A716&amp;" Corp","PX_LAST"))</f>
        <v/>
      </c>
      <c r="O716" s="21">
        <f>IF($A716="","",_xll.BDP($A716&amp;" Corp","YAS_BOND_YLD","YAS_YLD_FLAG=15"))</f>
        <v/>
      </c>
      <c r="P716" s="21">
        <f>IF($A716="","",_xll.BDP($A716&amp;" Corp","YAS_MOD_DUR"))</f>
        <v/>
      </c>
      <c r="Q716" s="22">
        <f>IF($A716="","",_xll.BDP($A716&amp;" Corp","YAS_OAS_SPRD"))</f>
        <v/>
      </c>
      <c r="R716" s="22">
        <f>IF($A716="","",_xll.BDP($A716&amp;" Corp","YAS_OAS_SPRD","SETTLE_DT",$B$2))</f>
        <v/>
      </c>
      <c r="S716" s="23">
        <f>IF($A716="","",IF(OR(NOT(ISNUMBER($Q716)),NOT(ISNUMBER($R716))),"",$Q716-$R716))</f>
        <v/>
      </c>
      <c r="T716" s="21">
        <f>IF($A716="","",_xll.BDP($A716&amp;" Corp","YAS_BOND_YLD","YAS_YLD_FLAG=15","SETTLE_DT",$B$2))</f>
        <v/>
      </c>
      <c r="U716" s="24">
        <f>IF($A716="","",IF(OR(NOT(ISNUMBER($O716)),NOT(ISNUMBER($T716))),"",$O716-$T716))</f>
        <v/>
      </c>
      <c r="V716" s="22">
        <f>IF(NOT(ISNUMBER($S716)),"",COUNTIFS($G$7:$G$850,$G716,$S$7:$S$850,"&gt;"&amp;$S716)+COUNTIFS($G$7:$G716,$G716,$S$7:$S716,$S716))</f>
        <v/>
      </c>
      <c r="W716" s="22">
        <f>IF(NOT(ISNUMBER($S716)),"",COUNTIFS($G$7:$G$850,$G716,$S$7:$S$850,"&lt;"&amp;$S716)+COUNTIFS($G$7:$G716,$G716,$S$7:$S716,$S716))</f>
        <v/>
      </c>
      <c r="X716" s="17">
        <f>IF($V716="","",$G716&amp;"|"&amp;$V716)</f>
        <v/>
      </c>
      <c r="Y716" s="17">
        <f>IF($W716="","",$G716&amp;"|"&amp;$W716)</f>
        <v/>
      </c>
    </row>
    <row r="717">
      <c r="A717" s="7" t="inlineStr">
        <is>
          <t>US30303M8L96</t>
        </is>
      </c>
      <c r="B717" s="8">
        <f>IF($A717="","",PROPER(_xll.BDP($A717&amp;" Corp","NAME")))</f>
        <v/>
      </c>
      <c r="C717" s="8">
        <f>IF($A717="","",IFERROR(INDEX(Company_desc!$B$2:$B$1144,MATCH($A717,Company_desc!$A$2:$A$1144,0)),IFERROR(INDEX(SYZ_static!$Q$2:$Q$806,MATCH($A717,SYZ_static!$A$2:$A$806,0)),"")))</f>
        <v/>
      </c>
      <c r="D717" s="8">
        <f>IF($A717="","",IFERROR(INDEX(SYZ_static!$B$2:$B$806,MATCH($A717,SYZ_static!$A$2:$A$806,0)),""))</f>
        <v/>
      </c>
      <c r="E717" s="8">
        <f>IF($A717="","",_xll.BDP($A717&amp;" Corp","INDUSTRY_SECTOR"))</f>
        <v/>
      </c>
      <c r="F717" s="8">
        <f>IF($A717="","",PROPER(_xll.BDP($A717&amp;" Corp","COUNTRY_FULL_NAME")))</f>
        <v/>
      </c>
      <c r="G717" s="8">
        <f>IF($A717="","",_xll.BDP($A717&amp;" Corp","CRNCY"))</f>
        <v/>
      </c>
      <c r="H717" s="8">
        <f>IF($A717="","",IFERROR(INDEX(SYZ_static!$T$2:$T$806,MATCH($A717,SYZ_static!$A$2:$A$806,0)),_xll.BDP($A717&amp;" Corp","RTG_SP")))</f>
        <v/>
      </c>
      <c r="I717" s="8">
        <f>IF($A717="","",IFERROR(INDEX(SYZ_static!$S$2:$S$806,MATCH($A717,SYZ_static!$A$2:$A$806,0)),""))</f>
        <v/>
      </c>
      <c r="J717" s="8">
        <f>IF($A717="","",_xll.BDP($A717&amp;" Corp","PAYMENT_RANK"))</f>
        <v/>
      </c>
      <c r="K717" s="9">
        <f>IF($A717="","",_xll.BDP($A717&amp;" Corp","CPN"))</f>
        <v/>
      </c>
      <c r="L717" s="10">
        <f>IF($A717="","",_xll.BDP($A717&amp;" Corp","MATURITY"))</f>
        <v/>
      </c>
      <c r="M717" s="11">
        <f>IF($A717="","",IFERROR(_xll.BDP($A717&amp;" Corp","MIN_PIECE")/1000,""))</f>
        <v/>
      </c>
      <c r="N717" s="12">
        <f>IF($A717="","",_xll.BDP($A717&amp;" Corp","PX_LAST"))</f>
        <v/>
      </c>
      <c r="O717" s="12">
        <f>IF($A717="","",_xll.BDP($A717&amp;" Corp","YAS_BOND_YLD","YAS_YLD_FLAG=15"))</f>
        <v/>
      </c>
      <c r="P717" s="12">
        <f>IF($A717="","",_xll.BDP($A717&amp;" Corp","YAS_MOD_DUR"))</f>
        <v/>
      </c>
      <c r="Q717" s="13">
        <f>IF($A717="","",_xll.BDP($A717&amp;" Corp","YAS_OAS_SPRD"))</f>
        <v/>
      </c>
      <c r="R717" s="13">
        <f>IF($A717="","",_xll.BDP($A717&amp;" Corp","YAS_OAS_SPRD","SETTLE_DT",$B$2))</f>
        <v/>
      </c>
      <c r="S717" s="14">
        <f>IF($A717="","",IF(OR(NOT(ISNUMBER($Q717)),NOT(ISNUMBER($R717))),"",$Q717-$R717))</f>
        <v/>
      </c>
      <c r="T717" s="12">
        <f>IF($A717="","",_xll.BDP($A717&amp;" Corp","YAS_BOND_YLD","YAS_YLD_FLAG=15","SETTLE_DT",$B$2))</f>
        <v/>
      </c>
      <c r="U717" s="15">
        <f>IF($A717="","",IF(OR(NOT(ISNUMBER($O717)),NOT(ISNUMBER($T717))),"",$O717-$T717))</f>
        <v/>
      </c>
      <c r="V717" s="13">
        <f>IF(NOT(ISNUMBER($S717)),"",COUNTIFS($G$7:$G$850,$G717,$S$7:$S$850,"&gt;"&amp;$S717)+COUNTIFS($G$7:$G717,$G717,$S$7:$S717,$S717))</f>
        <v/>
      </c>
      <c r="W717" s="13">
        <f>IF(NOT(ISNUMBER($S717)),"",COUNTIFS($G$7:$G$850,$G717,$S$7:$S$850,"&lt;"&amp;$S717)+COUNTIFS($G$7:$G717,$G717,$S$7:$S717,$S717))</f>
        <v/>
      </c>
      <c r="X717" s="8">
        <f>IF($V717="","",$G717&amp;"|"&amp;$V717)</f>
        <v/>
      </c>
      <c r="Y717" s="8">
        <f>IF($W717="","",$G717&amp;"|"&amp;$W717)</f>
        <v/>
      </c>
    </row>
    <row r="718">
      <c r="A718" s="16" t="inlineStr">
        <is>
          <t>XS1269175466</t>
        </is>
      </c>
      <c r="B718" s="17">
        <f>IF($A718="","",PROPER(_xll.BDP($A718&amp;" Corp","NAME")))</f>
        <v/>
      </c>
      <c r="C718" s="17">
        <f>IF($A718="","",IFERROR(INDEX(Company_desc!$B$2:$B$1144,MATCH($A718,Company_desc!$A$2:$A$1144,0)),IFERROR(INDEX(SYZ_static!$Q$2:$Q$806,MATCH($A718,SYZ_static!$A$2:$A$806,0)),"")))</f>
        <v/>
      </c>
      <c r="D718" s="17">
        <f>IF($A718="","",IFERROR(INDEX(SYZ_static!$B$2:$B$806,MATCH($A718,SYZ_static!$A$2:$A$806,0)),""))</f>
        <v/>
      </c>
      <c r="E718" s="17">
        <f>IF($A718="","",_xll.BDP($A718&amp;" Corp","INDUSTRY_SECTOR"))</f>
        <v/>
      </c>
      <c r="F718" s="17">
        <f>IF($A718="","",PROPER(_xll.BDP($A718&amp;" Corp","COUNTRY_FULL_NAME")))</f>
        <v/>
      </c>
      <c r="G718" s="17">
        <f>IF($A718="","",_xll.BDP($A718&amp;" Corp","CRNCY"))</f>
        <v/>
      </c>
      <c r="H718" s="17">
        <f>IF($A718="","",IFERROR(INDEX(SYZ_static!$T$2:$T$806,MATCH($A718,SYZ_static!$A$2:$A$806,0)),_xll.BDP($A718&amp;" Corp","RTG_SP")))</f>
        <v/>
      </c>
      <c r="I718" s="17">
        <f>IF($A718="","",IFERROR(INDEX(SYZ_static!$S$2:$S$806,MATCH($A718,SYZ_static!$A$2:$A$806,0)),""))</f>
        <v/>
      </c>
      <c r="J718" s="17">
        <f>IF($A718="","",_xll.BDP($A718&amp;" Corp","PAYMENT_RANK"))</f>
        <v/>
      </c>
      <c r="K718" s="18">
        <f>IF($A718="","",_xll.BDP($A718&amp;" Corp","CPN"))</f>
        <v/>
      </c>
      <c r="L718" s="19">
        <f>IF($A718="","",_xll.BDP($A718&amp;" Corp","MATURITY"))</f>
        <v/>
      </c>
      <c r="M718" s="20">
        <f>IF($A718="","",IFERROR(_xll.BDP($A718&amp;" Corp","MIN_PIECE")/1000,""))</f>
        <v/>
      </c>
      <c r="N718" s="21">
        <f>IF($A718="","",_xll.BDP($A718&amp;" Corp","PX_LAST"))</f>
        <v/>
      </c>
      <c r="O718" s="21">
        <f>IF($A718="","",_xll.BDP($A718&amp;" Corp","YAS_BOND_YLD","YAS_YLD_FLAG=15"))</f>
        <v/>
      </c>
      <c r="P718" s="21">
        <f>IF($A718="","",_xll.BDP($A718&amp;" Corp","YAS_MOD_DUR"))</f>
        <v/>
      </c>
      <c r="Q718" s="22">
        <f>IF($A718="","",_xll.BDP($A718&amp;" Corp","YAS_OAS_SPRD"))</f>
        <v/>
      </c>
      <c r="R718" s="22">
        <f>IF($A718="","",_xll.BDP($A718&amp;" Corp","YAS_OAS_SPRD","SETTLE_DT",$B$2))</f>
        <v/>
      </c>
      <c r="S718" s="23">
        <f>IF($A718="","",IF(OR(NOT(ISNUMBER($Q718)),NOT(ISNUMBER($R718))),"",$Q718-$R718))</f>
        <v/>
      </c>
      <c r="T718" s="21">
        <f>IF($A718="","",_xll.BDP($A718&amp;" Corp","YAS_BOND_YLD","YAS_YLD_FLAG=15","SETTLE_DT",$B$2))</f>
        <v/>
      </c>
      <c r="U718" s="24">
        <f>IF($A718="","",IF(OR(NOT(ISNUMBER($O718)),NOT(ISNUMBER($T718))),"",$O718-$T718))</f>
        <v/>
      </c>
      <c r="V718" s="22">
        <f>IF(NOT(ISNUMBER($S718)),"",COUNTIFS($G$7:$G$850,$G718,$S$7:$S$850,"&gt;"&amp;$S718)+COUNTIFS($G$7:$G718,$G718,$S$7:$S718,$S718))</f>
        <v/>
      </c>
      <c r="W718" s="22">
        <f>IF(NOT(ISNUMBER($S718)),"",COUNTIFS($G$7:$G$850,$G718,$S$7:$S$850,"&lt;"&amp;$S718)+COUNTIFS($G$7:$G718,$G718,$S$7:$S718,$S718))</f>
        <v/>
      </c>
      <c r="X718" s="17">
        <f>IF($V718="","",$G718&amp;"|"&amp;$V718)</f>
        <v/>
      </c>
      <c r="Y718" s="17">
        <f>IF($W718="","",$G718&amp;"|"&amp;$W718)</f>
        <v/>
      </c>
    </row>
    <row r="719">
      <c r="A719" s="7" t="inlineStr">
        <is>
          <t>XS2701725983</t>
        </is>
      </c>
      <c r="B719" s="8">
        <f>IF($A719="","",PROPER(_xll.BDP($A719&amp;" Corp","NAME")))</f>
        <v/>
      </c>
      <c r="C719" s="8">
        <f>IF($A719="","",IFERROR(INDEX(Company_desc!$B$2:$B$1144,MATCH($A719,Company_desc!$A$2:$A$1144,0)),IFERROR(INDEX(SYZ_static!$Q$2:$Q$806,MATCH($A719,SYZ_static!$A$2:$A$806,0)),"")))</f>
        <v/>
      </c>
      <c r="D719" s="8">
        <f>IF($A719="","",IFERROR(INDEX(SYZ_static!$B$2:$B$806,MATCH($A719,SYZ_static!$A$2:$A$806,0)),""))</f>
        <v/>
      </c>
      <c r="E719" s="8">
        <f>IF($A719="","",_xll.BDP($A719&amp;" Corp","INDUSTRY_SECTOR"))</f>
        <v/>
      </c>
      <c r="F719" s="8">
        <f>IF($A719="","",PROPER(_xll.BDP($A719&amp;" Corp","COUNTRY_FULL_NAME")))</f>
        <v/>
      </c>
      <c r="G719" s="8">
        <f>IF($A719="","",_xll.BDP($A719&amp;" Corp","CRNCY"))</f>
        <v/>
      </c>
      <c r="H719" s="8">
        <f>IF($A719="","",IFERROR(INDEX(SYZ_static!$T$2:$T$806,MATCH($A719,SYZ_static!$A$2:$A$806,0)),_xll.BDP($A719&amp;" Corp","RTG_SP")))</f>
        <v/>
      </c>
      <c r="I719" s="8">
        <f>IF($A719="","",IFERROR(INDEX(SYZ_static!$S$2:$S$806,MATCH($A719,SYZ_static!$A$2:$A$806,0)),""))</f>
        <v/>
      </c>
      <c r="J719" s="8">
        <f>IF($A719="","",_xll.BDP($A719&amp;" Corp","PAYMENT_RANK"))</f>
        <v/>
      </c>
      <c r="K719" s="9">
        <f>IF($A719="","",_xll.BDP($A719&amp;" Corp","CPN"))</f>
        <v/>
      </c>
      <c r="L719" s="10">
        <f>IF($A719="","",_xll.BDP($A719&amp;" Corp","MATURITY"))</f>
        <v/>
      </c>
      <c r="M719" s="11">
        <f>IF($A719="","",IFERROR(_xll.BDP($A719&amp;" Corp","MIN_PIECE")/1000,""))</f>
        <v/>
      </c>
      <c r="N719" s="12">
        <f>IF($A719="","",_xll.BDP($A719&amp;" Corp","PX_LAST"))</f>
        <v/>
      </c>
      <c r="O719" s="12">
        <f>IF($A719="","",_xll.BDP($A719&amp;" Corp","YAS_BOND_YLD","YAS_YLD_FLAG=15"))</f>
        <v/>
      </c>
      <c r="P719" s="12">
        <f>IF($A719="","",_xll.BDP($A719&amp;" Corp","YAS_MOD_DUR"))</f>
        <v/>
      </c>
      <c r="Q719" s="13">
        <f>IF($A719="","",_xll.BDP($A719&amp;" Corp","YAS_OAS_SPRD"))</f>
        <v/>
      </c>
      <c r="R719" s="13">
        <f>IF($A719="","",_xll.BDP($A719&amp;" Corp","YAS_OAS_SPRD","SETTLE_DT",$B$2))</f>
        <v/>
      </c>
      <c r="S719" s="14">
        <f>IF($A719="","",IF(OR(NOT(ISNUMBER($Q719)),NOT(ISNUMBER($R719))),"",$Q719-$R719))</f>
        <v/>
      </c>
      <c r="T719" s="12">
        <f>IF($A719="","",_xll.BDP($A719&amp;" Corp","YAS_BOND_YLD","YAS_YLD_FLAG=15","SETTLE_DT",$B$2))</f>
        <v/>
      </c>
      <c r="U719" s="15">
        <f>IF($A719="","",IF(OR(NOT(ISNUMBER($O719)),NOT(ISNUMBER($T719))),"",$O719-$T719))</f>
        <v/>
      </c>
      <c r="V719" s="13">
        <f>IF(NOT(ISNUMBER($S719)),"",COUNTIFS($G$7:$G$850,$G719,$S$7:$S$850,"&gt;"&amp;$S719)+COUNTIFS($G$7:$G719,$G719,$S$7:$S719,$S719))</f>
        <v/>
      </c>
      <c r="W719" s="13">
        <f>IF(NOT(ISNUMBER($S719)),"",COUNTIFS($G$7:$G$850,$G719,$S$7:$S$850,"&lt;"&amp;$S719)+COUNTIFS($G$7:$G719,$G719,$S$7:$S719,$S719))</f>
        <v/>
      </c>
      <c r="X719" s="8">
        <f>IF($V719="","",$G719&amp;"|"&amp;$V719)</f>
        <v/>
      </c>
      <c r="Y719" s="8">
        <f>IF($W719="","",$G719&amp;"|"&amp;$W719)</f>
        <v/>
      </c>
    </row>
    <row r="720">
      <c r="A720" s="16" t="inlineStr">
        <is>
          <t>XS2976284450</t>
        </is>
      </c>
      <c r="B720" s="17">
        <f>IF($A720="","",PROPER(_xll.BDP($A720&amp;" Corp","NAME")))</f>
        <v/>
      </c>
      <c r="C720" s="17">
        <f>IF($A720="","",IFERROR(INDEX(Company_desc!$B$2:$B$1144,MATCH($A720,Company_desc!$A$2:$A$1144,0)),IFERROR(INDEX(SYZ_static!$Q$2:$Q$806,MATCH($A720,SYZ_static!$A$2:$A$806,0)),"")))</f>
        <v/>
      </c>
      <c r="D720" s="17">
        <f>IF($A720="","",IFERROR(INDEX(SYZ_static!$B$2:$B$806,MATCH($A720,SYZ_static!$A$2:$A$806,0)),""))</f>
        <v/>
      </c>
      <c r="E720" s="17">
        <f>IF($A720="","",_xll.BDP($A720&amp;" Corp","INDUSTRY_SECTOR"))</f>
        <v/>
      </c>
      <c r="F720" s="17">
        <f>IF($A720="","",PROPER(_xll.BDP($A720&amp;" Corp","COUNTRY_FULL_NAME")))</f>
        <v/>
      </c>
      <c r="G720" s="17">
        <f>IF($A720="","",_xll.BDP($A720&amp;" Corp","CRNCY"))</f>
        <v/>
      </c>
      <c r="H720" s="17">
        <f>IF($A720="","",IFERROR(INDEX(SYZ_static!$T$2:$T$806,MATCH($A720,SYZ_static!$A$2:$A$806,0)),_xll.BDP($A720&amp;" Corp","RTG_SP")))</f>
        <v/>
      </c>
      <c r="I720" s="17">
        <f>IF($A720="","",IFERROR(INDEX(SYZ_static!$S$2:$S$806,MATCH($A720,SYZ_static!$A$2:$A$806,0)),""))</f>
        <v/>
      </c>
      <c r="J720" s="17">
        <f>IF($A720="","",_xll.BDP($A720&amp;" Corp","PAYMENT_RANK"))</f>
        <v/>
      </c>
      <c r="K720" s="18">
        <f>IF($A720="","",_xll.BDP($A720&amp;" Corp","CPN"))</f>
        <v/>
      </c>
      <c r="L720" s="19">
        <f>IF($A720="","",_xll.BDP($A720&amp;" Corp","MATURITY"))</f>
        <v/>
      </c>
      <c r="M720" s="20">
        <f>IF($A720="","",IFERROR(_xll.BDP($A720&amp;" Corp","MIN_PIECE")/1000,""))</f>
        <v/>
      </c>
      <c r="N720" s="21">
        <f>IF($A720="","",_xll.BDP($A720&amp;" Corp","PX_LAST"))</f>
        <v/>
      </c>
      <c r="O720" s="21">
        <f>IF($A720="","",_xll.BDP($A720&amp;" Corp","YAS_BOND_YLD","YAS_YLD_FLAG=15"))</f>
        <v/>
      </c>
      <c r="P720" s="21">
        <f>IF($A720="","",_xll.BDP($A720&amp;" Corp","YAS_MOD_DUR"))</f>
        <v/>
      </c>
      <c r="Q720" s="22">
        <f>IF($A720="","",_xll.BDP($A720&amp;" Corp","YAS_OAS_SPRD"))</f>
        <v/>
      </c>
      <c r="R720" s="22">
        <f>IF($A720="","",_xll.BDP($A720&amp;" Corp","YAS_OAS_SPRD","SETTLE_DT",$B$2))</f>
        <v/>
      </c>
      <c r="S720" s="23">
        <f>IF($A720="","",IF(OR(NOT(ISNUMBER($Q720)),NOT(ISNUMBER($R720))),"",$Q720-$R720))</f>
        <v/>
      </c>
      <c r="T720" s="21">
        <f>IF($A720="","",_xll.BDP($A720&amp;" Corp","YAS_BOND_YLD","YAS_YLD_FLAG=15","SETTLE_DT",$B$2))</f>
        <v/>
      </c>
      <c r="U720" s="24">
        <f>IF($A720="","",IF(OR(NOT(ISNUMBER($O720)),NOT(ISNUMBER($T720))),"",$O720-$T720))</f>
        <v/>
      </c>
      <c r="V720" s="22">
        <f>IF(NOT(ISNUMBER($S720)),"",COUNTIFS($G$7:$G$850,$G720,$S$7:$S$850,"&gt;"&amp;$S720)+COUNTIFS($G$7:$G720,$G720,$S$7:$S720,$S720))</f>
        <v/>
      </c>
      <c r="W720" s="22">
        <f>IF(NOT(ISNUMBER($S720)),"",COUNTIFS($G$7:$G$850,$G720,$S$7:$S$850,"&lt;"&amp;$S720)+COUNTIFS($G$7:$G720,$G720,$S$7:$S720,$S720))</f>
        <v/>
      </c>
      <c r="X720" s="17">
        <f>IF($V720="","",$G720&amp;"|"&amp;$V720)</f>
        <v/>
      </c>
      <c r="Y720" s="17">
        <f>IF($W720="","",$G720&amp;"|"&amp;$W720)</f>
        <v/>
      </c>
    </row>
    <row r="721">
      <c r="A721" s="7" t="inlineStr">
        <is>
          <t>US742718GA10</t>
        </is>
      </c>
      <c r="B721" s="8">
        <f>IF($A721="","",PROPER(_xll.BDP($A721&amp;" Corp","NAME")))</f>
        <v/>
      </c>
      <c r="C721" s="8">
        <f>IF($A721="","",IFERROR(INDEX(Company_desc!$B$2:$B$1144,MATCH($A721,Company_desc!$A$2:$A$1144,0)),IFERROR(INDEX(SYZ_static!$Q$2:$Q$806,MATCH($A721,SYZ_static!$A$2:$A$806,0)),"")))</f>
        <v/>
      </c>
      <c r="D721" s="8">
        <f>IF($A721="","",IFERROR(INDEX(SYZ_static!$B$2:$B$806,MATCH($A721,SYZ_static!$A$2:$A$806,0)),""))</f>
        <v/>
      </c>
      <c r="E721" s="8">
        <f>IF($A721="","",_xll.BDP($A721&amp;" Corp","INDUSTRY_SECTOR"))</f>
        <v/>
      </c>
      <c r="F721" s="8">
        <f>IF($A721="","",PROPER(_xll.BDP($A721&amp;" Corp","COUNTRY_FULL_NAME")))</f>
        <v/>
      </c>
      <c r="G721" s="8">
        <f>IF($A721="","",_xll.BDP($A721&amp;" Corp","CRNCY"))</f>
        <v/>
      </c>
      <c r="H721" s="8">
        <f>IF($A721="","",IFERROR(INDEX(SYZ_static!$T$2:$T$806,MATCH($A721,SYZ_static!$A$2:$A$806,0)),_xll.BDP($A721&amp;" Corp","RTG_SP")))</f>
        <v/>
      </c>
      <c r="I721" s="8">
        <f>IF($A721="","",IFERROR(INDEX(SYZ_static!$S$2:$S$806,MATCH($A721,SYZ_static!$A$2:$A$806,0)),""))</f>
        <v/>
      </c>
      <c r="J721" s="8">
        <f>IF($A721="","",_xll.BDP($A721&amp;" Corp","PAYMENT_RANK"))</f>
        <v/>
      </c>
      <c r="K721" s="9">
        <f>IF($A721="","",_xll.BDP($A721&amp;" Corp","CPN"))</f>
        <v/>
      </c>
      <c r="L721" s="10">
        <f>IF($A721="","",_xll.BDP($A721&amp;" Corp","MATURITY"))</f>
        <v/>
      </c>
      <c r="M721" s="11">
        <f>IF($A721="","",IFERROR(_xll.BDP($A721&amp;" Corp","MIN_PIECE")/1000,""))</f>
        <v/>
      </c>
      <c r="N721" s="12">
        <f>IF($A721="","",_xll.BDP($A721&amp;" Corp","PX_LAST"))</f>
        <v/>
      </c>
      <c r="O721" s="12">
        <f>IF($A721="","",_xll.BDP($A721&amp;" Corp","YAS_BOND_YLD","YAS_YLD_FLAG=15"))</f>
        <v/>
      </c>
      <c r="P721" s="12">
        <f>IF($A721="","",_xll.BDP($A721&amp;" Corp","YAS_MOD_DUR"))</f>
        <v/>
      </c>
      <c r="Q721" s="13">
        <f>IF($A721="","",_xll.BDP($A721&amp;" Corp","YAS_OAS_SPRD"))</f>
        <v/>
      </c>
      <c r="R721" s="13">
        <f>IF($A721="","",_xll.BDP($A721&amp;" Corp","YAS_OAS_SPRD","SETTLE_DT",$B$2))</f>
        <v/>
      </c>
      <c r="S721" s="14">
        <f>IF($A721="","",IF(OR(NOT(ISNUMBER($Q721)),NOT(ISNUMBER($R721))),"",$Q721-$R721))</f>
        <v/>
      </c>
      <c r="T721" s="12">
        <f>IF($A721="","",_xll.BDP($A721&amp;" Corp","YAS_BOND_YLD","YAS_YLD_FLAG=15","SETTLE_DT",$B$2))</f>
        <v/>
      </c>
      <c r="U721" s="15">
        <f>IF($A721="","",IF(OR(NOT(ISNUMBER($O721)),NOT(ISNUMBER($T721))),"",$O721-$T721))</f>
        <v/>
      </c>
      <c r="V721" s="13">
        <f>IF(NOT(ISNUMBER($S721)),"",COUNTIFS($G$7:$G$850,$G721,$S$7:$S$850,"&gt;"&amp;$S721)+COUNTIFS($G$7:$G721,$G721,$S$7:$S721,$S721))</f>
        <v/>
      </c>
      <c r="W721" s="13">
        <f>IF(NOT(ISNUMBER($S721)),"",COUNTIFS($G$7:$G$850,$G721,$S$7:$S$850,"&lt;"&amp;$S721)+COUNTIFS($G$7:$G721,$G721,$S$7:$S721,$S721))</f>
        <v/>
      </c>
      <c r="X721" s="8">
        <f>IF($V721="","",$G721&amp;"|"&amp;$V721)</f>
        <v/>
      </c>
      <c r="Y721" s="8">
        <f>IF($W721="","",$G721&amp;"|"&amp;$W721)</f>
        <v/>
      </c>
    </row>
    <row r="722">
      <c r="A722" s="16" t="inlineStr">
        <is>
          <t>US037833ET32</t>
        </is>
      </c>
      <c r="B722" s="17">
        <f>IF($A722="","",PROPER(_xll.BDP($A722&amp;" Corp","NAME")))</f>
        <v/>
      </c>
      <c r="C722" s="17">
        <f>IF($A722="","",IFERROR(INDEX(Company_desc!$B$2:$B$1144,MATCH($A722,Company_desc!$A$2:$A$1144,0)),IFERROR(INDEX(SYZ_static!$Q$2:$Q$806,MATCH($A722,SYZ_static!$A$2:$A$806,0)),"")))</f>
        <v/>
      </c>
      <c r="D722" s="17">
        <f>IF($A722="","",IFERROR(INDEX(SYZ_static!$B$2:$B$806,MATCH($A722,SYZ_static!$A$2:$A$806,0)),""))</f>
        <v/>
      </c>
      <c r="E722" s="17">
        <f>IF($A722="","",_xll.BDP($A722&amp;" Corp","INDUSTRY_SECTOR"))</f>
        <v/>
      </c>
      <c r="F722" s="17">
        <f>IF($A722="","",PROPER(_xll.BDP($A722&amp;" Corp","COUNTRY_FULL_NAME")))</f>
        <v/>
      </c>
      <c r="G722" s="17">
        <f>IF($A722="","",_xll.BDP($A722&amp;" Corp","CRNCY"))</f>
        <v/>
      </c>
      <c r="H722" s="17">
        <f>IF($A722="","",IFERROR(INDEX(SYZ_static!$T$2:$T$806,MATCH($A722,SYZ_static!$A$2:$A$806,0)),_xll.BDP($A722&amp;" Corp","RTG_SP")))</f>
        <v/>
      </c>
      <c r="I722" s="17">
        <f>IF($A722="","",IFERROR(INDEX(SYZ_static!$S$2:$S$806,MATCH($A722,SYZ_static!$A$2:$A$806,0)),""))</f>
        <v/>
      </c>
      <c r="J722" s="17">
        <f>IF($A722="","",_xll.BDP($A722&amp;" Corp","PAYMENT_RANK"))</f>
        <v/>
      </c>
      <c r="K722" s="18">
        <f>IF($A722="","",_xll.BDP($A722&amp;" Corp","CPN"))</f>
        <v/>
      </c>
      <c r="L722" s="19">
        <f>IF($A722="","",_xll.BDP($A722&amp;" Corp","MATURITY"))</f>
        <v/>
      </c>
      <c r="M722" s="20">
        <f>IF($A722="","",IFERROR(_xll.BDP($A722&amp;" Corp","MIN_PIECE")/1000,""))</f>
        <v/>
      </c>
      <c r="N722" s="21">
        <f>IF($A722="","",_xll.BDP($A722&amp;" Corp","PX_LAST"))</f>
        <v/>
      </c>
      <c r="O722" s="21">
        <f>IF($A722="","",_xll.BDP($A722&amp;" Corp","YAS_BOND_YLD","YAS_YLD_FLAG=15"))</f>
        <v/>
      </c>
      <c r="P722" s="21">
        <f>IF($A722="","",_xll.BDP($A722&amp;" Corp","YAS_MOD_DUR"))</f>
        <v/>
      </c>
      <c r="Q722" s="22">
        <f>IF($A722="","",_xll.BDP($A722&amp;" Corp","YAS_OAS_SPRD"))</f>
        <v/>
      </c>
      <c r="R722" s="22">
        <f>IF($A722="","",_xll.BDP($A722&amp;" Corp","YAS_OAS_SPRD","SETTLE_DT",$B$2))</f>
        <v/>
      </c>
      <c r="S722" s="23">
        <f>IF($A722="","",IF(OR(NOT(ISNUMBER($Q722)),NOT(ISNUMBER($R722))),"",$Q722-$R722))</f>
        <v/>
      </c>
      <c r="T722" s="21">
        <f>IF($A722="","",_xll.BDP($A722&amp;" Corp","YAS_BOND_YLD","YAS_YLD_FLAG=15","SETTLE_DT",$B$2))</f>
        <v/>
      </c>
      <c r="U722" s="24">
        <f>IF($A722="","",IF(OR(NOT(ISNUMBER($O722)),NOT(ISNUMBER($T722))),"",$O722-$T722))</f>
        <v/>
      </c>
      <c r="V722" s="22">
        <f>IF(NOT(ISNUMBER($S722)),"",COUNTIFS($G$7:$G$850,$G722,$S$7:$S$850,"&gt;"&amp;$S722)+COUNTIFS($G$7:$G722,$G722,$S$7:$S722,$S722))</f>
        <v/>
      </c>
      <c r="W722" s="22">
        <f>IF(NOT(ISNUMBER($S722)),"",COUNTIFS($G$7:$G$850,$G722,$S$7:$S$850,"&lt;"&amp;$S722)+COUNTIFS($G$7:$G722,$G722,$S$7:$S722,$S722))</f>
        <v/>
      </c>
      <c r="X722" s="17">
        <f>IF($V722="","",$G722&amp;"|"&amp;$V722)</f>
        <v/>
      </c>
      <c r="Y722" s="17">
        <f>IF($W722="","",$G722&amp;"|"&amp;$W722)</f>
        <v/>
      </c>
    </row>
    <row r="723">
      <c r="A723" s="7" t="inlineStr">
        <is>
          <t>US037833EV87</t>
        </is>
      </c>
      <c r="B723" s="8">
        <f>IF($A723="","",PROPER(_xll.BDP($A723&amp;" Corp","NAME")))</f>
        <v/>
      </c>
      <c r="C723" s="8">
        <f>IF($A723="","",IFERROR(INDEX(Company_desc!$B$2:$B$1144,MATCH($A723,Company_desc!$A$2:$A$1144,0)),IFERROR(INDEX(SYZ_static!$Q$2:$Q$806,MATCH($A723,SYZ_static!$A$2:$A$806,0)),"")))</f>
        <v/>
      </c>
      <c r="D723" s="8">
        <f>IF($A723="","",IFERROR(INDEX(SYZ_static!$B$2:$B$806,MATCH($A723,SYZ_static!$A$2:$A$806,0)),""))</f>
        <v/>
      </c>
      <c r="E723" s="8">
        <f>IF($A723="","",_xll.BDP($A723&amp;" Corp","INDUSTRY_SECTOR"))</f>
        <v/>
      </c>
      <c r="F723" s="8">
        <f>IF($A723="","",PROPER(_xll.BDP($A723&amp;" Corp","COUNTRY_FULL_NAME")))</f>
        <v/>
      </c>
      <c r="G723" s="8">
        <f>IF($A723="","",_xll.BDP($A723&amp;" Corp","CRNCY"))</f>
        <v/>
      </c>
      <c r="H723" s="8">
        <f>IF($A723="","",IFERROR(INDEX(SYZ_static!$T$2:$T$806,MATCH($A723,SYZ_static!$A$2:$A$806,0)),_xll.BDP($A723&amp;" Corp","RTG_SP")))</f>
        <v/>
      </c>
      <c r="I723" s="8">
        <f>IF($A723="","",IFERROR(INDEX(SYZ_static!$S$2:$S$806,MATCH($A723,SYZ_static!$A$2:$A$806,0)),""))</f>
        <v/>
      </c>
      <c r="J723" s="8">
        <f>IF($A723="","",_xll.BDP($A723&amp;" Corp","PAYMENT_RANK"))</f>
        <v/>
      </c>
      <c r="K723" s="9">
        <f>IF($A723="","",_xll.BDP($A723&amp;" Corp","CPN"))</f>
        <v/>
      </c>
      <c r="L723" s="10">
        <f>IF($A723="","",_xll.BDP($A723&amp;" Corp","MATURITY"))</f>
        <v/>
      </c>
      <c r="M723" s="11">
        <f>IF($A723="","",IFERROR(_xll.BDP($A723&amp;" Corp","MIN_PIECE")/1000,""))</f>
        <v/>
      </c>
      <c r="N723" s="12">
        <f>IF($A723="","",_xll.BDP($A723&amp;" Corp","PX_LAST"))</f>
        <v/>
      </c>
      <c r="O723" s="12">
        <f>IF($A723="","",_xll.BDP($A723&amp;" Corp","YAS_BOND_YLD","YAS_YLD_FLAG=15"))</f>
        <v/>
      </c>
      <c r="P723" s="12">
        <f>IF($A723="","",_xll.BDP($A723&amp;" Corp","YAS_MOD_DUR"))</f>
        <v/>
      </c>
      <c r="Q723" s="13">
        <f>IF($A723="","",_xll.BDP($A723&amp;" Corp","YAS_OAS_SPRD"))</f>
        <v/>
      </c>
      <c r="R723" s="13">
        <f>IF($A723="","",_xll.BDP($A723&amp;" Corp","YAS_OAS_SPRD","SETTLE_DT",$B$2))</f>
        <v/>
      </c>
      <c r="S723" s="14">
        <f>IF($A723="","",IF(OR(NOT(ISNUMBER($Q723)),NOT(ISNUMBER($R723))),"",$Q723-$R723))</f>
        <v/>
      </c>
      <c r="T723" s="12">
        <f>IF($A723="","",_xll.BDP($A723&amp;" Corp","YAS_BOND_YLD","YAS_YLD_FLAG=15","SETTLE_DT",$B$2))</f>
        <v/>
      </c>
      <c r="U723" s="15">
        <f>IF($A723="","",IF(OR(NOT(ISNUMBER($O723)),NOT(ISNUMBER($T723))),"",$O723-$T723))</f>
        <v/>
      </c>
      <c r="V723" s="13">
        <f>IF(NOT(ISNUMBER($S723)),"",COUNTIFS($G$7:$G$850,$G723,$S$7:$S$850,"&gt;"&amp;$S723)+COUNTIFS($G$7:$G723,$G723,$S$7:$S723,$S723))</f>
        <v/>
      </c>
      <c r="W723" s="13">
        <f>IF(NOT(ISNUMBER($S723)),"",COUNTIFS($G$7:$G$850,$G723,$S$7:$S$850,"&lt;"&amp;$S723)+COUNTIFS($G$7:$G723,$G723,$S$7:$S723,$S723))</f>
        <v/>
      </c>
      <c r="X723" s="8">
        <f>IF($V723="","",$G723&amp;"|"&amp;$V723)</f>
        <v/>
      </c>
      <c r="Y723" s="8">
        <f>IF($W723="","",$G723&amp;"|"&amp;$W723)</f>
        <v/>
      </c>
    </row>
    <row r="724">
      <c r="A724" s="16" t="inlineStr">
        <is>
          <t>GB00BMF9LG83</t>
        </is>
      </c>
      <c r="B724" s="17">
        <f>IF($A724="","",PROPER(_xll.BDP($A724&amp;" Corp","NAME")))</f>
        <v/>
      </c>
      <c r="C724" s="17">
        <f>IF($A724="","",IFERROR(INDEX(Company_desc!$B$2:$B$1144,MATCH($A724,Company_desc!$A$2:$A$1144,0)),IFERROR(INDEX(SYZ_static!$Q$2:$Q$806,MATCH($A724,SYZ_static!$A$2:$A$806,0)),"")))</f>
        <v/>
      </c>
      <c r="D724" s="17">
        <f>IF($A724="","",IFERROR(INDEX(SYZ_static!$B$2:$B$806,MATCH($A724,SYZ_static!$A$2:$A$806,0)),""))</f>
        <v/>
      </c>
      <c r="E724" s="17">
        <f>IF($A724="","",_xll.BDP($A724&amp;" Corp","INDUSTRY_SECTOR"))</f>
        <v/>
      </c>
      <c r="F724" s="17">
        <f>IF($A724="","",PROPER(_xll.BDP($A724&amp;" Corp","COUNTRY_FULL_NAME")))</f>
        <v/>
      </c>
      <c r="G724" s="17">
        <f>IF($A724="","",_xll.BDP($A724&amp;" Corp","CRNCY"))</f>
        <v/>
      </c>
      <c r="H724" s="17">
        <f>IF($A724="","",IFERROR(INDEX(SYZ_static!$T$2:$T$806,MATCH($A724,SYZ_static!$A$2:$A$806,0)),_xll.BDP($A724&amp;" Corp","RTG_SP")))</f>
        <v/>
      </c>
      <c r="I724" s="17">
        <f>IF($A724="","",IFERROR(INDEX(SYZ_static!$S$2:$S$806,MATCH($A724,SYZ_static!$A$2:$A$806,0)),""))</f>
        <v/>
      </c>
      <c r="J724" s="17">
        <f>IF($A724="","",_xll.BDP($A724&amp;" Corp","PAYMENT_RANK"))</f>
        <v/>
      </c>
      <c r="K724" s="18">
        <f>IF($A724="","",_xll.BDP($A724&amp;" Corp","CPN"))</f>
        <v/>
      </c>
      <c r="L724" s="19">
        <f>IF($A724="","",_xll.BDP($A724&amp;" Corp","MATURITY"))</f>
        <v/>
      </c>
      <c r="M724" s="20">
        <f>IF($A724="","",IFERROR(_xll.BDP($A724&amp;" Corp","MIN_PIECE")/1000,""))</f>
        <v/>
      </c>
      <c r="N724" s="21">
        <f>IF($A724="","",_xll.BDP($A724&amp;" Corp","PX_LAST"))</f>
        <v/>
      </c>
      <c r="O724" s="21">
        <f>IF($A724="","",_xll.BDP($A724&amp;" Corp","YAS_BOND_YLD","YAS_YLD_FLAG=15"))</f>
        <v/>
      </c>
      <c r="P724" s="21">
        <f>IF($A724="","",_xll.BDP($A724&amp;" Corp","YAS_MOD_DUR"))</f>
        <v/>
      </c>
      <c r="Q724" s="22">
        <f>IF($A724="","",_xll.BDP($A724&amp;" Corp","YAS_OAS_SPRD"))</f>
        <v/>
      </c>
      <c r="R724" s="22">
        <f>IF($A724="","",_xll.BDP($A724&amp;" Corp","YAS_OAS_SPRD","SETTLE_DT",$B$2))</f>
        <v/>
      </c>
      <c r="S724" s="23">
        <f>IF($A724="","",IF(OR(NOT(ISNUMBER($Q724)),NOT(ISNUMBER($R724))),"",$Q724-$R724))</f>
        <v/>
      </c>
      <c r="T724" s="21">
        <f>IF($A724="","",_xll.BDP($A724&amp;" Corp","YAS_BOND_YLD","YAS_YLD_FLAG=15","SETTLE_DT",$B$2))</f>
        <v/>
      </c>
      <c r="U724" s="24">
        <f>IF($A724="","",IF(OR(NOT(ISNUMBER($O724)),NOT(ISNUMBER($T724))),"",$O724-$T724))</f>
        <v/>
      </c>
      <c r="V724" s="22">
        <f>IF(NOT(ISNUMBER($S724)),"",COUNTIFS($G$7:$G$850,$G724,$S$7:$S$850,"&gt;"&amp;$S724)+COUNTIFS($G$7:$G724,$G724,$S$7:$S724,$S724))</f>
        <v/>
      </c>
      <c r="W724" s="22">
        <f>IF(NOT(ISNUMBER($S724)),"",COUNTIFS($G$7:$G$850,$G724,$S$7:$S$850,"&lt;"&amp;$S724)+COUNTIFS($G$7:$G724,$G724,$S$7:$S724,$S724))</f>
        <v/>
      </c>
      <c r="X724" s="17">
        <f>IF($V724="","",$G724&amp;"|"&amp;$V724)</f>
        <v/>
      </c>
      <c r="Y724" s="17">
        <f>IF($W724="","",$G724&amp;"|"&amp;$W724)</f>
        <v/>
      </c>
    </row>
    <row r="725">
      <c r="A725" s="7" t="inlineStr">
        <is>
          <t>US00828EER62</t>
        </is>
      </c>
      <c r="B725" s="8">
        <f>IF($A725="","",PROPER(_xll.BDP($A725&amp;" Corp","NAME")))</f>
        <v/>
      </c>
      <c r="C725" s="8">
        <f>IF($A725="","",IFERROR(INDEX(Company_desc!$B$2:$B$1144,MATCH($A725,Company_desc!$A$2:$A$1144,0)),IFERROR(INDEX(SYZ_static!$Q$2:$Q$806,MATCH($A725,SYZ_static!$A$2:$A$806,0)),"")))</f>
        <v/>
      </c>
      <c r="D725" s="8">
        <f>IF($A725="","",IFERROR(INDEX(SYZ_static!$B$2:$B$806,MATCH($A725,SYZ_static!$A$2:$A$806,0)),""))</f>
        <v/>
      </c>
      <c r="E725" s="8">
        <f>IF($A725="","",_xll.BDP($A725&amp;" Corp","INDUSTRY_SECTOR"))</f>
        <v/>
      </c>
      <c r="F725" s="8">
        <f>IF($A725="","",PROPER(_xll.BDP($A725&amp;" Corp","COUNTRY_FULL_NAME")))</f>
        <v/>
      </c>
      <c r="G725" s="8">
        <f>IF($A725="","",_xll.BDP($A725&amp;" Corp","CRNCY"))</f>
        <v/>
      </c>
      <c r="H725" s="8">
        <f>IF($A725="","",IFERROR(INDEX(SYZ_static!$T$2:$T$806,MATCH($A725,SYZ_static!$A$2:$A$806,0)),_xll.BDP($A725&amp;" Corp","RTG_SP")))</f>
        <v/>
      </c>
      <c r="I725" s="8">
        <f>IF($A725="","",IFERROR(INDEX(SYZ_static!$S$2:$S$806,MATCH($A725,SYZ_static!$A$2:$A$806,0)),""))</f>
        <v/>
      </c>
      <c r="J725" s="8">
        <f>IF($A725="","",_xll.BDP($A725&amp;" Corp","PAYMENT_RANK"))</f>
        <v/>
      </c>
      <c r="K725" s="9">
        <f>IF($A725="","",_xll.BDP($A725&amp;" Corp","CPN"))</f>
        <v/>
      </c>
      <c r="L725" s="10">
        <f>IF($A725="","",_xll.BDP($A725&amp;" Corp","MATURITY"))</f>
        <v/>
      </c>
      <c r="M725" s="11">
        <f>IF($A725="","",IFERROR(_xll.BDP($A725&amp;" Corp","MIN_PIECE")/1000,""))</f>
        <v/>
      </c>
      <c r="N725" s="12">
        <f>IF($A725="","",_xll.BDP($A725&amp;" Corp","PX_LAST"))</f>
        <v/>
      </c>
      <c r="O725" s="12">
        <f>IF($A725="","",_xll.BDP($A725&amp;" Corp","YAS_BOND_YLD","YAS_YLD_FLAG=15"))</f>
        <v/>
      </c>
      <c r="P725" s="12">
        <f>IF($A725="","",_xll.BDP($A725&amp;" Corp","YAS_MOD_DUR"))</f>
        <v/>
      </c>
      <c r="Q725" s="13">
        <f>IF($A725="","",_xll.BDP($A725&amp;" Corp","YAS_OAS_SPRD"))</f>
        <v/>
      </c>
      <c r="R725" s="13">
        <f>IF($A725="","",_xll.BDP($A725&amp;" Corp","YAS_OAS_SPRD","SETTLE_DT",$B$2))</f>
        <v/>
      </c>
      <c r="S725" s="14">
        <f>IF($A725="","",IF(OR(NOT(ISNUMBER($Q725)),NOT(ISNUMBER($R725))),"",$Q725-$R725))</f>
        <v/>
      </c>
      <c r="T725" s="12">
        <f>IF($A725="","",_xll.BDP($A725&amp;" Corp","YAS_BOND_YLD","YAS_YLD_FLAG=15","SETTLE_DT",$B$2))</f>
        <v/>
      </c>
      <c r="U725" s="15">
        <f>IF($A725="","",IF(OR(NOT(ISNUMBER($O725)),NOT(ISNUMBER($T725))),"",$O725-$T725))</f>
        <v/>
      </c>
      <c r="V725" s="13">
        <f>IF(NOT(ISNUMBER($S725)),"",COUNTIFS($G$7:$G$850,$G725,$S$7:$S$850,"&gt;"&amp;$S725)+COUNTIFS($G$7:$G725,$G725,$S$7:$S725,$S725))</f>
        <v/>
      </c>
      <c r="W725" s="13">
        <f>IF(NOT(ISNUMBER($S725)),"",COUNTIFS($G$7:$G$850,$G725,$S$7:$S$850,"&lt;"&amp;$S725)+COUNTIFS($G$7:$G725,$G725,$S$7:$S725,$S725))</f>
        <v/>
      </c>
      <c r="X725" s="8">
        <f>IF($V725="","",$G725&amp;"|"&amp;$V725)</f>
        <v/>
      </c>
      <c r="Y725" s="8">
        <f>IF($W725="","",$G725&amp;"|"&amp;$W725)</f>
        <v/>
      </c>
    </row>
    <row r="726">
      <c r="A726" s="16" t="inlineStr">
        <is>
          <t>US14913R3B15</t>
        </is>
      </c>
      <c r="B726" s="17">
        <f>IF($A726="","",PROPER(_xll.BDP($A726&amp;" Corp","NAME")))</f>
        <v/>
      </c>
      <c r="C726" s="17">
        <f>IF($A726="","",IFERROR(INDEX(Company_desc!$B$2:$B$1144,MATCH($A726,Company_desc!$A$2:$A$1144,0)),IFERROR(INDEX(SYZ_static!$Q$2:$Q$806,MATCH($A726,SYZ_static!$A$2:$A$806,0)),"")))</f>
        <v/>
      </c>
      <c r="D726" s="17">
        <f>IF($A726="","",IFERROR(INDEX(SYZ_static!$B$2:$B$806,MATCH($A726,SYZ_static!$A$2:$A$806,0)),""))</f>
        <v/>
      </c>
      <c r="E726" s="17">
        <f>IF($A726="","",_xll.BDP($A726&amp;" Corp","INDUSTRY_SECTOR"))</f>
        <v/>
      </c>
      <c r="F726" s="17">
        <f>IF($A726="","",PROPER(_xll.BDP($A726&amp;" Corp","COUNTRY_FULL_NAME")))</f>
        <v/>
      </c>
      <c r="G726" s="17">
        <f>IF($A726="","",_xll.BDP($A726&amp;" Corp","CRNCY"))</f>
        <v/>
      </c>
      <c r="H726" s="17">
        <f>IF($A726="","",IFERROR(INDEX(SYZ_static!$T$2:$T$806,MATCH($A726,SYZ_static!$A$2:$A$806,0)),_xll.BDP($A726&amp;" Corp","RTG_SP")))</f>
        <v/>
      </c>
      <c r="I726" s="17">
        <f>IF($A726="","",IFERROR(INDEX(SYZ_static!$S$2:$S$806,MATCH($A726,SYZ_static!$A$2:$A$806,0)),""))</f>
        <v/>
      </c>
      <c r="J726" s="17">
        <f>IF($A726="","",_xll.BDP($A726&amp;" Corp","PAYMENT_RANK"))</f>
        <v/>
      </c>
      <c r="K726" s="18">
        <f>IF($A726="","",_xll.BDP($A726&amp;" Corp","CPN"))</f>
        <v/>
      </c>
      <c r="L726" s="19">
        <f>IF($A726="","",_xll.BDP($A726&amp;" Corp","MATURITY"))</f>
        <v/>
      </c>
      <c r="M726" s="20">
        <f>IF($A726="","",IFERROR(_xll.BDP($A726&amp;" Corp","MIN_PIECE")/1000,""))</f>
        <v/>
      </c>
      <c r="N726" s="21">
        <f>IF($A726="","",_xll.BDP($A726&amp;" Corp","PX_LAST"))</f>
        <v/>
      </c>
      <c r="O726" s="21">
        <f>IF($A726="","",_xll.BDP($A726&amp;" Corp","YAS_BOND_YLD","YAS_YLD_FLAG=15"))</f>
        <v/>
      </c>
      <c r="P726" s="21">
        <f>IF($A726="","",_xll.BDP($A726&amp;" Corp","YAS_MOD_DUR"))</f>
        <v/>
      </c>
      <c r="Q726" s="22">
        <f>IF($A726="","",_xll.BDP($A726&amp;" Corp","YAS_OAS_SPRD"))</f>
        <v/>
      </c>
      <c r="R726" s="22">
        <f>IF($A726="","",_xll.BDP($A726&amp;" Corp","YAS_OAS_SPRD","SETTLE_DT",$B$2))</f>
        <v/>
      </c>
      <c r="S726" s="23">
        <f>IF($A726="","",IF(OR(NOT(ISNUMBER($Q726)),NOT(ISNUMBER($R726))),"",$Q726-$R726))</f>
        <v/>
      </c>
      <c r="T726" s="21">
        <f>IF($A726="","",_xll.BDP($A726&amp;" Corp","YAS_BOND_YLD","YAS_YLD_FLAG=15","SETTLE_DT",$B$2))</f>
        <v/>
      </c>
      <c r="U726" s="24">
        <f>IF($A726="","",IF(OR(NOT(ISNUMBER($O726)),NOT(ISNUMBER($T726))),"",$O726-$T726))</f>
        <v/>
      </c>
      <c r="V726" s="22">
        <f>IF(NOT(ISNUMBER($S726)),"",COUNTIFS($G$7:$G$850,$G726,$S$7:$S$850,"&gt;"&amp;$S726)+COUNTIFS($G$7:$G726,$G726,$S$7:$S726,$S726))</f>
        <v/>
      </c>
      <c r="W726" s="22">
        <f>IF(NOT(ISNUMBER($S726)),"",COUNTIFS($G$7:$G$850,$G726,$S$7:$S$850,"&lt;"&amp;$S726)+COUNTIFS($G$7:$G726,$G726,$S$7:$S726,$S726))</f>
        <v/>
      </c>
      <c r="X726" s="17">
        <f>IF($V726="","",$G726&amp;"|"&amp;$V726)</f>
        <v/>
      </c>
      <c r="Y726" s="17">
        <f>IF($W726="","",$G726&amp;"|"&amp;$W726)</f>
        <v/>
      </c>
    </row>
    <row r="727">
      <c r="A727" s="7" t="inlineStr">
        <is>
          <t>SI0002103990</t>
        </is>
      </c>
      <c r="B727" s="8">
        <f>IF($A727="","",PROPER(_xll.BDP($A727&amp;" Corp","NAME")))</f>
        <v/>
      </c>
      <c r="C727" s="8">
        <f>IF($A727="","",IFERROR(INDEX(Company_desc!$B$2:$B$1144,MATCH($A727,Company_desc!$A$2:$A$1144,0)),IFERROR(INDEX(SYZ_static!$Q$2:$Q$806,MATCH($A727,SYZ_static!$A$2:$A$806,0)),"")))</f>
        <v/>
      </c>
      <c r="D727" s="8">
        <f>IF($A727="","",IFERROR(INDEX(SYZ_static!$B$2:$B$806,MATCH($A727,SYZ_static!$A$2:$A$806,0)),""))</f>
        <v/>
      </c>
      <c r="E727" s="8">
        <f>IF($A727="","",_xll.BDP($A727&amp;" Corp","INDUSTRY_SECTOR"))</f>
        <v/>
      </c>
      <c r="F727" s="8">
        <f>IF($A727="","",PROPER(_xll.BDP($A727&amp;" Corp","COUNTRY_FULL_NAME")))</f>
        <v/>
      </c>
      <c r="G727" s="8">
        <f>IF($A727="","",_xll.BDP($A727&amp;" Corp","CRNCY"))</f>
        <v/>
      </c>
      <c r="H727" s="8">
        <f>IF($A727="","",IFERROR(INDEX(SYZ_static!$T$2:$T$806,MATCH($A727,SYZ_static!$A$2:$A$806,0)),_xll.BDP($A727&amp;" Corp","RTG_SP")))</f>
        <v/>
      </c>
      <c r="I727" s="8">
        <f>IF($A727="","",IFERROR(INDEX(SYZ_static!$S$2:$S$806,MATCH($A727,SYZ_static!$A$2:$A$806,0)),""))</f>
        <v/>
      </c>
      <c r="J727" s="8">
        <f>IF($A727="","",_xll.BDP($A727&amp;" Corp","PAYMENT_RANK"))</f>
        <v/>
      </c>
      <c r="K727" s="9">
        <f>IF($A727="","",_xll.BDP($A727&amp;" Corp","CPN"))</f>
        <v/>
      </c>
      <c r="L727" s="10">
        <f>IF($A727="","",_xll.BDP($A727&amp;" Corp","MATURITY"))</f>
        <v/>
      </c>
      <c r="M727" s="11">
        <f>IF($A727="","",IFERROR(_xll.BDP($A727&amp;" Corp","MIN_PIECE")/1000,""))</f>
        <v/>
      </c>
      <c r="N727" s="12">
        <f>IF($A727="","",_xll.BDP($A727&amp;" Corp","PX_LAST"))</f>
        <v/>
      </c>
      <c r="O727" s="12">
        <f>IF($A727="","",_xll.BDP($A727&amp;" Corp","YAS_BOND_YLD","YAS_YLD_FLAG=15"))</f>
        <v/>
      </c>
      <c r="P727" s="12">
        <f>IF($A727="","",_xll.BDP($A727&amp;" Corp","YAS_MOD_DUR"))</f>
        <v/>
      </c>
      <c r="Q727" s="13">
        <f>IF($A727="","",_xll.BDP($A727&amp;" Corp","YAS_OAS_SPRD"))</f>
        <v/>
      </c>
      <c r="R727" s="13">
        <f>IF($A727="","",_xll.BDP($A727&amp;" Corp","YAS_OAS_SPRD","SETTLE_DT",$B$2))</f>
        <v/>
      </c>
      <c r="S727" s="14">
        <f>IF($A727="","",IF(OR(NOT(ISNUMBER($Q727)),NOT(ISNUMBER($R727))),"",$Q727-$R727))</f>
        <v/>
      </c>
      <c r="T727" s="12">
        <f>IF($A727="","",_xll.BDP($A727&amp;" Corp","YAS_BOND_YLD","YAS_YLD_FLAG=15","SETTLE_DT",$B$2))</f>
        <v/>
      </c>
      <c r="U727" s="15">
        <f>IF($A727="","",IF(OR(NOT(ISNUMBER($O727)),NOT(ISNUMBER($T727))),"",$O727-$T727))</f>
        <v/>
      </c>
      <c r="V727" s="13">
        <f>IF(NOT(ISNUMBER($S727)),"",COUNTIFS($G$7:$G$850,$G727,$S$7:$S$850,"&gt;"&amp;$S727)+COUNTIFS($G$7:$G727,$G727,$S$7:$S727,$S727))</f>
        <v/>
      </c>
      <c r="W727" s="13">
        <f>IF(NOT(ISNUMBER($S727)),"",COUNTIFS($G$7:$G$850,$G727,$S$7:$S$850,"&lt;"&amp;$S727)+COUNTIFS($G$7:$G727,$G727,$S$7:$S727,$S727))</f>
        <v/>
      </c>
      <c r="X727" s="8">
        <f>IF($V727="","",$G727&amp;"|"&amp;$V727)</f>
        <v/>
      </c>
      <c r="Y727" s="8">
        <f>IF($W727="","",$G727&amp;"|"&amp;$W727)</f>
        <v/>
      </c>
    </row>
    <row r="728">
      <c r="A728" s="16" t="inlineStr">
        <is>
          <t>GB00BMV7TC88</t>
        </is>
      </c>
      <c r="B728" s="17">
        <f>IF($A728="","",PROPER(_xll.BDP($A728&amp;" Corp","NAME")))</f>
        <v/>
      </c>
      <c r="C728" s="17">
        <f>IF($A728="","",IFERROR(INDEX(Company_desc!$B$2:$B$1144,MATCH($A728,Company_desc!$A$2:$A$1144,0)),IFERROR(INDEX(SYZ_static!$Q$2:$Q$806,MATCH($A728,SYZ_static!$A$2:$A$806,0)),"")))</f>
        <v/>
      </c>
      <c r="D728" s="17">
        <f>IF($A728="","",IFERROR(INDEX(SYZ_static!$B$2:$B$806,MATCH($A728,SYZ_static!$A$2:$A$806,0)),""))</f>
        <v/>
      </c>
      <c r="E728" s="17">
        <f>IF($A728="","",_xll.BDP($A728&amp;" Corp","INDUSTRY_SECTOR"))</f>
        <v/>
      </c>
      <c r="F728" s="17">
        <f>IF($A728="","",PROPER(_xll.BDP($A728&amp;" Corp","COUNTRY_FULL_NAME")))</f>
        <v/>
      </c>
      <c r="G728" s="17">
        <f>IF($A728="","",_xll.BDP($A728&amp;" Corp","CRNCY"))</f>
        <v/>
      </c>
      <c r="H728" s="17">
        <f>IF($A728="","",IFERROR(INDEX(SYZ_static!$T$2:$T$806,MATCH($A728,SYZ_static!$A$2:$A$806,0)),_xll.BDP($A728&amp;" Corp","RTG_SP")))</f>
        <v/>
      </c>
      <c r="I728" s="17">
        <f>IF($A728="","",IFERROR(INDEX(SYZ_static!$S$2:$S$806,MATCH($A728,SYZ_static!$A$2:$A$806,0)),""))</f>
        <v/>
      </c>
      <c r="J728" s="17">
        <f>IF($A728="","",_xll.BDP($A728&amp;" Corp","PAYMENT_RANK"))</f>
        <v/>
      </c>
      <c r="K728" s="18">
        <f>IF($A728="","",_xll.BDP($A728&amp;" Corp","CPN"))</f>
        <v/>
      </c>
      <c r="L728" s="19">
        <f>IF($A728="","",_xll.BDP($A728&amp;" Corp","MATURITY"))</f>
        <v/>
      </c>
      <c r="M728" s="20">
        <f>IF($A728="","",IFERROR(_xll.BDP($A728&amp;" Corp","MIN_PIECE")/1000,""))</f>
        <v/>
      </c>
      <c r="N728" s="21">
        <f>IF($A728="","",_xll.BDP($A728&amp;" Corp","PX_LAST"))</f>
        <v/>
      </c>
      <c r="O728" s="21">
        <f>IF($A728="","",_xll.BDP($A728&amp;" Corp","YAS_BOND_YLD","YAS_YLD_FLAG=15"))</f>
        <v/>
      </c>
      <c r="P728" s="21">
        <f>IF($A728="","",_xll.BDP($A728&amp;" Corp","YAS_MOD_DUR"))</f>
        <v/>
      </c>
      <c r="Q728" s="22">
        <f>IF($A728="","",_xll.BDP($A728&amp;" Corp","YAS_OAS_SPRD"))</f>
        <v/>
      </c>
      <c r="R728" s="22">
        <f>IF($A728="","",_xll.BDP($A728&amp;" Corp","YAS_OAS_SPRD","SETTLE_DT",$B$2))</f>
        <v/>
      </c>
      <c r="S728" s="23">
        <f>IF($A728="","",IF(OR(NOT(ISNUMBER($Q728)),NOT(ISNUMBER($R728))),"",$Q728-$R728))</f>
        <v/>
      </c>
      <c r="T728" s="21">
        <f>IF($A728="","",_xll.BDP($A728&amp;" Corp","YAS_BOND_YLD","YAS_YLD_FLAG=15","SETTLE_DT",$B$2))</f>
        <v/>
      </c>
      <c r="U728" s="24">
        <f>IF($A728="","",IF(OR(NOT(ISNUMBER($O728)),NOT(ISNUMBER($T728))),"",$O728-$T728))</f>
        <v/>
      </c>
      <c r="V728" s="22">
        <f>IF(NOT(ISNUMBER($S728)),"",COUNTIFS($G$7:$G$850,$G728,$S$7:$S$850,"&gt;"&amp;$S728)+COUNTIFS($G$7:$G728,$G728,$S$7:$S728,$S728))</f>
        <v/>
      </c>
      <c r="W728" s="22">
        <f>IF(NOT(ISNUMBER($S728)),"",COUNTIFS($G$7:$G$850,$G728,$S$7:$S$850,"&lt;"&amp;$S728)+COUNTIFS($G$7:$G728,$G728,$S$7:$S728,$S728))</f>
        <v/>
      </c>
      <c r="X728" s="17">
        <f>IF($V728="","",$G728&amp;"|"&amp;$V728)</f>
        <v/>
      </c>
      <c r="Y728" s="17">
        <f>IF($W728="","",$G728&amp;"|"&amp;$W728)</f>
        <v/>
      </c>
    </row>
    <row r="729">
      <c r="A729" s="7" t="inlineStr">
        <is>
          <t>US037833EU05</t>
        </is>
      </c>
      <c r="B729" s="8">
        <f>IF($A729="","",PROPER(_xll.BDP($A729&amp;" Corp","NAME")))</f>
        <v/>
      </c>
      <c r="C729" s="8">
        <f>IF($A729="","",IFERROR(INDEX(Company_desc!$B$2:$B$1144,MATCH($A729,Company_desc!$A$2:$A$1144,0)),IFERROR(INDEX(SYZ_static!$Q$2:$Q$806,MATCH($A729,SYZ_static!$A$2:$A$806,0)),"")))</f>
        <v/>
      </c>
      <c r="D729" s="8">
        <f>IF($A729="","",IFERROR(INDEX(SYZ_static!$B$2:$B$806,MATCH($A729,SYZ_static!$A$2:$A$806,0)),""))</f>
        <v/>
      </c>
      <c r="E729" s="8">
        <f>IF($A729="","",_xll.BDP($A729&amp;" Corp","INDUSTRY_SECTOR"))</f>
        <v/>
      </c>
      <c r="F729" s="8">
        <f>IF($A729="","",PROPER(_xll.BDP($A729&amp;" Corp","COUNTRY_FULL_NAME")))</f>
        <v/>
      </c>
      <c r="G729" s="8">
        <f>IF($A729="","",_xll.BDP($A729&amp;" Corp","CRNCY"))</f>
        <v/>
      </c>
      <c r="H729" s="8">
        <f>IF($A729="","",IFERROR(INDEX(SYZ_static!$T$2:$T$806,MATCH($A729,SYZ_static!$A$2:$A$806,0)),_xll.BDP($A729&amp;" Corp","RTG_SP")))</f>
        <v/>
      </c>
      <c r="I729" s="8">
        <f>IF($A729="","",IFERROR(INDEX(SYZ_static!$S$2:$S$806,MATCH($A729,SYZ_static!$A$2:$A$806,0)),""))</f>
        <v/>
      </c>
      <c r="J729" s="8">
        <f>IF($A729="","",_xll.BDP($A729&amp;" Corp","PAYMENT_RANK"))</f>
        <v/>
      </c>
      <c r="K729" s="9">
        <f>IF($A729="","",_xll.BDP($A729&amp;" Corp","CPN"))</f>
        <v/>
      </c>
      <c r="L729" s="10">
        <f>IF($A729="","",_xll.BDP($A729&amp;" Corp","MATURITY"))</f>
        <v/>
      </c>
      <c r="M729" s="11">
        <f>IF($A729="","",IFERROR(_xll.BDP($A729&amp;" Corp","MIN_PIECE")/1000,""))</f>
        <v/>
      </c>
      <c r="N729" s="12">
        <f>IF($A729="","",_xll.BDP($A729&amp;" Corp","PX_LAST"))</f>
        <v/>
      </c>
      <c r="O729" s="12">
        <f>IF($A729="","",_xll.BDP($A729&amp;" Corp","YAS_BOND_YLD","YAS_YLD_FLAG=15"))</f>
        <v/>
      </c>
      <c r="P729" s="12">
        <f>IF($A729="","",_xll.BDP($A729&amp;" Corp","YAS_MOD_DUR"))</f>
        <v/>
      </c>
      <c r="Q729" s="13">
        <f>IF($A729="","",_xll.BDP($A729&amp;" Corp","YAS_OAS_SPRD"))</f>
        <v/>
      </c>
      <c r="R729" s="13">
        <f>IF($A729="","",_xll.BDP($A729&amp;" Corp","YAS_OAS_SPRD","SETTLE_DT",$B$2))</f>
        <v/>
      </c>
      <c r="S729" s="14">
        <f>IF($A729="","",IF(OR(NOT(ISNUMBER($Q729)),NOT(ISNUMBER($R729))),"",$Q729-$R729))</f>
        <v/>
      </c>
      <c r="T729" s="12">
        <f>IF($A729="","",_xll.BDP($A729&amp;" Corp","YAS_BOND_YLD","YAS_YLD_FLAG=15","SETTLE_DT",$B$2))</f>
        <v/>
      </c>
      <c r="U729" s="15">
        <f>IF($A729="","",IF(OR(NOT(ISNUMBER($O729)),NOT(ISNUMBER($T729))),"",$O729-$T729))</f>
        <v/>
      </c>
      <c r="V729" s="13">
        <f>IF(NOT(ISNUMBER($S729)),"",COUNTIFS($G$7:$G$850,$G729,$S$7:$S$850,"&gt;"&amp;$S729)+COUNTIFS($G$7:$G729,$G729,$S$7:$S729,$S729))</f>
        <v/>
      </c>
      <c r="W729" s="13">
        <f>IF(NOT(ISNUMBER($S729)),"",COUNTIFS($G$7:$G$850,$G729,$S$7:$S$850,"&lt;"&amp;$S729)+COUNTIFS($G$7:$G729,$G729,$S$7:$S729,$S729))</f>
        <v/>
      </c>
      <c r="X729" s="8">
        <f>IF($V729="","",$G729&amp;"|"&amp;$V729)</f>
        <v/>
      </c>
      <c r="Y729" s="8">
        <f>IF($W729="","",$G729&amp;"|"&amp;$W729)</f>
        <v/>
      </c>
    </row>
    <row r="730">
      <c r="A730" s="16" t="inlineStr">
        <is>
          <t>GB0032452392</t>
        </is>
      </c>
      <c r="B730" s="17">
        <f>IF($A730="","",PROPER(_xll.BDP($A730&amp;" Corp","NAME")))</f>
        <v/>
      </c>
      <c r="C730" s="17">
        <f>IF($A730="","",IFERROR(INDEX(Company_desc!$B$2:$B$1144,MATCH($A730,Company_desc!$A$2:$A$1144,0)),IFERROR(INDEX(SYZ_static!$Q$2:$Q$806,MATCH($A730,SYZ_static!$A$2:$A$806,0)),"")))</f>
        <v/>
      </c>
      <c r="D730" s="17">
        <f>IF($A730="","",IFERROR(INDEX(SYZ_static!$B$2:$B$806,MATCH($A730,SYZ_static!$A$2:$A$806,0)),""))</f>
        <v/>
      </c>
      <c r="E730" s="17">
        <f>IF($A730="","",_xll.BDP($A730&amp;" Corp","INDUSTRY_SECTOR"))</f>
        <v/>
      </c>
      <c r="F730" s="17">
        <f>IF($A730="","",PROPER(_xll.BDP($A730&amp;" Corp","COUNTRY_FULL_NAME")))</f>
        <v/>
      </c>
      <c r="G730" s="17">
        <f>IF($A730="","",_xll.BDP($A730&amp;" Corp","CRNCY"))</f>
        <v/>
      </c>
      <c r="H730" s="17">
        <f>IF($A730="","",IFERROR(INDEX(SYZ_static!$T$2:$T$806,MATCH($A730,SYZ_static!$A$2:$A$806,0)),_xll.BDP($A730&amp;" Corp","RTG_SP")))</f>
        <v/>
      </c>
      <c r="I730" s="17">
        <f>IF($A730="","",IFERROR(INDEX(SYZ_static!$S$2:$S$806,MATCH($A730,SYZ_static!$A$2:$A$806,0)),""))</f>
        <v/>
      </c>
      <c r="J730" s="17">
        <f>IF($A730="","",_xll.BDP($A730&amp;" Corp","PAYMENT_RANK"))</f>
        <v/>
      </c>
      <c r="K730" s="18">
        <f>IF($A730="","",_xll.BDP($A730&amp;" Corp","CPN"))</f>
        <v/>
      </c>
      <c r="L730" s="19">
        <f>IF($A730="","",_xll.BDP($A730&amp;" Corp","MATURITY"))</f>
        <v/>
      </c>
      <c r="M730" s="20">
        <f>IF($A730="","",IFERROR(_xll.BDP($A730&amp;" Corp","MIN_PIECE")/1000,""))</f>
        <v/>
      </c>
      <c r="N730" s="21">
        <f>IF($A730="","",_xll.BDP($A730&amp;" Corp","PX_LAST"))</f>
        <v/>
      </c>
      <c r="O730" s="21">
        <f>IF($A730="","",_xll.BDP($A730&amp;" Corp","YAS_BOND_YLD","YAS_YLD_FLAG=15"))</f>
        <v/>
      </c>
      <c r="P730" s="21">
        <f>IF($A730="","",_xll.BDP($A730&amp;" Corp","YAS_MOD_DUR"))</f>
        <v/>
      </c>
      <c r="Q730" s="22">
        <f>IF($A730="","",_xll.BDP($A730&amp;" Corp","YAS_OAS_SPRD"))</f>
        <v/>
      </c>
      <c r="R730" s="22">
        <f>IF($A730="","",_xll.BDP($A730&amp;" Corp","YAS_OAS_SPRD","SETTLE_DT",$B$2))</f>
        <v/>
      </c>
      <c r="S730" s="23">
        <f>IF($A730="","",IF(OR(NOT(ISNUMBER($Q730)),NOT(ISNUMBER($R730))),"",$Q730-$R730))</f>
        <v/>
      </c>
      <c r="T730" s="21">
        <f>IF($A730="","",_xll.BDP($A730&amp;" Corp","YAS_BOND_YLD","YAS_YLD_FLAG=15","SETTLE_DT",$B$2))</f>
        <v/>
      </c>
      <c r="U730" s="24">
        <f>IF($A730="","",IF(OR(NOT(ISNUMBER($O730)),NOT(ISNUMBER($T730))),"",$O730-$T730))</f>
        <v/>
      </c>
      <c r="V730" s="22">
        <f>IF(NOT(ISNUMBER($S730)),"",COUNTIFS($G$7:$G$850,$G730,$S$7:$S$850,"&gt;"&amp;$S730)+COUNTIFS($G$7:$G730,$G730,$S$7:$S730,$S730))</f>
        <v/>
      </c>
      <c r="W730" s="22">
        <f>IF(NOT(ISNUMBER($S730)),"",COUNTIFS($G$7:$G$850,$G730,$S$7:$S$850,"&lt;"&amp;$S730)+COUNTIFS($G$7:$G730,$G730,$S$7:$S730,$S730))</f>
        <v/>
      </c>
      <c r="X730" s="17">
        <f>IF($V730="","",$G730&amp;"|"&amp;$V730)</f>
        <v/>
      </c>
      <c r="Y730" s="17">
        <f>IF($W730="","",$G730&amp;"|"&amp;$W730)</f>
        <v/>
      </c>
    </row>
    <row r="731">
      <c r="A731" s="7" t="inlineStr">
        <is>
          <t>GB00B3KJDS62</t>
        </is>
      </c>
      <c r="B731" s="8">
        <f>IF($A731="","",PROPER(_xll.BDP($A731&amp;" Corp","NAME")))</f>
        <v/>
      </c>
      <c r="C731" s="8">
        <f>IF($A731="","",IFERROR(INDEX(Company_desc!$B$2:$B$1144,MATCH($A731,Company_desc!$A$2:$A$1144,0)),IFERROR(INDEX(SYZ_static!$Q$2:$Q$806,MATCH($A731,SYZ_static!$A$2:$A$806,0)),"")))</f>
        <v/>
      </c>
      <c r="D731" s="8">
        <f>IF($A731="","",IFERROR(INDEX(SYZ_static!$B$2:$B$806,MATCH($A731,SYZ_static!$A$2:$A$806,0)),""))</f>
        <v/>
      </c>
      <c r="E731" s="8">
        <f>IF($A731="","",_xll.BDP($A731&amp;" Corp","INDUSTRY_SECTOR"))</f>
        <v/>
      </c>
      <c r="F731" s="8">
        <f>IF($A731="","",PROPER(_xll.BDP($A731&amp;" Corp","COUNTRY_FULL_NAME")))</f>
        <v/>
      </c>
      <c r="G731" s="8">
        <f>IF($A731="","",_xll.BDP($A731&amp;" Corp","CRNCY"))</f>
        <v/>
      </c>
      <c r="H731" s="8">
        <f>IF($A731="","",IFERROR(INDEX(SYZ_static!$T$2:$T$806,MATCH($A731,SYZ_static!$A$2:$A$806,0)),_xll.BDP($A731&amp;" Corp","RTG_SP")))</f>
        <v/>
      </c>
      <c r="I731" s="8">
        <f>IF($A731="","",IFERROR(INDEX(SYZ_static!$S$2:$S$806,MATCH($A731,SYZ_static!$A$2:$A$806,0)),""))</f>
        <v/>
      </c>
      <c r="J731" s="8">
        <f>IF($A731="","",_xll.BDP($A731&amp;" Corp","PAYMENT_RANK"))</f>
        <v/>
      </c>
      <c r="K731" s="9">
        <f>IF($A731="","",_xll.BDP($A731&amp;" Corp","CPN"))</f>
        <v/>
      </c>
      <c r="L731" s="10">
        <f>IF($A731="","",_xll.BDP($A731&amp;" Corp","MATURITY"))</f>
        <v/>
      </c>
      <c r="M731" s="11">
        <f>IF($A731="","",IFERROR(_xll.BDP($A731&amp;" Corp","MIN_PIECE")/1000,""))</f>
        <v/>
      </c>
      <c r="N731" s="12">
        <f>IF($A731="","",_xll.BDP($A731&amp;" Corp","PX_LAST"))</f>
        <v/>
      </c>
      <c r="O731" s="12">
        <f>IF($A731="","",_xll.BDP($A731&amp;" Corp","YAS_BOND_YLD","YAS_YLD_FLAG=15"))</f>
        <v/>
      </c>
      <c r="P731" s="12">
        <f>IF($A731="","",_xll.BDP($A731&amp;" Corp","YAS_MOD_DUR"))</f>
        <v/>
      </c>
      <c r="Q731" s="13">
        <f>IF($A731="","",_xll.BDP($A731&amp;" Corp","YAS_OAS_SPRD"))</f>
        <v/>
      </c>
      <c r="R731" s="13">
        <f>IF($A731="","",_xll.BDP($A731&amp;" Corp","YAS_OAS_SPRD","SETTLE_DT",$B$2))</f>
        <v/>
      </c>
      <c r="S731" s="14">
        <f>IF($A731="","",IF(OR(NOT(ISNUMBER($Q731)),NOT(ISNUMBER($R731))),"",$Q731-$R731))</f>
        <v/>
      </c>
      <c r="T731" s="12">
        <f>IF($A731="","",_xll.BDP($A731&amp;" Corp","YAS_BOND_YLD","YAS_YLD_FLAG=15","SETTLE_DT",$B$2))</f>
        <v/>
      </c>
      <c r="U731" s="15">
        <f>IF($A731="","",IF(OR(NOT(ISNUMBER($O731)),NOT(ISNUMBER($T731))),"",$O731-$T731))</f>
        <v/>
      </c>
      <c r="V731" s="13">
        <f>IF(NOT(ISNUMBER($S731)),"",COUNTIFS($G$7:$G$850,$G731,$S$7:$S$850,"&gt;"&amp;$S731)+COUNTIFS($G$7:$G731,$G731,$S$7:$S731,$S731))</f>
        <v/>
      </c>
      <c r="W731" s="13">
        <f>IF(NOT(ISNUMBER($S731)),"",COUNTIFS($G$7:$G$850,$G731,$S$7:$S$850,"&lt;"&amp;$S731)+COUNTIFS($G$7:$G731,$G731,$S$7:$S731,$S731))</f>
        <v/>
      </c>
      <c r="X731" s="8">
        <f>IF($V731="","",$G731&amp;"|"&amp;$V731)</f>
        <v/>
      </c>
      <c r="Y731" s="8">
        <f>IF($W731="","",$G731&amp;"|"&amp;$W731)</f>
        <v/>
      </c>
    </row>
    <row r="732">
      <c r="A732" s="16" t="inlineStr">
        <is>
          <t>USY3422VCS52</t>
        </is>
      </c>
      <c r="B732" s="17">
        <f>IF($A732="","",PROPER(_xll.BDP($A732&amp;" Corp","NAME")))</f>
        <v/>
      </c>
      <c r="C732" s="17">
        <f>IF($A732="","",IFERROR(INDEX(Company_desc!$B$2:$B$1144,MATCH($A732,Company_desc!$A$2:$A$1144,0)),IFERROR(INDEX(SYZ_static!$Q$2:$Q$806,MATCH($A732,SYZ_static!$A$2:$A$806,0)),"")))</f>
        <v/>
      </c>
      <c r="D732" s="17">
        <f>IF($A732="","",IFERROR(INDEX(SYZ_static!$B$2:$B$806,MATCH($A732,SYZ_static!$A$2:$A$806,0)),""))</f>
        <v/>
      </c>
      <c r="E732" s="17">
        <f>IF($A732="","",_xll.BDP($A732&amp;" Corp","INDUSTRY_SECTOR"))</f>
        <v/>
      </c>
      <c r="F732" s="17">
        <f>IF($A732="","",PROPER(_xll.BDP($A732&amp;" Corp","COUNTRY_FULL_NAME")))</f>
        <v/>
      </c>
      <c r="G732" s="17">
        <f>IF($A732="","",_xll.BDP($A732&amp;" Corp","CRNCY"))</f>
        <v/>
      </c>
      <c r="H732" s="17">
        <f>IF($A732="","",IFERROR(INDEX(SYZ_static!$T$2:$T$806,MATCH($A732,SYZ_static!$A$2:$A$806,0)),_xll.BDP($A732&amp;" Corp","RTG_SP")))</f>
        <v/>
      </c>
      <c r="I732" s="17">
        <f>IF($A732="","",IFERROR(INDEX(SYZ_static!$S$2:$S$806,MATCH($A732,SYZ_static!$A$2:$A$806,0)),""))</f>
        <v/>
      </c>
      <c r="J732" s="17">
        <f>IF($A732="","",_xll.BDP($A732&amp;" Corp","PAYMENT_RANK"))</f>
        <v/>
      </c>
      <c r="K732" s="18">
        <f>IF($A732="","",_xll.BDP($A732&amp;" Corp","CPN"))</f>
        <v/>
      </c>
      <c r="L732" s="19">
        <f>IF($A732="","",_xll.BDP($A732&amp;" Corp","MATURITY"))</f>
        <v/>
      </c>
      <c r="M732" s="20">
        <f>IF($A732="","",IFERROR(_xll.BDP($A732&amp;" Corp","MIN_PIECE")/1000,""))</f>
        <v/>
      </c>
      <c r="N732" s="21">
        <f>IF($A732="","",_xll.BDP($A732&amp;" Corp","PX_LAST"))</f>
        <v/>
      </c>
      <c r="O732" s="21">
        <f>IF($A732="","",_xll.BDP($A732&amp;" Corp","YAS_BOND_YLD","YAS_YLD_FLAG=15"))</f>
        <v/>
      </c>
      <c r="P732" s="21">
        <f>IF($A732="","",_xll.BDP($A732&amp;" Corp","YAS_MOD_DUR"))</f>
        <v/>
      </c>
      <c r="Q732" s="22">
        <f>IF($A732="","",_xll.BDP($A732&amp;" Corp","YAS_OAS_SPRD"))</f>
        <v/>
      </c>
      <c r="R732" s="22">
        <f>IF($A732="","",_xll.BDP($A732&amp;" Corp","YAS_OAS_SPRD","SETTLE_DT",$B$2))</f>
        <v/>
      </c>
      <c r="S732" s="23">
        <f>IF($A732="","",IF(OR(NOT(ISNUMBER($Q732)),NOT(ISNUMBER($R732))),"",$Q732-$R732))</f>
        <v/>
      </c>
      <c r="T732" s="21">
        <f>IF($A732="","",_xll.BDP($A732&amp;" Corp","YAS_BOND_YLD","YAS_YLD_FLAG=15","SETTLE_DT",$B$2))</f>
        <v/>
      </c>
      <c r="U732" s="24">
        <f>IF($A732="","",IF(OR(NOT(ISNUMBER($O732)),NOT(ISNUMBER($T732))),"",$O732-$T732))</f>
        <v/>
      </c>
      <c r="V732" s="22">
        <f>IF(NOT(ISNUMBER($S732)),"",COUNTIFS($G$7:$G$850,$G732,$S$7:$S$850,"&gt;"&amp;$S732)+COUNTIFS($G$7:$G732,$G732,$S$7:$S732,$S732))</f>
        <v/>
      </c>
      <c r="W732" s="22">
        <f>IF(NOT(ISNUMBER($S732)),"",COUNTIFS($G$7:$G$850,$G732,$S$7:$S$850,"&lt;"&amp;$S732)+COUNTIFS($G$7:$G732,$G732,$S$7:$S732,$S732))</f>
        <v/>
      </c>
      <c r="X732" s="17">
        <f>IF($V732="","",$G732&amp;"|"&amp;$V732)</f>
        <v/>
      </c>
      <c r="Y732" s="17">
        <f>IF($W732="","",$G732&amp;"|"&amp;$W732)</f>
        <v/>
      </c>
    </row>
    <row r="733">
      <c r="A733" s="7" t="inlineStr">
        <is>
          <t>GB00BJMHB534</t>
        </is>
      </c>
      <c r="B733" s="8">
        <f>IF($A733="","",PROPER(_xll.BDP($A733&amp;" Corp","NAME")))</f>
        <v/>
      </c>
      <c r="C733" s="8">
        <f>IF($A733="","",IFERROR(INDEX(Company_desc!$B$2:$B$1144,MATCH($A733,Company_desc!$A$2:$A$1144,0)),IFERROR(INDEX(SYZ_static!$Q$2:$Q$806,MATCH($A733,SYZ_static!$A$2:$A$806,0)),"")))</f>
        <v/>
      </c>
      <c r="D733" s="8">
        <f>IF($A733="","",IFERROR(INDEX(SYZ_static!$B$2:$B$806,MATCH($A733,SYZ_static!$A$2:$A$806,0)),""))</f>
        <v/>
      </c>
      <c r="E733" s="8">
        <f>IF($A733="","",_xll.BDP($A733&amp;" Corp","INDUSTRY_SECTOR"))</f>
        <v/>
      </c>
      <c r="F733" s="8">
        <f>IF($A733="","",PROPER(_xll.BDP($A733&amp;" Corp","COUNTRY_FULL_NAME")))</f>
        <v/>
      </c>
      <c r="G733" s="8">
        <f>IF($A733="","",_xll.BDP($A733&amp;" Corp","CRNCY"))</f>
        <v/>
      </c>
      <c r="H733" s="8">
        <f>IF($A733="","",IFERROR(INDEX(SYZ_static!$T$2:$T$806,MATCH($A733,SYZ_static!$A$2:$A$806,0)),_xll.BDP($A733&amp;" Corp","RTG_SP")))</f>
        <v/>
      </c>
      <c r="I733" s="8">
        <f>IF($A733="","",IFERROR(INDEX(SYZ_static!$S$2:$S$806,MATCH($A733,SYZ_static!$A$2:$A$806,0)),""))</f>
        <v/>
      </c>
      <c r="J733" s="8">
        <f>IF($A733="","",_xll.BDP($A733&amp;" Corp","PAYMENT_RANK"))</f>
        <v/>
      </c>
      <c r="K733" s="9">
        <f>IF($A733="","",_xll.BDP($A733&amp;" Corp","CPN"))</f>
        <v/>
      </c>
      <c r="L733" s="10">
        <f>IF($A733="","",_xll.BDP($A733&amp;" Corp","MATURITY"))</f>
        <v/>
      </c>
      <c r="M733" s="11">
        <f>IF($A733="","",IFERROR(_xll.BDP($A733&amp;" Corp","MIN_PIECE")/1000,""))</f>
        <v/>
      </c>
      <c r="N733" s="12">
        <f>IF($A733="","",_xll.BDP($A733&amp;" Corp","PX_LAST"))</f>
        <v/>
      </c>
      <c r="O733" s="12">
        <f>IF($A733="","",_xll.BDP($A733&amp;" Corp","YAS_BOND_YLD","YAS_YLD_FLAG=15"))</f>
        <v/>
      </c>
      <c r="P733" s="12">
        <f>IF($A733="","",_xll.BDP($A733&amp;" Corp","YAS_MOD_DUR"))</f>
        <v/>
      </c>
      <c r="Q733" s="13">
        <f>IF($A733="","",_xll.BDP($A733&amp;" Corp","YAS_OAS_SPRD"))</f>
        <v/>
      </c>
      <c r="R733" s="13">
        <f>IF($A733="","",_xll.BDP($A733&amp;" Corp","YAS_OAS_SPRD","SETTLE_DT",$B$2))</f>
        <v/>
      </c>
      <c r="S733" s="14">
        <f>IF($A733="","",IF(OR(NOT(ISNUMBER($Q733)),NOT(ISNUMBER($R733))),"",$Q733-$R733))</f>
        <v/>
      </c>
      <c r="T733" s="12">
        <f>IF($A733="","",_xll.BDP($A733&amp;" Corp","YAS_BOND_YLD","YAS_YLD_FLAG=15","SETTLE_DT",$B$2))</f>
        <v/>
      </c>
      <c r="U733" s="15">
        <f>IF($A733="","",IF(OR(NOT(ISNUMBER($O733)),NOT(ISNUMBER($T733))),"",$O733-$T733))</f>
        <v/>
      </c>
      <c r="V733" s="13">
        <f>IF(NOT(ISNUMBER($S733)),"",COUNTIFS($G$7:$G$850,$G733,$S$7:$S$850,"&gt;"&amp;$S733)+COUNTIFS($G$7:$G733,$G733,$S$7:$S733,$S733))</f>
        <v/>
      </c>
      <c r="W733" s="13">
        <f>IF(NOT(ISNUMBER($S733)),"",COUNTIFS($G$7:$G$850,$G733,$S$7:$S$850,"&lt;"&amp;$S733)+COUNTIFS($G$7:$G733,$G733,$S$7:$S733,$S733))</f>
        <v/>
      </c>
      <c r="X733" s="8">
        <f>IF($V733="","",$G733&amp;"|"&amp;$V733)</f>
        <v/>
      </c>
      <c r="Y733" s="8">
        <f>IF($W733="","",$G733&amp;"|"&amp;$W733)</f>
        <v/>
      </c>
    </row>
    <row r="734">
      <c r="A734" s="16" t="inlineStr">
        <is>
          <t>GB00BL68HH02</t>
        </is>
      </c>
      <c r="B734" s="17">
        <f>IF($A734="","",PROPER(_xll.BDP($A734&amp;" Corp","NAME")))</f>
        <v/>
      </c>
      <c r="C734" s="17">
        <f>IF($A734="","",IFERROR(INDEX(Company_desc!$B$2:$B$1144,MATCH($A734,Company_desc!$A$2:$A$1144,0)),IFERROR(INDEX(SYZ_static!$Q$2:$Q$806,MATCH($A734,SYZ_static!$A$2:$A$806,0)),"")))</f>
        <v/>
      </c>
      <c r="D734" s="17">
        <f>IF($A734="","",IFERROR(INDEX(SYZ_static!$B$2:$B$806,MATCH($A734,SYZ_static!$A$2:$A$806,0)),""))</f>
        <v/>
      </c>
      <c r="E734" s="17">
        <f>IF($A734="","",_xll.BDP($A734&amp;" Corp","INDUSTRY_SECTOR"))</f>
        <v/>
      </c>
      <c r="F734" s="17">
        <f>IF($A734="","",PROPER(_xll.BDP($A734&amp;" Corp","COUNTRY_FULL_NAME")))</f>
        <v/>
      </c>
      <c r="G734" s="17">
        <f>IF($A734="","",_xll.BDP($A734&amp;" Corp","CRNCY"))</f>
        <v/>
      </c>
      <c r="H734" s="17">
        <f>IF($A734="","",IFERROR(INDEX(SYZ_static!$T$2:$T$806,MATCH($A734,SYZ_static!$A$2:$A$806,0)),_xll.BDP($A734&amp;" Corp","RTG_SP")))</f>
        <v/>
      </c>
      <c r="I734" s="17">
        <f>IF($A734="","",IFERROR(INDEX(SYZ_static!$S$2:$S$806,MATCH($A734,SYZ_static!$A$2:$A$806,0)),""))</f>
        <v/>
      </c>
      <c r="J734" s="17">
        <f>IF($A734="","",_xll.BDP($A734&amp;" Corp","PAYMENT_RANK"))</f>
        <v/>
      </c>
      <c r="K734" s="18">
        <f>IF($A734="","",_xll.BDP($A734&amp;" Corp","CPN"))</f>
        <v/>
      </c>
      <c r="L734" s="19">
        <f>IF($A734="","",_xll.BDP($A734&amp;" Corp","MATURITY"))</f>
        <v/>
      </c>
      <c r="M734" s="20">
        <f>IF($A734="","",IFERROR(_xll.BDP($A734&amp;" Corp","MIN_PIECE")/1000,""))</f>
        <v/>
      </c>
      <c r="N734" s="21">
        <f>IF($A734="","",_xll.BDP($A734&amp;" Corp","PX_LAST"))</f>
        <v/>
      </c>
      <c r="O734" s="21">
        <f>IF($A734="","",_xll.BDP($A734&amp;" Corp","YAS_BOND_YLD","YAS_YLD_FLAG=15"))</f>
        <v/>
      </c>
      <c r="P734" s="21">
        <f>IF($A734="","",_xll.BDP($A734&amp;" Corp","YAS_MOD_DUR"))</f>
        <v/>
      </c>
      <c r="Q734" s="22">
        <f>IF($A734="","",_xll.BDP($A734&amp;" Corp","YAS_OAS_SPRD"))</f>
        <v/>
      </c>
      <c r="R734" s="22">
        <f>IF($A734="","",_xll.BDP($A734&amp;" Corp","YAS_OAS_SPRD","SETTLE_DT",$B$2))</f>
        <v/>
      </c>
      <c r="S734" s="23">
        <f>IF($A734="","",IF(OR(NOT(ISNUMBER($Q734)),NOT(ISNUMBER($R734))),"",$Q734-$R734))</f>
        <v/>
      </c>
      <c r="T734" s="21">
        <f>IF($A734="","",_xll.BDP($A734&amp;" Corp","YAS_BOND_YLD","YAS_YLD_FLAG=15","SETTLE_DT",$B$2))</f>
        <v/>
      </c>
      <c r="U734" s="24">
        <f>IF($A734="","",IF(OR(NOT(ISNUMBER($O734)),NOT(ISNUMBER($T734))),"",$O734-$T734))</f>
        <v/>
      </c>
      <c r="V734" s="22">
        <f>IF(NOT(ISNUMBER($S734)),"",COUNTIFS($G$7:$G$850,$G734,$S$7:$S$850,"&gt;"&amp;$S734)+COUNTIFS($G$7:$G734,$G734,$S$7:$S734,$S734))</f>
        <v/>
      </c>
      <c r="W734" s="22">
        <f>IF(NOT(ISNUMBER($S734)),"",COUNTIFS($G$7:$G$850,$G734,$S$7:$S$850,"&lt;"&amp;$S734)+COUNTIFS($G$7:$G734,$G734,$S$7:$S734,$S734))</f>
        <v/>
      </c>
      <c r="X734" s="17">
        <f>IF($V734="","",$G734&amp;"|"&amp;$V734)</f>
        <v/>
      </c>
      <c r="Y734" s="17">
        <f>IF($W734="","",$G734&amp;"|"&amp;$W734)</f>
        <v/>
      </c>
    </row>
    <row r="735">
      <c r="A735" s="7" t="inlineStr">
        <is>
          <t>CH1253456078</t>
        </is>
      </c>
      <c r="B735" s="8">
        <f>IF($A735="","",PROPER(_xll.BDP($A735&amp;" Corp","NAME")))</f>
        <v/>
      </c>
      <c r="C735" s="8">
        <f>IF($A735="","",IFERROR(INDEX(Company_desc!$B$2:$B$1144,MATCH($A735,Company_desc!$A$2:$A$1144,0)),IFERROR(INDEX(SYZ_static!$Q$2:$Q$806,MATCH($A735,SYZ_static!$A$2:$A$806,0)),"")))</f>
        <v/>
      </c>
      <c r="D735" s="8">
        <f>IF($A735="","",IFERROR(INDEX(SYZ_static!$B$2:$B$806,MATCH($A735,SYZ_static!$A$2:$A$806,0)),""))</f>
        <v/>
      </c>
      <c r="E735" s="8">
        <f>IF($A735="","",_xll.BDP($A735&amp;" Corp","INDUSTRY_SECTOR"))</f>
        <v/>
      </c>
      <c r="F735" s="8">
        <f>IF($A735="","",PROPER(_xll.BDP($A735&amp;" Corp","COUNTRY_FULL_NAME")))</f>
        <v/>
      </c>
      <c r="G735" s="8">
        <f>IF($A735="","",_xll.BDP($A735&amp;" Corp","CRNCY"))</f>
        <v/>
      </c>
      <c r="H735" s="8">
        <f>IF($A735="","",IFERROR(INDEX(SYZ_static!$T$2:$T$806,MATCH($A735,SYZ_static!$A$2:$A$806,0)),_xll.BDP($A735&amp;" Corp","RTG_SP")))</f>
        <v/>
      </c>
      <c r="I735" s="8">
        <f>IF($A735="","",IFERROR(INDEX(SYZ_static!$S$2:$S$806,MATCH($A735,SYZ_static!$A$2:$A$806,0)),""))</f>
        <v/>
      </c>
      <c r="J735" s="8">
        <f>IF($A735="","",_xll.BDP($A735&amp;" Corp","PAYMENT_RANK"))</f>
        <v/>
      </c>
      <c r="K735" s="9">
        <f>IF($A735="","",_xll.BDP($A735&amp;" Corp","CPN"))</f>
        <v/>
      </c>
      <c r="L735" s="10">
        <f>IF($A735="","",_xll.BDP($A735&amp;" Corp","MATURITY"))</f>
        <v/>
      </c>
      <c r="M735" s="11">
        <f>IF($A735="","",IFERROR(_xll.BDP($A735&amp;" Corp","MIN_PIECE")/1000,""))</f>
        <v/>
      </c>
      <c r="N735" s="12">
        <f>IF($A735="","",_xll.BDP($A735&amp;" Corp","PX_LAST"))</f>
        <v/>
      </c>
      <c r="O735" s="12">
        <f>IF($A735="","",_xll.BDP($A735&amp;" Corp","YAS_BOND_YLD","YAS_YLD_FLAG=15"))</f>
        <v/>
      </c>
      <c r="P735" s="12">
        <f>IF($A735="","",_xll.BDP($A735&amp;" Corp","YAS_MOD_DUR"))</f>
        <v/>
      </c>
      <c r="Q735" s="13">
        <f>IF($A735="","",_xll.BDP($A735&amp;" Corp","YAS_OAS_SPRD"))</f>
        <v/>
      </c>
      <c r="R735" s="13">
        <f>IF($A735="","",_xll.BDP($A735&amp;" Corp","YAS_OAS_SPRD","SETTLE_DT",$B$2))</f>
        <v/>
      </c>
      <c r="S735" s="14">
        <f>IF($A735="","",IF(OR(NOT(ISNUMBER($Q735)),NOT(ISNUMBER($R735))),"",$Q735-$R735))</f>
        <v/>
      </c>
      <c r="T735" s="12">
        <f>IF($A735="","",_xll.BDP($A735&amp;" Corp","YAS_BOND_YLD","YAS_YLD_FLAG=15","SETTLE_DT",$B$2))</f>
        <v/>
      </c>
      <c r="U735" s="15">
        <f>IF($A735="","",IF(OR(NOT(ISNUMBER($O735)),NOT(ISNUMBER($T735))),"",$O735-$T735))</f>
        <v/>
      </c>
      <c r="V735" s="13">
        <f>IF(NOT(ISNUMBER($S735)),"",COUNTIFS($G$7:$G$850,$G735,$S$7:$S$850,"&gt;"&amp;$S735)+COUNTIFS($G$7:$G735,$G735,$S$7:$S735,$S735))</f>
        <v/>
      </c>
      <c r="W735" s="13">
        <f>IF(NOT(ISNUMBER($S735)),"",COUNTIFS($G$7:$G$850,$G735,$S$7:$S$850,"&lt;"&amp;$S735)+COUNTIFS($G$7:$G735,$G735,$S$7:$S735,$S735))</f>
        <v/>
      </c>
      <c r="X735" s="8">
        <f>IF($V735="","",$G735&amp;"|"&amp;$V735)</f>
        <v/>
      </c>
      <c r="Y735" s="8">
        <f>IF($W735="","",$G735&amp;"|"&amp;$W735)</f>
        <v/>
      </c>
    </row>
    <row r="736">
      <c r="A736" s="16" t="inlineStr">
        <is>
          <t>CH1236363433</t>
        </is>
      </c>
      <c r="B736" s="17">
        <f>IF($A736="","",PROPER(_xll.BDP($A736&amp;" Corp","NAME")))</f>
        <v/>
      </c>
      <c r="C736" s="17">
        <f>IF($A736="","",IFERROR(INDEX(Company_desc!$B$2:$B$1144,MATCH($A736,Company_desc!$A$2:$A$1144,0)),IFERROR(INDEX(SYZ_static!$Q$2:$Q$806,MATCH($A736,SYZ_static!$A$2:$A$806,0)),"")))</f>
        <v/>
      </c>
      <c r="D736" s="17">
        <f>IF($A736="","",IFERROR(INDEX(SYZ_static!$B$2:$B$806,MATCH($A736,SYZ_static!$A$2:$A$806,0)),""))</f>
        <v/>
      </c>
      <c r="E736" s="17">
        <f>IF($A736="","",_xll.BDP($A736&amp;" Corp","INDUSTRY_SECTOR"))</f>
        <v/>
      </c>
      <c r="F736" s="17">
        <f>IF($A736="","",PROPER(_xll.BDP($A736&amp;" Corp","COUNTRY_FULL_NAME")))</f>
        <v/>
      </c>
      <c r="G736" s="17">
        <f>IF($A736="","",_xll.BDP($A736&amp;" Corp","CRNCY"))</f>
        <v/>
      </c>
      <c r="H736" s="17">
        <f>IF($A736="","",IFERROR(INDEX(SYZ_static!$T$2:$T$806,MATCH($A736,SYZ_static!$A$2:$A$806,0)),_xll.BDP($A736&amp;" Corp","RTG_SP")))</f>
        <v/>
      </c>
      <c r="I736" s="17">
        <f>IF($A736="","",IFERROR(INDEX(SYZ_static!$S$2:$S$806,MATCH($A736,SYZ_static!$A$2:$A$806,0)),""))</f>
        <v/>
      </c>
      <c r="J736" s="17">
        <f>IF($A736="","",_xll.BDP($A736&amp;" Corp","PAYMENT_RANK"))</f>
        <v/>
      </c>
      <c r="K736" s="18">
        <f>IF($A736="","",_xll.BDP($A736&amp;" Corp","CPN"))</f>
        <v/>
      </c>
      <c r="L736" s="19">
        <f>IF($A736="","",_xll.BDP($A736&amp;" Corp","MATURITY"))</f>
        <v/>
      </c>
      <c r="M736" s="20">
        <f>IF($A736="","",IFERROR(_xll.BDP($A736&amp;" Corp","MIN_PIECE")/1000,""))</f>
        <v/>
      </c>
      <c r="N736" s="21">
        <f>IF($A736="","",_xll.BDP($A736&amp;" Corp","PX_LAST"))</f>
        <v/>
      </c>
      <c r="O736" s="21">
        <f>IF($A736="","",_xll.BDP($A736&amp;" Corp","YAS_BOND_YLD","YAS_YLD_FLAG=15"))</f>
        <v/>
      </c>
      <c r="P736" s="21">
        <f>IF($A736="","",_xll.BDP($A736&amp;" Corp","YAS_MOD_DUR"))</f>
        <v/>
      </c>
      <c r="Q736" s="22">
        <f>IF($A736="","",_xll.BDP($A736&amp;" Corp","YAS_OAS_SPRD"))</f>
        <v/>
      </c>
      <c r="R736" s="22">
        <f>IF($A736="","",_xll.BDP($A736&amp;" Corp","YAS_OAS_SPRD","SETTLE_DT",$B$2))</f>
        <v/>
      </c>
      <c r="S736" s="23">
        <f>IF($A736="","",IF(OR(NOT(ISNUMBER($Q736)),NOT(ISNUMBER($R736))),"",$Q736-$R736))</f>
        <v/>
      </c>
      <c r="T736" s="21">
        <f>IF($A736="","",_xll.BDP($A736&amp;" Corp","YAS_BOND_YLD","YAS_YLD_FLAG=15","SETTLE_DT",$B$2))</f>
        <v/>
      </c>
      <c r="U736" s="24">
        <f>IF($A736="","",IF(OR(NOT(ISNUMBER($O736)),NOT(ISNUMBER($T736))),"",$O736-$T736))</f>
        <v/>
      </c>
      <c r="V736" s="22">
        <f>IF(NOT(ISNUMBER($S736)),"",COUNTIFS($G$7:$G$850,$G736,$S$7:$S$850,"&gt;"&amp;$S736)+COUNTIFS($G$7:$G736,$G736,$S$7:$S736,$S736))</f>
        <v/>
      </c>
      <c r="W736" s="22">
        <f>IF(NOT(ISNUMBER($S736)),"",COUNTIFS($G$7:$G$850,$G736,$S$7:$S$850,"&lt;"&amp;$S736)+COUNTIFS($G$7:$G736,$G736,$S$7:$S736,$S736))</f>
        <v/>
      </c>
      <c r="X736" s="17">
        <f>IF($V736="","",$G736&amp;"|"&amp;$V736)</f>
        <v/>
      </c>
      <c r="Y736" s="17">
        <f>IF($W736="","",$G736&amp;"|"&amp;$W736)</f>
        <v/>
      </c>
    </row>
    <row r="737">
      <c r="A737" s="7" t="inlineStr">
        <is>
          <t>GB00BMBL1D50</t>
        </is>
      </c>
      <c r="B737" s="8">
        <f>IF($A737="","",PROPER(_xll.BDP($A737&amp;" Corp","NAME")))</f>
        <v/>
      </c>
      <c r="C737" s="8">
        <f>IF($A737="","",IFERROR(INDEX(Company_desc!$B$2:$B$1144,MATCH($A737,Company_desc!$A$2:$A$1144,0)),IFERROR(INDEX(SYZ_static!$Q$2:$Q$806,MATCH($A737,SYZ_static!$A$2:$A$806,0)),"")))</f>
        <v/>
      </c>
      <c r="D737" s="8">
        <f>IF($A737="","",IFERROR(INDEX(SYZ_static!$B$2:$B$806,MATCH($A737,SYZ_static!$A$2:$A$806,0)),""))</f>
        <v/>
      </c>
      <c r="E737" s="8">
        <f>IF($A737="","",_xll.BDP($A737&amp;" Corp","INDUSTRY_SECTOR"))</f>
        <v/>
      </c>
      <c r="F737" s="8">
        <f>IF($A737="","",PROPER(_xll.BDP($A737&amp;" Corp","COUNTRY_FULL_NAME")))</f>
        <v/>
      </c>
      <c r="G737" s="8">
        <f>IF($A737="","",_xll.BDP($A737&amp;" Corp","CRNCY"))</f>
        <v/>
      </c>
      <c r="H737" s="8">
        <f>IF($A737="","",IFERROR(INDEX(SYZ_static!$T$2:$T$806,MATCH($A737,SYZ_static!$A$2:$A$806,0)),_xll.BDP($A737&amp;" Corp","RTG_SP")))</f>
        <v/>
      </c>
      <c r="I737" s="8">
        <f>IF($A737="","",IFERROR(INDEX(SYZ_static!$S$2:$S$806,MATCH($A737,SYZ_static!$A$2:$A$806,0)),""))</f>
        <v/>
      </c>
      <c r="J737" s="8">
        <f>IF($A737="","",_xll.BDP($A737&amp;" Corp","PAYMENT_RANK"))</f>
        <v/>
      </c>
      <c r="K737" s="9">
        <f>IF($A737="","",_xll.BDP($A737&amp;" Corp","CPN"))</f>
        <v/>
      </c>
      <c r="L737" s="10">
        <f>IF($A737="","",_xll.BDP($A737&amp;" Corp","MATURITY"))</f>
        <v/>
      </c>
      <c r="M737" s="11">
        <f>IF($A737="","",IFERROR(_xll.BDP($A737&amp;" Corp","MIN_PIECE")/1000,""))</f>
        <v/>
      </c>
      <c r="N737" s="12">
        <f>IF($A737="","",_xll.BDP($A737&amp;" Corp","PX_LAST"))</f>
        <v/>
      </c>
      <c r="O737" s="12">
        <f>IF($A737="","",_xll.BDP($A737&amp;" Corp","YAS_BOND_YLD","YAS_YLD_FLAG=15"))</f>
        <v/>
      </c>
      <c r="P737" s="12">
        <f>IF($A737="","",_xll.BDP($A737&amp;" Corp","YAS_MOD_DUR"))</f>
        <v/>
      </c>
      <c r="Q737" s="13">
        <f>IF($A737="","",_xll.BDP($A737&amp;" Corp","YAS_OAS_SPRD"))</f>
        <v/>
      </c>
      <c r="R737" s="13">
        <f>IF($A737="","",_xll.BDP($A737&amp;" Corp","YAS_OAS_SPRD","SETTLE_DT",$B$2))</f>
        <v/>
      </c>
      <c r="S737" s="14">
        <f>IF($A737="","",IF(OR(NOT(ISNUMBER($Q737)),NOT(ISNUMBER($R737))),"",$Q737-$R737))</f>
        <v/>
      </c>
      <c r="T737" s="12">
        <f>IF($A737="","",_xll.BDP($A737&amp;" Corp","YAS_BOND_YLD","YAS_YLD_FLAG=15","SETTLE_DT",$B$2))</f>
        <v/>
      </c>
      <c r="U737" s="15">
        <f>IF($A737="","",IF(OR(NOT(ISNUMBER($O737)),NOT(ISNUMBER($T737))),"",$O737-$T737))</f>
        <v/>
      </c>
      <c r="V737" s="13">
        <f>IF(NOT(ISNUMBER($S737)),"",COUNTIFS($G$7:$G$850,$G737,$S$7:$S$850,"&gt;"&amp;$S737)+COUNTIFS($G$7:$G737,$G737,$S$7:$S737,$S737))</f>
        <v/>
      </c>
      <c r="W737" s="13">
        <f>IF(NOT(ISNUMBER($S737)),"",COUNTIFS($G$7:$G$850,$G737,$S$7:$S$850,"&lt;"&amp;$S737)+COUNTIFS($G$7:$G737,$G737,$S$7:$S737,$S737))</f>
        <v/>
      </c>
      <c r="X737" s="8">
        <f>IF($V737="","",$G737&amp;"|"&amp;$V737)</f>
        <v/>
      </c>
      <c r="Y737" s="8">
        <f>IF($W737="","",$G737&amp;"|"&amp;$W737)</f>
        <v/>
      </c>
    </row>
    <row r="738">
      <c r="A738" s="16" t="inlineStr">
        <is>
          <t>USY15025AC67</t>
        </is>
      </c>
      <c r="B738" s="17">
        <f>IF($A738="","",PROPER(_xll.BDP($A738&amp;" Corp","NAME")))</f>
        <v/>
      </c>
      <c r="C738" s="17">
        <f>IF($A738="","",IFERROR(INDEX(Company_desc!$B$2:$B$1144,MATCH($A738,Company_desc!$A$2:$A$1144,0)),IFERROR(INDEX(SYZ_static!$Q$2:$Q$806,MATCH($A738,SYZ_static!$A$2:$A$806,0)),"")))</f>
        <v/>
      </c>
      <c r="D738" s="17">
        <f>IF($A738="","",IFERROR(INDEX(SYZ_static!$B$2:$B$806,MATCH($A738,SYZ_static!$A$2:$A$806,0)),""))</f>
        <v/>
      </c>
      <c r="E738" s="17">
        <f>IF($A738="","",_xll.BDP($A738&amp;" Corp","INDUSTRY_SECTOR"))</f>
        <v/>
      </c>
      <c r="F738" s="17">
        <f>IF($A738="","",PROPER(_xll.BDP($A738&amp;" Corp","COUNTRY_FULL_NAME")))</f>
        <v/>
      </c>
      <c r="G738" s="17">
        <f>IF($A738="","",_xll.BDP($A738&amp;" Corp","CRNCY"))</f>
        <v/>
      </c>
      <c r="H738" s="17">
        <f>IF($A738="","",IFERROR(INDEX(SYZ_static!$T$2:$T$806,MATCH($A738,SYZ_static!$A$2:$A$806,0)),_xll.BDP($A738&amp;" Corp","RTG_SP")))</f>
        <v/>
      </c>
      <c r="I738" s="17">
        <f>IF($A738="","",IFERROR(INDEX(SYZ_static!$S$2:$S$806,MATCH($A738,SYZ_static!$A$2:$A$806,0)),""))</f>
        <v/>
      </c>
      <c r="J738" s="17">
        <f>IF($A738="","",_xll.BDP($A738&amp;" Corp","PAYMENT_RANK"))</f>
        <v/>
      </c>
      <c r="K738" s="18">
        <f>IF($A738="","",_xll.BDP($A738&amp;" Corp","CPN"))</f>
        <v/>
      </c>
      <c r="L738" s="19">
        <f>IF($A738="","",_xll.BDP($A738&amp;" Corp","MATURITY"))</f>
        <v/>
      </c>
      <c r="M738" s="20">
        <f>IF($A738="","",IFERROR(_xll.BDP($A738&amp;" Corp","MIN_PIECE")/1000,""))</f>
        <v/>
      </c>
      <c r="N738" s="21">
        <f>IF($A738="","",_xll.BDP($A738&amp;" Corp","PX_LAST"))</f>
        <v/>
      </c>
      <c r="O738" s="21">
        <f>IF($A738="","",_xll.BDP($A738&amp;" Corp","YAS_BOND_YLD","YAS_YLD_FLAG=15"))</f>
        <v/>
      </c>
      <c r="P738" s="21">
        <f>IF($A738="","",_xll.BDP($A738&amp;" Corp","YAS_MOD_DUR"))</f>
        <v/>
      </c>
      <c r="Q738" s="22">
        <f>IF($A738="","",_xll.BDP($A738&amp;" Corp","YAS_OAS_SPRD"))</f>
        <v/>
      </c>
      <c r="R738" s="22">
        <f>IF($A738="","",_xll.BDP($A738&amp;" Corp","YAS_OAS_SPRD","SETTLE_DT",$B$2))</f>
        <v/>
      </c>
      <c r="S738" s="23">
        <f>IF($A738="","",IF(OR(NOT(ISNUMBER($Q738)),NOT(ISNUMBER($R738))),"",$Q738-$R738))</f>
        <v/>
      </c>
      <c r="T738" s="21">
        <f>IF($A738="","",_xll.BDP($A738&amp;" Corp","YAS_BOND_YLD","YAS_YLD_FLAG=15","SETTLE_DT",$B$2))</f>
        <v/>
      </c>
      <c r="U738" s="24">
        <f>IF($A738="","",IF(OR(NOT(ISNUMBER($O738)),NOT(ISNUMBER($T738))),"",$O738-$T738))</f>
        <v/>
      </c>
      <c r="V738" s="22">
        <f>IF(NOT(ISNUMBER($S738)),"",COUNTIFS($G$7:$G$850,$G738,$S$7:$S$850,"&gt;"&amp;$S738)+COUNTIFS($G$7:$G738,$G738,$S$7:$S738,$S738))</f>
        <v/>
      </c>
      <c r="W738" s="22">
        <f>IF(NOT(ISNUMBER($S738)),"",COUNTIFS($G$7:$G$850,$G738,$S$7:$S$850,"&lt;"&amp;$S738)+COUNTIFS($G$7:$G738,$G738,$S$7:$S738,$S738))</f>
        <v/>
      </c>
      <c r="X738" s="17">
        <f>IF($V738="","",$G738&amp;"|"&amp;$V738)</f>
        <v/>
      </c>
      <c r="Y738" s="17">
        <f>IF($W738="","",$G738&amp;"|"&amp;$W738)</f>
        <v/>
      </c>
    </row>
    <row r="739">
      <c r="A739" s="7" t="inlineStr">
        <is>
          <t>CH1226543861</t>
        </is>
      </c>
      <c r="B739" s="8">
        <f>IF($A739="","",PROPER(_xll.BDP($A739&amp;" Corp","NAME")))</f>
        <v/>
      </c>
      <c r="C739" s="8">
        <f>IF($A739="","",IFERROR(INDEX(Company_desc!$B$2:$B$1144,MATCH($A739,Company_desc!$A$2:$A$1144,0)),IFERROR(INDEX(SYZ_static!$Q$2:$Q$806,MATCH($A739,SYZ_static!$A$2:$A$806,0)),"")))</f>
        <v/>
      </c>
      <c r="D739" s="8">
        <f>IF($A739="","",IFERROR(INDEX(SYZ_static!$B$2:$B$806,MATCH($A739,SYZ_static!$A$2:$A$806,0)),""))</f>
        <v/>
      </c>
      <c r="E739" s="8">
        <f>IF($A739="","",_xll.BDP($A739&amp;" Corp","INDUSTRY_SECTOR"))</f>
        <v/>
      </c>
      <c r="F739" s="8">
        <f>IF($A739="","",PROPER(_xll.BDP($A739&amp;" Corp","COUNTRY_FULL_NAME")))</f>
        <v/>
      </c>
      <c r="G739" s="8">
        <f>IF($A739="","",_xll.BDP($A739&amp;" Corp","CRNCY"))</f>
        <v/>
      </c>
      <c r="H739" s="8">
        <f>IF($A739="","",IFERROR(INDEX(SYZ_static!$T$2:$T$806,MATCH($A739,SYZ_static!$A$2:$A$806,0)),_xll.BDP($A739&amp;" Corp","RTG_SP")))</f>
        <v/>
      </c>
      <c r="I739" s="8">
        <f>IF($A739="","",IFERROR(INDEX(SYZ_static!$S$2:$S$806,MATCH($A739,SYZ_static!$A$2:$A$806,0)),""))</f>
        <v/>
      </c>
      <c r="J739" s="8">
        <f>IF($A739="","",_xll.BDP($A739&amp;" Corp","PAYMENT_RANK"))</f>
        <v/>
      </c>
      <c r="K739" s="9">
        <f>IF($A739="","",_xll.BDP($A739&amp;" Corp","CPN"))</f>
        <v/>
      </c>
      <c r="L739" s="10">
        <f>IF($A739="","",_xll.BDP($A739&amp;" Corp","MATURITY"))</f>
        <v/>
      </c>
      <c r="M739" s="11">
        <f>IF($A739="","",IFERROR(_xll.BDP($A739&amp;" Corp","MIN_PIECE")/1000,""))</f>
        <v/>
      </c>
      <c r="N739" s="12">
        <f>IF($A739="","",_xll.BDP($A739&amp;" Corp","PX_LAST"))</f>
        <v/>
      </c>
      <c r="O739" s="12">
        <f>IF($A739="","",_xll.BDP($A739&amp;" Corp","YAS_BOND_YLD","YAS_YLD_FLAG=15"))</f>
        <v/>
      </c>
      <c r="P739" s="12">
        <f>IF($A739="","",_xll.BDP($A739&amp;" Corp","YAS_MOD_DUR"))</f>
        <v/>
      </c>
      <c r="Q739" s="13">
        <f>IF($A739="","",_xll.BDP($A739&amp;" Corp","YAS_OAS_SPRD"))</f>
        <v/>
      </c>
      <c r="R739" s="13">
        <f>IF($A739="","",_xll.BDP($A739&amp;" Corp","YAS_OAS_SPRD","SETTLE_DT",$B$2))</f>
        <v/>
      </c>
      <c r="S739" s="14">
        <f>IF($A739="","",IF(OR(NOT(ISNUMBER($Q739)),NOT(ISNUMBER($R739))),"",$Q739-$R739))</f>
        <v/>
      </c>
      <c r="T739" s="12">
        <f>IF($A739="","",_xll.BDP($A739&amp;" Corp","YAS_BOND_YLD","YAS_YLD_FLAG=15","SETTLE_DT",$B$2))</f>
        <v/>
      </c>
      <c r="U739" s="15">
        <f>IF($A739="","",IF(OR(NOT(ISNUMBER($O739)),NOT(ISNUMBER($T739))),"",$O739-$T739))</f>
        <v/>
      </c>
      <c r="V739" s="13">
        <f>IF(NOT(ISNUMBER($S739)),"",COUNTIFS($G$7:$G$850,$G739,$S$7:$S$850,"&gt;"&amp;$S739)+COUNTIFS($G$7:$G739,$G739,$S$7:$S739,$S739))</f>
        <v/>
      </c>
      <c r="W739" s="13">
        <f>IF(NOT(ISNUMBER($S739)),"",COUNTIFS($G$7:$G$850,$G739,$S$7:$S$850,"&lt;"&amp;$S739)+COUNTIFS($G$7:$G739,$G739,$S$7:$S739,$S739))</f>
        <v/>
      </c>
      <c r="X739" s="8">
        <f>IF($V739="","",$G739&amp;"|"&amp;$V739)</f>
        <v/>
      </c>
      <c r="Y739" s="8">
        <f>IF($W739="","",$G739&amp;"|"&amp;$W739)</f>
        <v/>
      </c>
    </row>
    <row r="740">
      <c r="A740" s="16" t="inlineStr">
        <is>
          <t>XS1814065345</t>
        </is>
      </c>
      <c r="B740" s="17">
        <f>IF($A740="","",PROPER(_xll.BDP($A740&amp;" Corp","NAME")))</f>
        <v/>
      </c>
      <c r="C740" s="17">
        <f>IF($A740="","",IFERROR(INDEX(Company_desc!$B$2:$B$1144,MATCH($A740,Company_desc!$A$2:$A$1144,0)),IFERROR(INDEX(SYZ_static!$Q$2:$Q$806,MATCH($A740,SYZ_static!$A$2:$A$806,0)),"")))</f>
        <v/>
      </c>
      <c r="D740" s="17">
        <f>IF($A740="","",IFERROR(INDEX(SYZ_static!$B$2:$B$806,MATCH($A740,SYZ_static!$A$2:$A$806,0)),""))</f>
        <v/>
      </c>
      <c r="E740" s="17">
        <f>IF($A740="","",_xll.BDP($A740&amp;" Corp","INDUSTRY_SECTOR"))</f>
        <v/>
      </c>
      <c r="F740" s="17">
        <f>IF($A740="","",PROPER(_xll.BDP($A740&amp;" Corp","COUNTRY_FULL_NAME")))</f>
        <v/>
      </c>
      <c r="G740" s="17">
        <f>IF($A740="","",_xll.BDP($A740&amp;" Corp","CRNCY"))</f>
        <v/>
      </c>
      <c r="H740" s="17">
        <f>IF($A740="","",IFERROR(INDEX(SYZ_static!$T$2:$T$806,MATCH($A740,SYZ_static!$A$2:$A$806,0)),_xll.BDP($A740&amp;" Corp","RTG_SP")))</f>
        <v/>
      </c>
      <c r="I740" s="17">
        <f>IF($A740="","",IFERROR(INDEX(SYZ_static!$S$2:$S$806,MATCH($A740,SYZ_static!$A$2:$A$806,0)),""))</f>
        <v/>
      </c>
      <c r="J740" s="17">
        <f>IF($A740="","",_xll.BDP($A740&amp;" Corp","PAYMENT_RANK"))</f>
        <v/>
      </c>
      <c r="K740" s="18">
        <f>IF($A740="","",_xll.BDP($A740&amp;" Corp","CPN"))</f>
        <v/>
      </c>
      <c r="L740" s="19">
        <f>IF($A740="","",_xll.BDP($A740&amp;" Corp","MATURITY"))</f>
        <v/>
      </c>
      <c r="M740" s="20">
        <f>IF($A740="","",IFERROR(_xll.BDP($A740&amp;" Corp","MIN_PIECE")/1000,""))</f>
        <v/>
      </c>
      <c r="N740" s="21">
        <f>IF($A740="","",_xll.BDP($A740&amp;" Corp","PX_LAST"))</f>
        <v/>
      </c>
      <c r="O740" s="21">
        <f>IF($A740="","",_xll.BDP($A740&amp;" Corp","YAS_BOND_YLD","YAS_YLD_FLAG=15"))</f>
        <v/>
      </c>
      <c r="P740" s="21">
        <f>IF($A740="","",_xll.BDP($A740&amp;" Corp","YAS_MOD_DUR"))</f>
        <v/>
      </c>
      <c r="Q740" s="22">
        <f>IF($A740="","",_xll.BDP($A740&amp;" Corp","YAS_OAS_SPRD"))</f>
        <v/>
      </c>
      <c r="R740" s="22">
        <f>IF($A740="","",_xll.BDP($A740&amp;" Corp","YAS_OAS_SPRD","SETTLE_DT",$B$2))</f>
        <v/>
      </c>
      <c r="S740" s="23">
        <f>IF($A740="","",IF(OR(NOT(ISNUMBER($Q740)),NOT(ISNUMBER($R740))),"",$Q740-$R740))</f>
        <v/>
      </c>
      <c r="T740" s="21">
        <f>IF($A740="","",_xll.BDP($A740&amp;" Corp","YAS_BOND_YLD","YAS_YLD_FLAG=15","SETTLE_DT",$B$2))</f>
        <v/>
      </c>
      <c r="U740" s="24">
        <f>IF($A740="","",IF(OR(NOT(ISNUMBER($O740)),NOT(ISNUMBER($T740))),"",$O740-$T740))</f>
        <v/>
      </c>
      <c r="V740" s="22">
        <f>IF(NOT(ISNUMBER($S740)),"",COUNTIFS($G$7:$G$850,$G740,$S$7:$S$850,"&gt;"&amp;$S740)+COUNTIFS($G$7:$G740,$G740,$S$7:$S740,$S740))</f>
        <v/>
      </c>
      <c r="W740" s="22">
        <f>IF(NOT(ISNUMBER($S740)),"",COUNTIFS($G$7:$G$850,$G740,$S$7:$S$850,"&lt;"&amp;$S740)+COUNTIFS($G$7:$G740,$G740,$S$7:$S740,$S740))</f>
        <v/>
      </c>
      <c r="X740" s="17">
        <f>IF($V740="","",$G740&amp;"|"&amp;$V740)</f>
        <v/>
      </c>
      <c r="Y740" s="17">
        <f>IF($W740="","",$G740&amp;"|"&amp;$W740)</f>
        <v/>
      </c>
    </row>
    <row r="741">
      <c r="A741" s="7" t="inlineStr">
        <is>
          <t>XS2364593579</t>
        </is>
      </c>
      <c r="B741" s="8">
        <f>IF($A741="","",PROPER(_xll.BDP($A741&amp;" Corp","NAME")))</f>
        <v/>
      </c>
      <c r="C741" s="8">
        <f>IF($A741="","",IFERROR(INDEX(Company_desc!$B$2:$B$1144,MATCH($A741,Company_desc!$A$2:$A$1144,0)),IFERROR(INDEX(SYZ_static!$Q$2:$Q$806,MATCH($A741,SYZ_static!$A$2:$A$806,0)),"")))</f>
        <v/>
      </c>
      <c r="D741" s="8">
        <f>IF($A741="","",IFERROR(INDEX(SYZ_static!$B$2:$B$806,MATCH($A741,SYZ_static!$A$2:$A$806,0)),""))</f>
        <v/>
      </c>
      <c r="E741" s="8">
        <f>IF($A741="","",_xll.BDP($A741&amp;" Corp","INDUSTRY_SECTOR"))</f>
        <v/>
      </c>
      <c r="F741" s="8">
        <f>IF($A741="","",PROPER(_xll.BDP($A741&amp;" Corp","COUNTRY_FULL_NAME")))</f>
        <v/>
      </c>
      <c r="G741" s="8">
        <f>IF($A741="","",_xll.BDP($A741&amp;" Corp","CRNCY"))</f>
        <v/>
      </c>
      <c r="H741" s="8">
        <f>IF($A741="","",IFERROR(INDEX(SYZ_static!$T$2:$T$806,MATCH($A741,SYZ_static!$A$2:$A$806,0)),_xll.BDP($A741&amp;" Corp","RTG_SP")))</f>
        <v/>
      </c>
      <c r="I741" s="8">
        <f>IF($A741="","",IFERROR(INDEX(SYZ_static!$S$2:$S$806,MATCH($A741,SYZ_static!$A$2:$A$806,0)),""))</f>
        <v/>
      </c>
      <c r="J741" s="8">
        <f>IF($A741="","",_xll.BDP($A741&amp;" Corp","PAYMENT_RANK"))</f>
        <v/>
      </c>
      <c r="K741" s="9">
        <f>IF($A741="","",_xll.BDP($A741&amp;" Corp","CPN"))</f>
        <v/>
      </c>
      <c r="L741" s="10">
        <f>IF($A741="","",_xll.BDP($A741&amp;" Corp","MATURITY"))</f>
        <v/>
      </c>
      <c r="M741" s="11">
        <f>IF($A741="","",IFERROR(_xll.BDP($A741&amp;" Corp","MIN_PIECE")/1000,""))</f>
        <v/>
      </c>
      <c r="N741" s="12">
        <f>IF($A741="","",_xll.BDP($A741&amp;" Corp","PX_LAST"))</f>
        <v/>
      </c>
      <c r="O741" s="12">
        <f>IF($A741="","",_xll.BDP($A741&amp;" Corp","YAS_BOND_YLD","YAS_YLD_FLAG=15"))</f>
        <v/>
      </c>
      <c r="P741" s="12">
        <f>IF($A741="","",_xll.BDP($A741&amp;" Corp","YAS_MOD_DUR"))</f>
        <v/>
      </c>
      <c r="Q741" s="13">
        <f>IF($A741="","",_xll.BDP($A741&amp;" Corp","YAS_OAS_SPRD"))</f>
        <v/>
      </c>
      <c r="R741" s="13">
        <f>IF($A741="","",_xll.BDP($A741&amp;" Corp","YAS_OAS_SPRD","SETTLE_DT",$B$2))</f>
        <v/>
      </c>
      <c r="S741" s="14">
        <f>IF($A741="","",IF(OR(NOT(ISNUMBER($Q741)),NOT(ISNUMBER($R741))),"",$Q741-$R741))</f>
        <v/>
      </c>
      <c r="T741" s="12">
        <f>IF($A741="","",_xll.BDP($A741&amp;" Corp","YAS_BOND_YLD","YAS_YLD_FLAG=15","SETTLE_DT",$B$2))</f>
        <v/>
      </c>
      <c r="U741" s="15">
        <f>IF($A741="","",IF(OR(NOT(ISNUMBER($O741)),NOT(ISNUMBER($T741))),"",$O741-$T741))</f>
        <v/>
      </c>
      <c r="V741" s="13">
        <f>IF(NOT(ISNUMBER($S741)),"",COUNTIFS($G$7:$G$850,$G741,$S$7:$S$850,"&gt;"&amp;$S741)+COUNTIFS($G$7:$G741,$G741,$S$7:$S741,$S741))</f>
        <v/>
      </c>
      <c r="W741" s="13">
        <f>IF(NOT(ISNUMBER($S741)),"",COUNTIFS($G$7:$G$850,$G741,$S$7:$S$850,"&lt;"&amp;$S741)+COUNTIFS($G$7:$G741,$G741,$S$7:$S741,$S741))</f>
        <v/>
      </c>
      <c r="X741" s="8">
        <f>IF($V741="","",$G741&amp;"|"&amp;$V741)</f>
        <v/>
      </c>
      <c r="Y741" s="8">
        <f>IF($W741="","",$G741&amp;"|"&amp;$W741)</f>
        <v/>
      </c>
    </row>
    <row r="742">
      <c r="A742" s="16" t="inlineStr">
        <is>
          <t>USU04354AF00</t>
        </is>
      </c>
      <c r="B742" s="17">
        <f>IF($A742="","",PROPER(_xll.BDP($A742&amp;" Corp","NAME")))</f>
        <v/>
      </c>
      <c r="C742" s="17">
        <f>IF($A742="","",IFERROR(INDEX(Company_desc!$B$2:$B$1144,MATCH($A742,Company_desc!$A$2:$A$1144,0)),IFERROR(INDEX(SYZ_static!$Q$2:$Q$806,MATCH($A742,SYZ_static!$A$2:$A$806,0)),"")))</f>
        <v/>
      </c>
      <c r="D742" s="17">
        <f>IF($A742="","",IFERROR(INDEX(SYZ_static!$B$2:$B$806,MATCH($A742,SYZ_static!$A$2:$A$806,0)),""))</f>
        <v/>
      </c>
      <c r="E742" s="17">
        <f>IF($A742="","",_xll.BDP($A742&amp;" Corp","INDUSTRY_SECTOR"))</f>
        <v/>
      </c>
      <c r="F742" s="17">
        <f>IF($A742="","",PROPER(_xll.BDP($A742&amp;" Corp","COUNTRY_FULL_NAME")))</f>
        <v/>
      </c>
      <c r="G742" s="17">
        <f>IF($A742="","",_xll.BDP($A742&amp;" Corp","CRNCY"))</f>
        <v/>
      </c>
      <c r="H742" s="17">
        <f>IF($A742="","",IFERROR(INDEX(SYZ_static!$T$2:$T$806,MATCH($A742,SYZ_static!$A$2:$A$806,0)),_xll.BDP($A742&amp;" Corp","RTG_SP")))</f>
        <v/>
      </c>
      <c r="I742" s="17">
        <f>IF($A742="","",IFERROR(INDEX(SYZ_static!$S$2:$S$806,MATCH($A742,SYZ_static!$A$2:$A$806,0)),""))</f>
        <v/>
      </c>
      <c r="J742" s="17">
        <f>IF($A742="","",_xll.BDP($A742&amp;" Corp","PAYMENT_RANK"))</f>
        <v/>
      </c>
      <c r="K742" s="18">
        <f>IF($A742="","",_xll.BDP($A742&amp;" Corp","CPN"))</f>
        <v/>
      </c>
      <c r="L742" s="19">
        <f>IF($A742="","",_xll.BDP($A742&amp;" Corp","MATURITY"))</f>
        <v/>
      </c>
      <c r="M742" s="20">
        <f>IF($A742="","",IFERROR(_xll.BDP($A742&amp;" Corp","MIN_PIECE")/1000,""))</f>
        <v/>
      </c>
      <c r="N742" s="21">
        <f>IF($A742="","",_xll.BDP($A742&amp;" Corp","PX_LAST"))</f>
        <v/>
      </c>
      <c r="O742" s="21">
        <f>IF($A742="","",_xll.BDP($A742&amp;" Corp","YAS_BOND_YLD","YAS_YLD_FLAG=15"))</f>
        <v/>
      </c>
      <c r="P742" s="21">
        <f>IF($A742="","",_xll.BDP($A742&amp;" Corp","YAS_MOD_DUR"))</f>
        <v/>
      </c>
      <c r="Q742" s="22">
        <f>IF($A742="","",_xll.BDP($A742&amp;" Corp","YAS_OAS_SPRD"))</f>
        <v/>
      </c>
      <c r="R742" s="22">
        <f>IF($A742="","",_xll.BDP($A742&amp;" Corp","YAS_OAS_SPRD","SETTLE_DT",$B$2))</f>
        <v/>
      </c>
      <c r="S742" s="23">
        <f>IF($A742="","",IF(OR(NOT(ISNUMBER($Q742)),NOT(ISNUMBER($R742))),"",$Q742-$R742))</f>
        <v/>
      </c>
      <c r="T742" s="21">
        <f>IF($A742="","",_xll.BDP($A742&amp;" Corp","YAS_BOND_YLD","YAS_YLD_FLAG=15","SETTLE_DT",$B$2))</f>
        <v/>
      </c>
      <c r="U742" s="24">
        <f>IF($A742="","",IF(OR(NOT(ISNUMBER($O742)),NOT(ISNUMBER($T742))),"",$O742-$T742))</f>
        <v/>
      </c>
      <c r="V742" s="22">
        <f>IF(NOT(ISNUMBER($S742)),"",COUNTIFS($G$7:$G$850,$G742,$S$7:$S$850,"&gt;"&amp;$S742)+COUNTIFS($G$7:$G742,$G742,$S$7:$S742,$S742))</f>
        <v/>
      </c>
      <c r="W742" s="22">
        <f>IF(NOT(ISNUMBER($S742)),"",COUNTIFS($G$7:$G$850,$G742,$S$7:$S$850,"&lt;"&amp;$S742)+COUNTIFS($G$7:$G742,$G742,$S$7:$S742,$S742))</f>
        <v/>
      </c>
      <c r="X742" s="17">
        <f>IF($V742="","",$G742&amp;"|"&amp;$V742)</f>
        <v/>
      </c>
      <c r="Y742" s="17">
        <f>IF($W742="","",$G742&amp;"|"&amp;$W742)</f>
        <v/>
      </c>
    </row>
    <row r="743">
      <c r="A743" s="7" t="inlineStr">
        <is>
          <t>XS2361342889</t>
        </is>
      </c>
      <c r="B743" s="8">
        <f>IF($A743="","",PROPER(_xll.BDP($A743&amp;" Corp","NAME")))</f>
        <v/>
      </c>
      <c r="C743" s="8">
        <f>IF($A743="","",IFERROR(INDEX(Company_desc!$B$2:$B$1144,MATCH($A743,Company_desc!$A$2:$A$1144,0)),IFERROR(INDEX(SYZ_static!$Q$2:$Q$806,MATCH($A743,SYZ_static!$A$2:$A$806,0)),"")))</f>
        <v/>
      </c>
      <c r="D743" s="8">
        <f>IF($A743="","",IFERROR(INDEX(SYZ_static!$B$2:$B$806,MATCH($A743,SYZ_static!$A$2:$A$806,0)),""))</f>
        <v/>
      </c>
      <c r="E743" s="8">
        <f>IF($A743="","",_xll.BDP($A743&amp;" Corp","INDUSTRY_SECTOR"))</f>
        <v/>
      </c>
      <c r="F743" s="8">
        <f>IF($A743="","",PROPER(_xll.BDP($A743&amp;" Corp","COUNTRY_FULL_NAME")))</f>
        <v/>
      </c>
      <c r="G743" s="8">
        <f>IF($A743="","",_xll.BDP($A743&amp;" Corp","CRNCY"))</f>
        <v/>
      </c>
      <c r="H743" s="8">
        <f>IF($A743="","",IFERROR(INDEX(SYZ_static!$T$2:$T$806,MATCH($A743,SYZ_static!$A$2:$A$806,0)),_xll.BDP($A743&amp;" Corp","RTG_SP")))</f>
        <v/>
      </c>
      <c r="I743" s="8">
        <f>IF($A743="","",IFERROR(INDEX(SYZ_static!$S$2:$S$806,MATCH($A743,SYZ_static!$A$2:$A$806,0)),""))</f>
        <v/>
      </c>
      <c r="J743" s="8">
        <f>IF($A743="","",_xll.BDP($A743&amp;" Corp","PAYMENT_RANK"))</f>
        <v/>
      </c>
      <c r="K743" s="9">
        <f>IF($A743="","",_xll.BDP($A743&amp;" Corp","CPN"))</f>
        <v/>
      </c>
      <c r="L743" s="10">
        <f>IF($A743="","",_xll.BDP($A743&amp;" Corp","MATURITY"))</f>
        <v/>
      </c>
      <c r="M743" s="11">
        <f>IF($A743="","",IFERROR(_xll.BDP($A743&amp;" Corp","MIN_PIECE")/1000,""))</f>
        <v/>
      </c>
      <c r="N743" s="12">
        <f>IF($A743="","",_xll.BDP($A743&amp;" Corp","PX_LAST"))</f>
        <v/>
      </c>
      <c r="O743" s="12">
        <f>IF($A743="","",_xll.BDP($A743&amp;" Corp","YAS_BOND_YLD","YAS_YLD_FLAG=15"))</f>
        <v/>
      </c>
      <c r="P743" s="12">
        <f>IF($A743="","",_xll.BDP($A743&amp;" Corp","YAS_MOD_DUR"))</f>
        <v/>
      </c>
      <c r="Q743" s="13">
        <f>IF($A743="","",_xll.BDP($A743&amp;" Corp","YAS_OAS_SPRD"))</f>
        <v/>
      </c>
      <c r="R743" s="13">
        <f>IF($A743="","",_xll.BDP($A743&amp;" Corp","YAS_OAS_SPRD","SETTLE_DT",$B$2))</f>
        <v/>
      </c>
      <c r="S743" s="14">
        <f>IF($A743="","",IF(OR(NOT(ISNUMBER($Q743)),NOT(ISNUMBER($R743))),"",$Q743-$R743))</f>
        <v/>
      </c>
      <c r="T743" s="12">
        <f>IF($A743="","",_xll.BDP($A743&amp;" Corp","YAS_BOND_YLD","YAS_YLD_FLAG=15","SETTLE_DT",$B$2))</f>
        <v/>
      </c>
      <c r="U743" s="15">
        <f>IF($A743="","",IF(OR(NOT(ISNUMBER($O743)),NOT(ISNUMBER($T743))),"",$O743-$T743))</f>
        <v/>
      </c>
      <c r="V743" s="13">
        <f>IF(NOT(ISNUMBER($S743)),"",COUNTIFS($G$7:$G$850,$G743,$S$7:$S$850,"&gt;"&amp;$S743)+COUNTIFS($G$7:$G743,$G743,$S$7:$S743,$S743))</f>
        <v/>
      </c>
      <c r="W743" s="13">
        <f>IF(NOT(ISNUMBER($S743)),"",COUNTIFS($G$7:$G$850,$G743,$S$7:$S$850,"&lt;"&amp;$S743)+COUNTIFS($G$7:$G743,$G743,$S$7:$S743,$S743))</f>
        <v/>
      </c>
      <c r="X743" s="8">
        <f>IF($V743="","",$G743&amp;"|"&amp;$V743)</f>
        <v/>
      </c>
      <c r="Y743" s="8">
        <f>IF($W743="","",$G743&amp;"|"&amp;$W743)</f>
        <v/>
      </c>
    </row>
    <row r="744">
      <c r="A744" s="16" t="inlineStr">
        <is>
          <t>US46590XAZ96</t>
        </is>
      </c>
      <c r="B744" s="17">
        <f>IF($A744="","",PROPER(_xll.BDP($A744&amp;" Corp","NAME")))</f>
        <v/>
      </c>
      <c r="C744" s="17">
        <f>IF($A744="","",IFERROR(INDEX(Company_desc!$B$2:$B$1144,MATCH($A744,Company_desc!$A$2:$A$1144,0)),IFERROR(INDEX(SYZ_static!$Q$2:$Q$806,MATCH($A744,SYZ_static!$A$2:$A$806,0)),"")))</f>
        <v/>
      </c>
      <c r="D744" s="17">
        <f>IF($A744="","",IFERROR(INDEX(SYZ_static!$B$2:$B$806,MATCH($A744,SYZ_static!$A$2:$A$806,0)),""))</f>
        <v/>
      </c>
      <c r="E744" s="17">
        <f>IF($A744="","",_xll.BDP($A744&amp;" Corp","INDUSTRY_SECTOR"))</f>
        <v/>
      </c>
      <c r="F744" s="17">
        <f>IF($A744="","",PROPER(_xll.BDP($A744&amp;" Corp","COUNTRY_FULL_NAME")))</f>
        <v/>
      </c>
      <c r="G744" s="17">
        <f>IF($A744="","",_xll.BDP($A744&amp;" Corp","CRNCY"))</f>
        <v/>
      </c>
      <c r="H744" s="17">
        <f>IF($A744="","",IFERROR(INDEX(SYZ_static!$T$2:$T$806,MATCH($A744,SYZ_static!$A$2:$A$806,0)),_xll.BDP($A744&amp;" Corp","RTG_SP")))</f>
        <v/>
      </c>
      <c r="I744" s="17">
        <f>IF($A744="","",IFERROR(INDEX(SYZ_static!$S$2:$S$806,MATCH($A744,SYZ_static!$A$2:$A$806,0)),""))</f>
        <v/>
      </c>
      <c r="J744" s="17">
        <f>IF($A744="","",_xll.BDP($A744&amp;" Corp","PAYMENT_RANK"))</f>
        <v/>
      </c>
      <c r="K744" s="18">
        <f>IF($A744="","",_xll.BDP($A744&amp;" Corp","CPN"))</f>
        <v/>
      </c>
      <c r="L744" s="19">
        <f>IF($A744="","",_xll.BDP($A744&amp;" Corp","MATURITY"))</f>
        <v/>
      </c>
      <c r="M744" s="20">
        <f>IF($A744="","",IFERROR(_xll.BDP($A744&amp;" Corp","MIN_PIECE")/1000,""))</f>
        <v/>
      </c>
      <c r="N744" s="21">
        <f>IF($A744="","",_xll.BDP($A744&amp;" Corp","PX_LAST"))</f>
        <v/>
      </c>
      <c r="O744" s="21">
        <f>IF($A744="","",_xll.BDP($A744&amp;" Corp","YAS_BOND_YLD","YAS_YLD_FLAG=15"))</f>
        <v/>
      </c>
      <c r="P744" s="21">
        <f>IF($A744="","",_xll.BDP($A744&amp;" Corp","YAS_MOD_DUR"))</f>
        <v/>
      </c>
      <c r="Q744" s="22">
        <f>IF($A744="","",_xll.BDP($A744&amp;" Corp","YAS_OAS_SPRD"))</f>
        <v/>
      </c>
      <c r="R744" s="22">
        <f>IF($A744="","",_xll.BDP($A744&amp;" Corp","YAS_OAS_SPRD","SETTLE_DT",$B$2))</f>
        <v/>
      </c>
      <c r="S744" s="23">
        <f>IF($A744="","",IF(OR(NOT(ISNUMBER($Q744)),NOT(ISNUMBER($R744))),"",$Q744-$R744))</f>
        <v/>
      </c>
      <c r="T744" s="21">
        <f>IF($A744="","",_xll.BDP($A744&amp;" Corp","YAS_BOND_YLD","YAS_YLD_FLAG=15","SETTLE_DT",$B$2))</f>
        <v/>
      </c>
      <c r="U744" s="24">
        <f>IF($A744="","",IF(OR(NOT(ISNUMBER($O744)),NOT(ISNUMBER($T744))),"",$O744-$T744))</f>
        <v/>
      </c>
      <c r="V744" s="22">
        <f>IF(NOT(ISNUMBER($S744)),"",COUNTIFS($G$7:$G$850,$G744,$S$7:$S$850,"&gt;"&amp;$S744)+COUNTIFS($G$7:$G744,$G744,$S$7:$S744,$S744))</f>
        <v/>
      </c>
      <c r="W744" s="22">
        <f>IF(NOT(ISNUMBER($S744)),"",COUNTIFS($G$7:$G$850,$G744,$S$7:$S$850,"&lt;"&amp;$S744)+COUNTIFS($G$7:$G744,$G744,$S$7:$S744,$S744))</f>
        <v/>
      </c>
      <c r="X744" s="17">
        <f>IF($V744="","",$G744&amp;"|"&amp;$V744)</f>
        <v/>
      </c>
      <c r="Y744" s="17">
        <f>IF($W744="","",$G744&amp;"|"&amp;$W744)</f>
        <v/>
      </c>
    </row>
    <row r="745">
      <c r="A745" s="7" t="inlineStr">
        <is>
          <t>US80282KBB17</t>
        </is>
      </c>
      <c r="B745" s="8">
        <f>IF($A745="","",PROPER(_xll.BDP($A745&amp;" Corp","NAME")))</f>
        <v/>
      </c>
      <c r="C745" s="8">
        <f>IF($A745="","",IFERROR(INDEX(Company_desc!$B$2:$B$1144,MATCH($A745,Company_desc!$A$2:$A$1144,0)),IFERROR(INDEX(SYZ_static!$Q$2:$Q$806,MATCH($A745,SYZ_static!$A$2:$A$806,0)),"")))</f>
        <v/>
      </c>
      <c r="D745" s="8">
        <f>IF($A745="","",IFERROR(INDEX(SYZ_static!$B$2:$B$806,MATCH($A745,SYZ_static!$A$2:$A$806,0)),""))</f>
        <v/>
      </c>
      <c r="E745" s="8">
        <f>IF($A745="","",_xll.BDP($A745&amp;" Corp","INDUSTRY_SECTOR"))</f>
        <v/>
      </c>
      <c r="F745" s="8">
        <f>IF($A745="","",PROPER(_xll.BDP($A745&amp;" Corp","COUNTRY_FULL_NAME")))</f>
        <v/>
      </c>
      <c r="G745" s="8">
        <f>IF($A745="","",_xll.BDP($A745&amp;" Corp","CRNCY"))</f>
        <v/>
      </c>
      <c r="H745" s="8">
        <f>IF($A745="","",IFERROR(INDEX(SYZ_static!$T$2:$T$806,MATCH($A745,SYZ_static!$A$2:$A$806,0)),_xll.BDP($A745&amp;" Corp","RTG_SP")))</f>
        <v/>
      </c>
      <c r="I745" s="8">
        <f>IF($A745="","",IFERROR(INDEX(SYZ_static!$S$2:$S$806,MATCH($A745,SYZ_static!$A$2:$A$806,0)),""))</f>
        <v/>
      </c>
      <c r="J745" s="8">
        <f>IF($A745="","",_xll.BDP($A745&amp;" Corp","PAYMENT_RANK"))</f>
        <v/>
      </c>
      <c r="K745" s="9">
        <f>IF($A745="","",_xll.BDP($A745&amp;" Corp","CPN"))</f>
        <v/>
      </c>
      <c r="L745" s="10">
        <f>IF($A745="","",_xll.BDP($A745&amp;" Corp","MATURITY"))</f>
        <v/>
      </c>
      <c r="M745" s="11">
        <f>IF($A745="","",IFERROR(_xll.BDP($A745&amp;" Corp","MIN_PIECE")/1000,""))</f>
        <v/>
      </c>
      <c r="N745" s="12">
        <f>IF($A745="","",_xll.BDP($A745&amp;" Corp","PX_LAST"))</f>
        <v/>
      </c>
      <c r="O745" s="12">
        <f>IF($A745="","",_xll.BDP($A745&amp;" Corp","YAS_BOND_YLD","YAS_YLD_FLAG=15"))</f>
        <v/>
      </c>
      <c r="P745" s="12">
        <f>IF($A745="","",_xll.BDP($A745&amp;" Corp","YAS_MOD_DUR"))</f>
        <v/>
      </c>
      <c r="Q745" s="13">
        <f>IF($A745="","",_xll.BDP($A745&amp;" Corp","YAS_OAS_SPRD"))</f>
        <v/>
      </c>
      <c r="R745" s="13">
        <f>IF($A745="","",_xll.BDP($A745&amp;" Corp","YAS_OAS_SPRD","SETTLE_DT",$B$2))</f>
        <v/>
      </c>
      <c r="S745" s="14">
        <f>IF($A745="","",IF(OR(NOT(ISNUMBER($Q745)),NOT(ISNUMBER($R745))),"",$Q745-$R745))</f>
        <v/>
      </c>
      <c r="T745" s="12">
        <f>IF($A745="","",_xll.BDP($A745&amp;" Corp","YAS_BOND_YLD","YAS_YLD_FLAG=15","SETTLE_DT",$B$2))</f>
        <v/>
      </c>
      <c r="U745" s="15">
        <f>IF($A745="","",IF(OR(NOT(ISNUMBER($O745)),NOT(ISNUMBER($T745))),"",$O745-$T745))</f>
        <v/>
      </c>
      <c r="V745" s="13">
        <f>IF(NOT(ISNUMBER($S745)),"",COUNTIFS($G$7:$G$850,$G745,$S$7:$S$850,"&gt;"&amp;$S745)+COUNTIFS($G$7:$G745,$G745,$S$7:$S745,$S745))</f>
        <v/>
      </c>
      <c r="W745" s="13">
        <f>IF(NOT(ISNUMBER($S745)),"",COUNTIFS($G$7:$G$850,$G745,$S$7:$S$850,"&lt;"&amp;$S745)+COUNTIFS($G$7:$G745,$G745,$S$7:$S745,$S745))</f>
        <v/>
      </c>
      <c r="X745" s="8">
        <f>IF($V745="","",$G745&amp;"|"&amp;$V745)</f>
        <v/>
      </c>
      <c r="Y745" s="8">
        <f>IF($W745="","",$G745&amp;"|"&amp;$W745)</f>
        <v/>
      </c>
    </row>
    <row r="746">
      <c r="A746" s="16" t="inlineStr">
        <is>
          <t>ES00000126Z1</t>
        </is>
      </c>
      <c r="B746" s="17">
        <f>IF($A746="","",PROPER(_xll.BDP($A746&amp;" Corp","NAME")))</f>
        <v/>
      </c>
      <c r="C746" s="17">
        <f>IF($A746="","",IFERROR(INDEX(Company_desc!$B$2:$B$1144,MATCH($A746,Company_desc!$A$2:$A$1144,0)),IFERROR(INDEX(SYZ_static!$Q$2:$Q$806,MATCH($A746,SYZ_static!$A$2:$A$806,0)),"")))</f>
        <v/>
      </c>
      <c r="D746" s="17">
        <f>IF($A746="","",IFERROR(INDEX(SYZ_static!$B$2:$B$806,MATCH($A746,SYZ_static!$A$2:$A$806,0)),""))</f>
        <v/>
      </c>
      <c r="E746" s="17">
        <f>IF($A746="","",_xll.BDP($A746&amp;" Corp","INDUSTRY_SECTOR"))</f>
        <v/>
      </c>
      <c r="F746" s="17">
        <f>IF($A746="","",PROPER(_xll.BDP($A746&amp;" Corp","COUNTRY_FULL_NAME")))</f>
        <v/>
      </c>
      <c r="G746" s="17">
        <f>IF($A746="","",_xll.BDP($A746&amp;" Corp","CRNCY"))</f>
        <v/>
      </c>
      <c r="H746" s="17">
        <f>IF($A746="","",IFERROR(INDEX(SYZ_static!$T$2:$T$806,MATCH($A746,SYZ_static!$A$2:$A$806,0)),_xll.BDP($A746&amp;" Corp","RTG_SP")))</f>
        <v/>
      </c>
      <c r="I746" s="17">
        <f>IF($A746="","",IFERROR(INDEX(SYZ_static!$S$2:$S$806,MATCH($A746,SYZ_static!$A$2:$A$806,0)),""))</f>
        <v/>
      </c>
      <c r="J746" s="17">
        <f>IF($A746="","",_xll.BDP($A746&amp;" Corp","PAYMENT_RANK"))</f>
        <v/>
      </c>
      <c r="K746" s="18">
        <f>IF($A746="","",_xll.BDP($A746&amp;" Corp","CPN"))</f>
        <v/>
      </c>
      <c r="L746" s="19">
        <f>IF($A746="","",_xll.BDP($A746&amp;" Corp","MATURITY"))</f>
        <v/>
      </c>
      <c r="M746" s="20">
        <f>IF($A746="","",IFERROR(_xll.BDP($A746&amp;" Corp","MIN_PIECE")/1000,""))</f>
        <v/>
      </c>
      <c r="N746" s="21">
        <f>IF($A746="","",_xll.BDP($A746&amp;" Corp","PX_LAST"))</f>
        <v/>
      </c>
      <c r="O746" s="21">
        <f>IF($A746="","",_xll.BDP($A746&amp;" Corp","YAS_BOND_YLD","YAS_YLD_FLAG=15"))</f>
        <v/>
      </c>
      <c r="P746" s="21">
        <f>IF($A746="","",_xll.BDP($A746&amp;" Corp","YAS_MOD_DUR"))</f>
        <v/>
      </c>
      <c r="Q746" s="22">
        <f>IF($A746="","",_xll.BDP($A746&amp;" Corp","YAS_OAS_SPRD"))</f>
        <v/>
      </c>
      <c r="R746" s="22">
        <f>IF($A746="","",_xll.BDP($A746&amp;" Corp","YAS_OAS_SPRD","SETTLE_DT",$B$2))</f>
        <v/>
      </c>
      <c r="S746" s="23">
        <f>IF($A746="","",IF(OR(NOT(ISNUMBER($Q746)),NOT(ISNUMBER($R746))),"",$Q746-$R746))</f>
        <v/>
      </c>
      <c r="T746" s="21">
        <f>IF($A746="","",_xll.BDP($A746&amp;" Corp","YAS_BOND_YLD","YAS_YLD_FLAG=15","SETTLE_DT",$B$2))</f>
        <v/>
      </c>
      <c r="U746" s="24">
        <f>IF($A746="","",IF(OR(NOT(ISNUMBER($O746)),NOT(ISNUMBER($T746))),"",$O746-$T746))</f>
        <v/>
      </c>
      <c r="V746" s="22">
        <f>IF(NOT(ISNUMBER($S746)),"",COUNTIFS($G$7:$G$850,$G746,$S$7:$S$850,"&gt;"&amp;$S746)+COUNTIFS($G$7:$G746,$G746,$S$7:$S746,$S746))</f>
        <v/>
      </c>
      <c r="W746" s="22">
        <f>IF(NOT(ISNUMBER($S746)),"",COUNTIFS($G$7:$G$850,$G746,$S$7:$S$850,"&lt;"&amp;$S746)+COUNTIFS($G$7:$G746,$G746,$S$7:$S746,$S746))</f>
        <v/>
      </c>
      <c r="X746" s="17">
        <f>IF($V746="","",$G746&amp;"|"&amp;$V746)</f>
        <v/>
      </c>
      <c r="Y746" s="17">
        <f>IF($W746="","",$G746&amp;"|"&amp;$W746)</f>
        <v/>
      </c>
    </row>
    <row r="747">
      <c r="A747" s="7" t="inlineStr">
        <is>
          <t>XS1405766897</t>
        </is>
      </c>
      <c r="B747" s="8">
        <f>IF($A747="","",PROPER(_xll.BDP($A747&amp;" Corp","NAME")))</f>
        <v/>
      </c>
      <c r="C747" s="8">
        <f>IF($A747="","",IFERROR(INDEX(Company_desc!$B$2:$B$1144,MATCH($A747,Company_desc!$A$2:$A$1144,0)),IFERROR(INDEX(SYZ_static!$Q$2:$Q$806,MATCH($A747,SYZ_static!$A$2:$A$806,0)),"")))</f>
        <v/>
      </c>
      <c r="D747" s="8">
        <f>IF($A747="","",IFERROR(INDEX(SYZ_static!$B$2:$B$806,MATCH($A747,SYZ_static!$A$2:$A$806,0)),""))</f>
        <v/>
      </c>
      <c r="E747" s="8">
        <f>IF($A747="","",_xll.BDP($A747&amp;" Corp","INDUSTRY_SECTOR"))</f>
        <v/>
      </c>
      <c r="F747" s="8">
        <f>IF($A747="","",PROPER(_xll.BDP($A747&amp;" Corp","COUNTRY_FULL_NAME")))</f>
        <v/>
      </c>
      <c r="G747" s="8">
        <f>IF($A747="","",_xll.BDP($A747&amp;" Corp","CRNCY"))</f>
        <v/>
      </c>
      <c r="H747" s="8">
        <f>IF($A747="","",IFERROR(INDEX(SYZ_static!$T$2:$T$806,MATCH($A747,SYZ_static!$A$2:$A$806,0)),_xll.BDP($A747&amp;" Corp","RTG_SP")))</f>
        <v/>
      </c>
      <c r="I747" s="8">
        <f>IF($A747="","",IFERROR(INDEX(SYZ_static!$S$2:$S$806,MATCH($A747,SYZ_static!$A$2:$A$806,0)),""))</f>
        <v/>
      </c>
      <c r="J747" s="8">
        <f>IF($A747="","",_xll.BDP($A747&amp;" Corp","PAYMENT_RANK"))</f>
        <v/>
      </c>
      <c r="K747" s="9">
        <f>IF($A747="","",_xll.BDP($A747&amp;" Corp","CPN"))</f>
        <v/>
      </c>
      <c r="L747" s="10">
        <f>IF($A747="","",_xll.BDP($A747&amp;" Corp","MATURITY"))</f>
        <v/>
      </c>
      <c r="M747" s="11">
        <f>IF($A747="","",IFERROR(_xll.BDP($A747&amp;" Corp","MIN_PIECE")/1000,""))</f>
        <v/>
      </c>
      <c r="N747" s="12">
        <f>IF($A747="","",_xll.BDP($A747&amp;" Corp","PX_LAST"))</f>
        <v/>
      </c>
      <c r="O747" s="12">
        <f>IF($A747="","",_xll.BDP($A747&amp;" Corp","YAS_BOND_YLD","YAS_YLD_FLAG=15"))</f>
        <v/>
      </c>
      <c r="P747" s="12">
        <f>IF($A747="","",_xll.BDP($A747&amp;" Corp","YAS_MOD_DUR"))</f>
        <v/>
      </c>
      <c r="Q747" s="13">
        <f>IF($A747="","",_xll.BDP($A747&amp;" Corp","YAS_OAS_SPRD"))</f>
        <v/>
      </c>
      <c r="R747" s="13">
        <f>IF($A747="","",_xll.BDP($A747&amp;" Corp","YAS_OAS_SPRD","SETTLE_DT",$B$2))</f>
        <v/>
      </c>
      <c r="S747" s="14">
        <f>IF($A747="","",IF(OR(NOT(ISNUMBER($Q747)),NOT(ISNUMBER($R747))),"",$Q747-$R747))</f>
        <v/>
      </c>
      <c r="T747" s="12">
        <f>IF($A747="","",_xll.BDP($A747&amp;" Corp","YAS_BOND_YLD","YAS_YLD_FLAG=15","SETTLE_DT",$B$2))</f>
        <v/>
      </c>
      <c r="U747" s="15">
        <f>IF($A747="","",IF(OR(NOT(ISNUMBER($O747)),NOT(ISNUMBER($T747))),"",$O747-$T747))</f>
        <v/>
      </c>
      <c r="V747" s="13">
        <f>IF(NOT(ISNUMBER($S747)),"",COUNTIFS($G$7:$G$850,$G747,$S$7:$S$850,"&gt;"&amp;$S747)+COUNTIFS($G$7:$G747,$G747,$S$7:$S747,$S747))</f>
        <v/>
      </c>
      <c r="W747" s="13">
        <f>IF(NOT(ISNUMBER($S747)),"",COUNTIFS($G$7:$G$850,$G747,$S$7:$S$850,"&lt;"&amp;$S747)+COUNTIFS($G$7:$G747,$G747,$S$7:$S747,$S747))</f>
        <v/>
      </c>
      <c r="X747" s="8">
        <f>IF($V747="","",$G747&amp;"|"&amp;$V747)</f>
        <v/>
      </c>
      <c r="Y747" s="8">
        <f>IF($W747="","",$G747&amp;"|"&amp;$W747)</f>
        <v/>
      </c>
    </row>
    <row r="748">
      <c r="A748" s="16" t="inlineStr">
        <is>
          <t>USL20041AD89</t>
        </is>
      </c>
      <c r="B748" s="17">
        <f>IF($A748="","",PROPER(_xll.BDP($A748&amp;" Corp","NAME")))</f>
        <v/>
      </c>
      <c r="C748" s="17">
        <f>IF($A748="","",IFERROR(INDEX(Company_desc!$B$2:$B$1144,MATCH($A748,Company_desc!$A$2:$A$1144,0)),IFERROR(INDEX(SYZ_static!$Q$2:$Q$806,MATCH($A748,SYZ_static!$A$2:$A$806,0)),"")))</f>
        <v/>
      </c>
      <c r="D748" s="17">
        <f>IF($A748="","",IFERROR(INDEX(SYZ_static!$B$2:$B$806,MATCH($A748,SYZ_static!$A$2:$A$806,0)),""))</f>
        <v/>
      </c>
      <c r="E748" s="17">
        <f>IF($A748="","",_xll.BDP($A748&amp;" Corp","INDUSTRY_SECTOR"))</f>
        <v/>
      </c>
      <c r="F748" s="17">
        <f>IF($A748="","",PROPER(_xll.BDP($A748&amp;" Corp","COUNTRY_FULL_NAME")))</f>
        <v/>
      </c>
      <c r="G748" s="17">
        <f>IF($A748="","",_xll.BDP($A748&amp;" Corp","CRNCY"))</f>
        <v/>
      </c>
      <c r="H748" s="17">
        <f>IF($A748="","",IFERROR(INDEX(SYZ_static!$T$2:$T$806,MATCH($A748,SYZ_static!$A$2:$A$806,0)),_xll.BDP($A748&amp;" Corp","RTG_SP")))</f>
        <v/>
      </c>
      <c r="I748" s="17">
        <f>IF($A748="","",IFERROR(INDEX(SYZ_static!$S$2:$S$806,MATCH($A748,SYZ_static!$A$2:$A$806,0)),""))</f>
        <v/>
      </c>
      <c r="J748" s="17">
        <f>IF($A748="","",_xll.BDP($A748&amp;" Corp","PAYMENT_RANK"))</f>
        <v/>
      </c>
      <c r="K748" s="18">
        <f>IF($A748="","",_xll.BDP($A748&amp;" Corp","CPN"))</f>
        <v/>
      </c>
      <c r="L748" s="19">
        <f>IF($A748="","",_xll.BDP($A748&amp;" Corp","MATURITY"))</f>
        <v/>
      </c>
      <c r="M748" s="20">
        <f>IF($A748="","",IFERROR(_xll.BDP($A748&amp;" Corp","MIN_PIECE")/1000,""))</f>
        <v/>
      </c>
      <c r="N748" s="21">
        <f>IF($A748="","",_xll.BDP($A748&amp;" Corp","PX_LAST"))</f>
        <v/>
      </c>
      <c r="O748" s="21">
        <f>IF($A748="","",_xll.BDP($A748&amp;" Corp","YAS_BOND_YLD","YAS_YLD_FLAG=15"))</f>
        <v/>
      </c>
      <c r="P748" s="21">
        <f>IF($A748="","",_xll.BDP($A748&amp;" Corp","YAS_MOD_DUR"))</f>
        <v/>
      </c>
      <c r="Q748" s="22">
        <f>IF($A748="","",_xll.BDP($A748&amp;" Corp","YAS_OAS_SPRD"))</f>
        <v/>
      </c>
      <c r="R748" s="22">
        <f>IF($A748="","",_xll.BDP($A748&amp;" Corp","YAS_OAS_SPRD","SETTLE_DT",$B$2))</f>
        <v/>
      </c>
      <c r="S748" s="23">
        <f>IF($A748="","",IF(OR(NOT(ISNUMBER($Q748)),NOT(ISNUMBER($R748))),"",$Q748-$R748))</f>
        <v/>
      </c>
      <c r="T748" s="21">
        <f>IF($A748="","",_xll.BDP($A748&amp;" Corp","YAS_BOND_YLD","YAS_YLD_FLAG=15","SETTLE_DT",$B$2))</f>
        <v/>
      </c>
      <c r="U748" s="24">
        <f>IF($A748="","",IF(OR(NOT(ISNUMBER($O748)),NOT(ISNUMBER($T748))),"",$O748-$T748))</f>
        <v/>
      </c>
      <c r="V748" s="22">
        <f>IF(NOT(ISNUMBER($S748)),"",COUNTIFS($G$7:$G$850,$G748,$S$7:$S$850,"&gt;"&amp;$S748)+COUNTIFS($G$7:$G748,$G748,$S$7:$S748,$S748))</f>
        <v/>
      </c>
      <c r="W748" s="22">
        <f>IF(NOT(ISNUMBER($S748)),"",COUNTIFS($G$7:$G$850,$G748,$S$7:$S$850,"&lt;"&amp;$S748)+COUNTIFS($G$7:$G748,$G748,$S$7:$S748,$S748))</f>
        <v/>
      </c>
      <c r="X748" s="17">
        <f>IF($V748="","",$G748&amp;"|"&amp;$V748)</f>
        <v/>
      </c>
      <c r="Y748" s="17">
        <f>IF($W748="","",$G748&amp;"|"&amp;$W748)</f>
        <v/>
      </c>
    </row>
    <row r="749">
      <c r="A749" s="7" t="inlineStr">
        <is>
          <t>USP3631MAA38</t>
        </is>
      </c>
      <c r="B749" s="8">
        <f>IF($A749="","",PROPER(_xll.BDP($A749&amp;" Corp","NAME")))</f>
        <v/>
      </c>
      <c r="C749" s="8">
        <f>IF($A749="","",IFERROR(INDEX(Company_desc!$B$2:$B$1144,MATCH($A749,Company_desc!$A$2:$A$1144,0)),IFERROR(INDEX(SYZ_static!$Q$2:$Q$806,MATCH($A749,SYZ_static!$A$2:$A$806,0)),"")))</f>
        <v/>
      </c>
      <c r="D749" s="8">
        <f>IF($A749="","",IFERROR(INDEX(SYZ_static!$B$2:$B$806,MATCH($A749,SYZ_static!$A$2:$A$806,0)),""))</f>
        <v/>
      </c>
      <c r="E749" s="8">
        <f>IF($A749="","",_xll.BDP($A749&amp;" Corp","INDUSTRY_SECTOR"))</f>
        <v/>
      </c>
      <c r="F749" s="8">
        <f>IF($A749="","",PROPER(_xll.BDP($A749&amp;" Corp","COUNTRY_FULL_NAME")))</f>
        <v/>
      </c>
      <c r="G749" s="8">
        <f>IF($A749="","",_xll.BDP($A749&amp;" Corp","CRNCY"))</f>
        <v/>
      </c>
      <c r="H749" s="8">
        <f>IF($A749="","",IFERROR(INDEX(SYZ_static!$T$2:$T$806,MATCH($A749,SYZ_static!$A$2:$A$806,0)),_xll.BDP($A749&amp;" Corp","RTG_SP")))</f>
        <v/>
      </c>
      <c r="I749" s="8">
        <f>IF($A749="","",IFERROR(INDEX(SYZ_static!$S$2:$S$806,MATCH($A749,SYZ_static!$A$2:$A$806,0)),""))</f>
        <v/>
      </c>
      <c r="J749" s="8">
        <f>IF($A749="","",_xll.BDP($A749&amp;" Corp","PAYMENT_RANK"))</f>
        <v/>
      </c>
      <c r="K749" s="9">
        <f>IF($A749="","",_xll.BDP($A749&amp;" Corp","CPN"))</f>
        <v/>
      </c>
      <c r="L749" s="10">
        <f>IF($A749="","",_xll.BDP($A749&amp;" Corp","MATURITY"))</f>
        <v/>
      </c>
      <c r="M749" s="11">
        <f>IF($A749="","",IFERROR(_xll.BDP($A749&amp;" Corp","MIN_PIECE")/1000,""))</f>
        <v/>
      </c>
      <c r="N749" s="12">
        <f>IF($A749="","",_xll.BDP($A749&amp;" Corp","PX_LAST"))</f>
        <v/>
      </c>
      <c r="O749" s="12">
        <f>IF($A749="","",_xll.BDP($A749&amp;" Corp","YAS_BOND_YLD","YAS_YLD_FLAG=15"))</f>
        <v/>
      </c>
      <c r="P749" s="12">
        <f>IF($A749="","",_xll.BDP($A749&amp;" Corp","YAS_MOD_DUR"))</f>
        <v/>
      </c>
      <c r="Q749" s="13">
        <f>IF($A749="","",_xll.BDP($A749&amp;" Corp","YAS_OAS_SPRD"))</f>
        <v/>
      </c>
      <c r="R749" s="13">
        <f>IF($A749="","",_xll.BDP($A749&amp;" Corp","YAS_OAS_SPRD","SETTLE_DT",$B$2))</f>
        <v/>
      </c>
      <c r="S749" s="14">
        <f>IF($A749="","",IF(OR(NOT(ISNUMBER($Q749)),NOT(ISNUMBER($R749))),"",$Q749-$R749))</f>
        <v/>
      </c>
      <c r="T749" s="12">
        <f>IF($A749="","",_xll.BDP($A749&amp;" Corp","YAS_BOND_YLD","YAS_YLD_FLAG=15","SETTLE_DT",$B$2))</f>
        <v/>
      </c>
      <c r="U749" s="15">
        <f>IF($A749="","",IF(OR(NOT(ISNUMBER($O749)),NOT(ISNUMBER($T749))),"",$O749-$T749))</f>
        <v/>
      </c>
      <c r="V749" s="13">
        <f>IF(NOT(ISNUMBER($S749)),"",COUNTIFS($G$7:$G$850,$G749,$S$7:$S$850,"&gt;"&amp;$S749)+COUNTIFS($G$7:$G749,$G749,$S$7:$S749,$S749))</f>
        <v/>
      </c>
      <c r="W749" s="13">
        <f>IF(NOT(ISNUMBER($S749)),"",COUNTIFS($G$7:$G$850,$G749,$S$7:$S$850,"&lt;"&amp;$S749)+COUNTIFS($G$7:$G749,$G749,$S$7:$S749,$S749))</f>
        <v/>
      </c>
      <c r="X749" s="8">
        <f>IF($V749="","",$G749&amp;"|"&amp;$V749)</f>
        <v/>
      </c>
      <c r="Y749" s="8">
        <f>IF($W749="","",$G749&amp;"|"&amp;$W749)</f>
        <v/>
      </c>
    </row>
    <row r="750">
      <c r="A750" s="16" t="inlineStr">
        <is>
          <t>DE000DB7XJP9</t>
        </is>
      </c>
      <c r="B750" s="17">
        <f>IF($A750="","",PROPER(_xll.BDP($A750&amp;" Corp","NAME")))</f>
        <v/>
      </c>
      <c r="C750" s="17">
        <f>IF($A750="","",IFERROR(INDEX(Company_desc!$B$2:$B$1144,MATCH($A750,Company_desc!$A$2:$A$1144,0)),IFERROR(INDEX(SYZ_static!$Q$2:$Q$806,MATCH($A750,SYZ_static!$A$2:$A$806,0)),"")))</f>
        <v/>
      </c>
      <c r="D750" s="17">
        <f>IF($A750="","",IFERROR(INDEX(SYZ_static!$B$2:$B$806,MATCH($A750,SYZ_static!$A$2:$A$806,0)),""))</f>
        <v/>
      </c>
      <c r="E750" s="17">
        <f>IF($A750="","",_xll.BDP($A750&amp;" Corp","INDUSTRY_SECTOR"))</f>
        <v/>
      </c>
      <c r="F750" s="17">
        <f>IF($A750="","",PROPER(_xll.BDP($A750&amp;" Corp","COUNTRY_FULL_NAME")))</f>
        <v/>
      </c>
      <c r="G750" s="17">
        <f>IF($A750="","",_xll.BDP($A750&amp;" Corp","CRNCY"))</f>
        <v/>
      </c>
      <c r="H750" s="17">
        <f>IF($A750="","",IFERROR(INDEX(SYZ_static!$T$2:$T$806,MATCH($A750,SYZ_static!$A$2:$A$806,0)),_xll.BDP($A750&amp;" Corp","RTG_SP")))</f>
        <v/>
      </c>
      <c r="I750" s="17">
        <f>IF($A750="","",IFERROR(INDEX(SYZ_static!$S$2:$S$806,MATCH($A750,SYZ_static!$A$2:$A$806,0)),""))</f>
        <v/>
      </c>
      <c r="J750" s="17">
        <f>IF($A750="","",_xll.BDP($A750&amp;" Corp","PAYMENT_RANK"))</f>
        <v/>
      </c>
      <c r="K750" s="18">
        <f>IF($A750="","",_xll.BDP($A750&amp;" Corp","CPN"))</f>
        <v/>
      </c>
      <c r="L750" s="19">
        <f>IF($A750="","",_xll.BDP($A750&amp;" Corp","MATURITY"))</f>
        <v/>
      </c>
      <c r="M750" s="20">
        <f>IF($A750="","",IFERROR(_xll.BDP($A750&amp;" Corp","MIN_PIECE")/1000,""))</f>
        <v/>
      </c>
      <c r="N750" s="21">
        <f>IF($A750="","",_xll.BDP($A750&amp;" Corp","PX_LAST"))</f>
        <v/>
      </c>
      <c r="O750" s="21">
        <f>IF($A750="","",_xll.BDP($A750&amp;" Corp","YAS_BOND_YLD","YAS_YLD_FLAG=15"))</f>
        <v/>
      </c>
      <c r="P750" s="21">
        <f>IF($A750="","",_xll.BDP($A750&amp;" Corp","YAS_MOD_DUR"))</f>
        <v/>
      </c>
      <c r="Q750" s="22">
        <f>IF($A750="","",_xll.BDP($A750&amp;" Corp","YAS_OAS_SPRD"))</f>
        <v/>
      </c>
      <c r="R750" s="22">
        <f>IF($A750="","",_xll.BDP($A750&amp;" Corp","YAS_OAS_SPRD","SETTLE_DT",$B$2))</f>
        <v/>
      </c>
      <c r="S750" s="23">
        <f>IF($A750="","",IF(OR(NOT(ISNUMBER($Q750)),NOT(ISNUMBER($R750))),"",$Q750-$R750))</f>
        <v/>
      </c>
      <c r="T750" s="21">
        <f>IF($A750="","",_xll.BDP($A750&amp;" Corp","YAS_BOND_YLD","YAS_YLD_FLAG=15","SETTLE_DT",$B$2))</f>
        <v/>
      </c>
      <c r="U750" s="24">
        <f>IF($A750="","",IF(OR(NOT(ISNUMBER($O750)),NOT(ISNUMBER($T750))),"",$O750-$T750))</f>
        <v/>
      </c>
      <c r="V750" s="22">
        <f>IF(NOT(ISNUMBER($S750)),"",COUNTIFS($G$7:$G$850,$G750,$S$7:$S$850,"&gt;"&amp;$S750)+COUNTIFS($G$7:$G750,$G750,$S$7:$S750,$S750))</f>
        <v/>
      </c>
      <c r="W750" s="22">
        <f>IF(NOT(ISNUMBER($S750)),"",COUNTIFS($G$7:$G$850,$G750,$S$7:$S$850,"&lt;"&amp;$S750)+COUNTIFS($G$7:$G750,$G750,$S$7:$S750,$S750))</f>
        <v/>
      </c>
      <c r="X750" s="17">
        <f>IF($V750="","",$G750&amp;"|"&amp;$V750)</f>
        <v/>
      </c>
      <c r="Y750" s="17">
        <f>IF($W750="","",$G750&amp;"|"&amp;$W750)</f>
        <v/>
      </c>
    </row>
    <row r="751">
      <c r="A751" s="7" t="inlineStr">
        <is>
          <t>XS1959498244</t>
        </is>
      </c>
      <c r="B751" s="8">
        <f>IF($A751="","",PROPER(_xll.BDP($A751&amp;" Corp","NAME")))</f>
        <v/>
      </c>
      <c r="C751" s="8">
        <f>IF($A751="","",IFERROR(INDEX(Company_desc!$B$2:$B$1144,MATCH($A751,Company_desc!$A$2:$A$1144,0)),IFERROR(INDEX(SYZ_static!$Q$2:$Q$806,MATCH($A751,SYZ_static!$A$2:$A$806,0)),"")))</f>
        <v/>
      </c>
      <c r="D751" s="8">
        <f>IF($A751="","",IFERROR(INDEX(SYZ_static!$B$2:$B$806,MATCH($A751,SYZ_static!$A$2:$A$806,0)),""))</f>
        <v/>
      </c>
      <c r="E751" s="8">
        <f>IF($A751="","",_xll.BDP($A751&amp;" Corp","INDUSTRY_SECTOR"))</f>
        <v/>
      </c>
      <c r="F751" s="8">
        <f>IF($A751="","",PROPER(_xll.BDP($A751&amp;" Corp","COUNTRY_FULL_NAME")))</f>
        <v/>
      </c>
      <c r="G751" s="8">
        <f>IF($A751="","",_xll.BDP($A751&amp;" Corp","CRNCY"))</f>
        <v/>
      </c>
      <c r="H751" s="8">
        <f>IF($A751="","",IFERROR(INDEX(SYZ_static!$T$2:$T$806,MATCH($A751,SYZ_static!$A$2:$A$806,0)),_xll.BDP($A751&amp;" Corp","RTG_SP")))</f>
        <v/>
      </c>
      <c r="I751" s="8">
        <f>IF($A751="","",IFERROR(INDEX(SYZ_static!$S$2:$S$806,MATCH($A751,SYZ_static!$A$2:$A$806,0)),""))</f>
        <v/>
      </c>
      <c r="J751" s="8">
        <f>IF($A751="","",_xll.BDP($A751&amp;" Corp","PAYMENT_RANK"))</f>
        <v/>
      </c>
      <c r="K751" s="9">
        <f>IF($A751="","",_xll.BDP($A751&amp;" Corp","CPN"))</f>
        <v/>
      </c>
      <c r="L751" s="10">
        <f>IF($A751="","",_xll.BDP($A751&amp;" Corp","MATURITY"))</f>
        <v/>
      </c>
      <c r="M751" s="11">
        <f>IF($A751="","",IFERROR(_xll.BDP($A751&amp;" Corp","MIN_PIECE")/1000,""))</f>
        <v/>
      </c>
      <c r="N751" s="12">
        <f>IF($A751="","",_xll.BDP($A751&amp;" Corp","PX_LAST"))</f>
        <v/>
      </c>
      <c r="O751" s="12">
        <f>IF($A751="","",_xll.BDP($A751&amp;" Corp","YAS_BOND_YLD","YAS_YLD_FLAG=15"))</f>
        <v/>
      </c>
      <c r="P751" s="12">
        <f>IF($A751="","",_xll.BDP($A751&amp;" Corp","YAS_MOD_DUR"))</f>
        <v/>
      </c>
      <c r="Q751" s="13">
        <f>IF($A751="","",_xll.BDP($A751&amp;" Corp","YAS_OAS_SPRD"))</f>
        <v/>
      </c>
      <c r="R751" s="13">
        <f>IF($A751="","",_xll.BDP($A751&amp;" Corp","YAS_OAS_SPRD","SETTLE_DT",$B$2))</f>
        <v/>
      </c>
      <c r="S751" s="14">
        <f>IF($A751="","",IF(OR(NOT(ISNUMBER($Q751)),NOT(ISNUMBER($R751))),"",$Q751-$R751))</f>
        <v/>
      </c>
      <c r="T751" s="12">
        <f>IF($A751="","",_xll.BDP($A751&amp;" Corp","YAS_BOND_YLD","YAS_YLD_FLAG=15","SETTLE_DT",$B$2))</f>
        <v/>
      </c>
      <c r="U751" s="15">
        <f>IF($A751="","",IF(OR(NOT(ISNUMBER($O751)),NOT(ISNUMBER($T751))),"",$O751-$T751))</f>
        <v/>
      </c>
      <c r="V751" s="13">
        <f>IF(NOT(ISNUMBER($S751)),"",COUNTIFS($G$7:$G$850,$G751,$S$7:$S$850,"&gt;"&amp;$S751)+COUNTIFS($G$7:$G751,$G751,$S$7:$S751,$S751))</f>
        <v/>
      </c>
      <c r="W751" s="13">
        <f>IF(NOT(ISNUMBER($S751)),"",COUNTIFS($G$7:$G$850,$G751,$S$7:$S$850,"&lt;"&amp;$S751)+COUNTIFS($G$7:$G751,$G751,$S$7:$S751,$S751))</f>
        <v/>
      </c>
      <c r="X751" s="8">
        <f>IF($V751="","",$G751&amp;"|"&amp;$V751)</f>
        <v/>
      </c>
      <c r="Y751" s="8">
        <f>IF($W751="","",$G751&amp;"|"&amp;$W751)</f>
        <v/>
      </c>
    </row>
    <row r="752">
      <c r="A752" s="16" t="inlineStr">
        <is>
          <t>XS1813724603</t>
        </is>
      </c>
      <c r="B752" s="17">
        <f>IF($A752="","",PROPER(_xll.BDP($A752&amp;" Corp","NAME")))</f>
        <v/>
      </c>
      <c r="C752" s="17">
        <f>IF($A752="","",IFERROR(INDEX(Company_desc!$B$2:$B$1144,MATCH($A752,Company_desc!$A$2:$A$1144,0)),IFERROR(INDEX(SYZ_static!$Q$2:$Q$806,MATCH($A752,SYZ_static!$A$2:$A$806,0)),"")))</f>
        <v/>
      </c>
      <c r="D752" s="17">
        <f>IF($A752="","",IFERROR(INDEX(SYZ_static!$B$2:$B$806,MATCH($A752,SYZ_static!$A$2:$A$806,0)),""))</f>
        <v/>
      </c>
      <c r="E752" s="17">
        <f>IF($A752="","",_xll.BDP($A752&amp;" Corp","INDUSTRY_SECTOR"))</f>
        <v/>
      </c>
      <c r="F752" s="17">
        <f>IF($A752="","",PROPER(_xll.BDP($A752&amp;" Corp","COUNTRY_FULL_NAME")))</f>
        <v/>
      </c>
      <c r="G752" s="17">
        <f>IF($A752="","",_xll.BDP($A752&amp;" Corp","CRNCY"))</f>
        <v/>
      </c>
      <c r="H752" s="17">
        <f>IF($A752="","",IFERROR(INDEX(SYZ_static!$T$2:$T$806,MATCH($A752,SYZ_static!$A$2:$A$806,0)),_xll.BDP($A752&amp;" Corp","RTG_SP")))</f>
        <v/>
      </c>
      <c r="I752" s="17">
        <f>IF($A752="","",IFERROR(INDEX(SYZ_static!$S$2:$S$806,MATCH($A752,SYZ_static!$A$2:$A$806,0)),""))</f>
        <v/>
      </c>
      <c r="J752" s="17">
        <f>IF($A752="","",_xll.BDP($A752&amp;" Corp","PAYMENT_RANK"))</f>
        <v/>
      </c>
      <c r="K752" s="18">
        <f>IF($A752="","",_xll.BDP($A752&amp;" Corp","CPN"))</f>
        <v/>
      </c>
      <c r="L752" s="19">
        <f>IF($A752="","",_xll.BDP($A752&amp;" Corp","MATURITY"))</f>
        <v/>
      </c>
      <c r="M752" s="20">
        <f>IF($A752="","",IFERROR(_xll.BDP($A752&amp;" Corp","MIN_PIECE")/1000,""))</f>
        <v/>
      </c>
      <c r="N752" s="21">
        <f>IF($A752="","",_xll.BDP($A752&amp;" Corp","PX_LAST"))</f>
        <v/>
      </c>
      <c r="O752" s="21">
        <f>IF($A752="","",_xll.BDP($A752&amp;" Corp","YAS_BOND_YLD","YAS_YLD_FLAG=15"))</f>
        <v/>
      </c>
      <c r="P752" s="21">
        <f>IF($A752="","",_xll.BDP($A752&amp;" Corp","YAS_MOD_DUR"))</f>
        <v/>
      </c>
      <c r="Q752" s="22">
        <f>IF($A752="","",_xll.BDP($A752&amp;" Corp","YAS_OAS_SPRD"))</f>
        <v/>
      </c>
      <c r="R752" s="22">
        <f>IF($A752="","",_xll.BDP($A752&amp;" Corp","YAS_OAS_SPRD","SETTLE_DT",$B$2))</f>
        <v/>
      </c>
      <c r="S752" s="23">
        <f>IF($A752="","",IF(OR(NOT(ISNUMBER($Q752)),NOT(ISNUMBER($R752))),"",$Q752-$R752))</f>
        <v/>
      </c>
      <c r="T752" s="21">
        <f>IF($A752="","",_xll.BDP($A752&amp;" Corp","YAS_BOND_YLD","YAS_YLD_FLAG=15","SETTLE_DT",$B$2))</f>
        <v/>
      </c>
      <c r="U752" s="24">
        <f>IF($A752="","",IF(OR(NOT(ISNUMBER($O752)),NOT(ISNUMBER($T752))),"",$O752-$T752))</f>
        <v/>
      </c>
      <c r="V752" s="22">
        <f>IF(NOT(ISNUMBER($S752)),"",COUNTIFS($G$7:$G$850,$G752,$S$7:$S$850,"&gt;"&amp;$S752)+COUNTIFS($G$7:$G752,$G752,$S$7:$S752,$S752))</f>
        <v/>
      </c>
      <c r="W752" s="22">
        <f>IF(NOT(ISNUMBER($S752)),"",COUNTIFS($G$7:$G$850,$G752,$S$7:$S$850,"&lt;"&amp;$S752)+COUNTIFS($G$7:$G752,$G752,$S$7:$S752,$S752))</f>
        <v/>
      </c>
      <c r="X752" s="17">
        <f>IF($V752="","",$G752&amp;"|"&amp;$V752)</f>
        <v/>
      </c>
      <c r="Y752" s="17">
        <f>IF($W752="","",$G752&amp;"|"&amp;$W752)</f>
        <v/>
      </c>
    </row>
    <row r="753">
      <c r="A753" s="7" t="inlineStr">
        <is>
          <t>US25160PAS65</t>
        </is>
      </c>
      <c r="B753" s="8">
        <f>IF($A753="","",PROPER(_xll.BDP($A753&amp;" Corp","NAME")))</f>
        <v/>
      </c>
      <c r="C753" s="8">
        <f>IF($A753="","",IFERROR(INDEX(Company_desc!$B$2:$B$1144,MATCH($A753,Company_desc!$A$2:$A$1144,0)),IFERROR(INDEX(SYZ_static!$Q$2:$Q$806,MATCH($A753,SYZ_static!$A$2:$A$806,0)),"")))</f>
        <v/>
      </c>
      <c r="D753" s="8">
        <f>IF($A753="","",IFERROR(INDEX(SYZ_static!$B$2:$B$806,MATCH($A753,SYZ_static!$A$2:$A$806,0)),""))</f>
        <v/>
      </c>
      <c r="E753" s="8">
        <f>IF($A753="","",_xll.BDP($A753&amp;" Corp","INDUSTRY_SECTOR"))</f>
        <v/>
      </c>
      <c r="F753" s="8">
        <f>IF($A753="","",PROPER(_xll.BDP($A753&amp;" Corp","COUNTRY_FULL_NAME")))</f>
        <v/>
      </c>
      <c r="G753" s="8">
        <f>IF($A753="","",_xll.BDP($A753&amp;" Corp","CRNCY"))</f>
        <v/>
      </c>
      <c r="H753" s="8">
        <f>IF($A753="","",IFERROR(INDEX(SYZ_static!$T$2:$T$806,MATCH($A753,SYZ_static!$A$2:$A$806,0)),_xll.BDP($A753&amp;" Corp","RTG_SP")))</f>
        <v/>
      </c>
      <c r="I753" s="8">
        <f>IF($A753="","",IFERROR(INDEX(SYZ_static!$S$2:$S$806,MATCH($A753,SYZ_static!$A$2:$A$806,0)),""))</f>
        <v/>
      </c>
      <c r="J753" s="8">
        <f>IF($A753="","",_xll.BDP($A753&amp;" Corp","PAYMENT_RANK"))</f>
        <v/>
      </c>
      <c r="K753" s="9">
        <f>IF($A753="","",_xll.BDP($A753&amp;" Corp","CPN"))</f>
        <v/>
      </c>
      <c r="L753" s="10">
        <f>IF($A753="","",_xll.BDP($A753&amp;" Corp","MATURITY"))</f>
        <v/>
      </c>
      <c r="M753" s="11">
        <f>IF($A753="","",IFERROR(_xll.BDP($A753&amp;" Corp","MIN_PIECE")/1000,""))</f>
        <v/>
      </c>
      <c r="N753" s="12">
        <f>IF($A753="","",_xll.BDP($A753&amp;" Corp","PX_LAST"))</f>
        <v/>
      </c>
      <c r="O753" s="12">
        <f>IF($A753="","",_xll.BDP($A753&amp;" Corp","YAS_BOND_YLD","YAS_YLD_FLAG=15"))</f>
        <v/>
      </c>
      <c r="P753" s="12">
        <f>IF($A753="","",_xll.BDP($A753&amp;" Corp","YAS_MOD_DUR"))</f>
        <v/>
      </c>
      <c r="Q753" s="13">
        <f>IF($A753="","",_xll.BDP($A753&amp;" Corp","YAS_OAS_SPRD"))</f>
        <v/>
      </c>
      <c r="R753" s="13">
        <f>IF($A753="","",_xll.BDP($A753&amp;" Corp","YAS_OAS_SPRD","SETTLE_DT",$B$2))</f>
        <v/>
      </c>
      <c r="S753" s="14">
        <f>IF($A753="","",IF(OR(NOT(ISNUMBER($Q753)),NOT(ISNUMBER($R753))),"",$Q753-$R753))</f>
        <v/>
      </c>
      <c r="T753" s="12">
        <f>IF($A753="","",_xll.BDP($A753&amp;" Corp","YAS_BOND_YLD","YAS_YLD_FLAG=15","SETTLE_DT",$B$2))</f>
        <v/>
      </c>
      <c r="U753" s="15">
        <f>IF($A753="","",IF(OR(NOT(ISNUMBER($O753)),NOT(ISNUMBER($T753))),"",$O753-$T753))</f>
        <v/>
      </c>
      <c r="V753" s="13">
        <f>IF(NOT(ISNUMBER($S753)),"",COUNTIFS($G$7:$G$850,$G753,$S$7:$S$850,"&gt;"&amp;$S753)+COUNTIFS($G$7:$G753,$G753,$S$7:$S753,$S753))</f>
        <v/>
      </c>
      <c r="W753" s="13">
        <f>IF(NOT(ISNUMBER($S753)),"",COUNTIFS($G$7:$G$850,$G753,$S$7:$S$850,"&lt;"&amp;$S753)+COUNTIFS($G$7:$G753,$G753,$S$7:$S753,$S753))</f>
        <v/>
      </c>
      <c r="X753" s="8">
        <f>IF($V753="","",$G753&amp;"|"&amp;$V753)</f>
        <v/>
      </c>
      <c r="Y753" s="8">
        <f>IF($W753="","",$G753&amp;"|"&amp;$W753)</f>
        <v/>
      </c>
    </row>
    <row r="754">
      <c r="A754" s="16" t="inlineStr">
        <is>
          <t>US30303MAC64</t>
        </is>
      </c>
      <c r="B754" s="17">
        <f>IF($A754="","",PROPER(_xll.BDP($A754&amp;" Corp","NAME")))</f>
        <v/>
      </c>
      <c r="C754" s="17">
        <f>IF($A754="","",IFERROR(INDEX(Company_desc!$B$2:$B$1144,MATCH($A754,Company_desc!$A$2:$A$1144,0)),IFERROR(INDEX(SYZ_static!$Q$2:$Q$806,MATCH($A754,SYZ_static!$A$2:$A$806,0)),"")))</f>
        <v/>
      </c>
      <c r="D754" s="17">
        <f>IF($A754="","",IFERROR(INDEX(SYZ_static!$B$2:$B$806,MATCH($A754,SYZ_static!$A$2:$A$806,0)),""))</f>
        <v/>
      </c>
      <c r="E754" s="17">
        <f>IF($A754="","",_xll.BDP($A754&amp;" Corp","INDUSTRY_SECTOR"))</f>
        <v/>
      </c>
      <c r="F754" s="17">
        <f>IF($A754="","",PROPER(_xll.BDP($A754&amp;" Corp","COUNTRY_FULL_NAME")))</f>
        <v/>
      </c>
      <c r="G754" s="17">
        <f>IF($A754="","",_xll.BDP($A754&amp;" Corp","CRNCY"))</f>
        <v/>
      </c>
      <c r="H754" s="17">
        <f>IF($A754="","",IFERROR(INDEX(SYZ_static!$T$2:$T$806,MATCH($A754,SYZ_static!$A$2:$A$806,0)),_xll.BDP($A754&amp;" Corp","RTG_SP")))</f>
        <v/>
      </c>
      <c r="I754" s="17">
        <f>IF($A754="","",IFERROR(INDEX(SYZ_static!$S$2:$S$806,MATCH($A754,SYZ_static!$A$2:$A$806,0)),""))</f>
        <v/>
      </c>
      <c r="J754" s="17">
        <f>IF($A754="","",_xll.BDP($A754&amp;" Corp","PAYMENT_RANK"))</f>
        <v/>
      </c>
      <c r="K754" s="18">
        <f>IF($A754="","",_xll.BDP($A754&amp;" Corp","CPN"))</f>
        <v/>
      </c>
      <c r="L754" s="19">
        <f>IF($A754="","",_xll.BDP($A754&amp;" Corp","MATURITY"))</f>
        <v/>
      </c>
      <c r="M754" s="20">
        <f>IF($A754="","",IFERROR(_xll.BDP($A754&amp;" Corp","MIN_PIECE")/1000,""))</f>
        <v/>
      </c>
      <c r="N754" s="21">
        <f>IF($A754="","",_xll.BDP($A754&amp;" Corp","PX_LAST"))</f>
        <v/>
      </c>
      <c r="O754" s="21">
        <f>IF($A754="","",_xll.BDP($A754&amp;" Corp","YAS_BOND_YLD","YAS_YLD_FLAG=15"))</f>
        <v/>
      </c>
      <c r="P754" s="21">
        <f>IF($A754="","",_xll.BDP($A754&amp;" Corp","YAS_MOD_DUR"))</f>
        <v/>
      </c>
      <c r="Q754" s="22">
        <f>IF($A754="","",_xll.BDP($A754&amp;" Corp","YAS_OAS_SPRD"))</f>
        <v/>
      </c>
      <c r="R754" s="22">
        <f>IF($A754="","",_xll.BDP($A754&amp;" Corp","YAS_OAS_SPRD","SETTLE_DT",$B$2))</f>
        <v/>
      </c>
      <c r="S754" s="23">
        <f>IF($A754="","",IF(OR(NOT(ISNUMBER($Q754)),NOT(ISNUMBER($R754))),"",$Q754-$R754))</f>
        <v/>
      </c>
      <c r="T754" s="21">
        <f>IF($A754="","",_xll.BDP($A754&amp;" Corp","YAS_BOND_YLD","YAS_YLD_FLAG=15","SETTLE_DT",$B$2))</f>
        <v/>
      </c>
      <c r="U754" s="24">
        <f>IF($A754="","",IF(OR(NOT(ISNUMBER($O754)),NOT(ISNUMBER($T754))),"",$O754-$T754))</f>
        <v/>
      </c>
      <c r="V754" s="22">
        <f>IF(NOT(ISNUMBER($S754)),"",COUNTIFS($G$7:$G$850,$G754,$S$7:$S$850,"&gt;"&amp;$S754)+COUNTIFS($G$7:$G754,$G754,$S$7:$S754,$S754))</f>
        <v/>
      </c>
      <c r="W754" s="22">
        <f>IF(NOT(ISNUMBER($S754)),"",COUNTIFS($G$7:$G$850,$G754,$S$7:$S$850,"&lt;"&amp;$S754)+COUNTIFS($G$7:$G754,$G754,$S$7:$S754,$S754))</f>
        <v/>
      </c>
      <c r="X754" s="17">
        <f>IF($V754="","",$G754&amp;"|"&amp;$V754)</f>
        <v/>
      </c>
      <c r="Y754" s="17">
        <f>IF($W754="","",$G754&amp;"|"&amp;$W754)</f>
        <v/>
      </c>
    </row>
    <row r="755">
      <c r="A755" s="7" t="inlineStr">
        <is>
          <t>US92343VHF40</t>
        </is>
      </c>
      <c r="B755" s="8">
        <f>IF($A755="","",PROPER(_xll.BDP($A755&amp;" Corp","NAME")))</f>
        <v/>
      </c>
      <c r="C755" s="8">
        <f>IF($A755="","",IFERROR(INDEX(Company_desc!$B$2:$B$1144,MATCH($A755,Company_desc!$A$2:$A$1144,0)),IFERROR(INDEX(SYZ_static!$Q$2:$Q$806,MATCH($A755,SYZ_static!$A$2:$A$806,0)),"")))</f>
        <v/>
      </c>
      <c r="D755" s="8">
        <f>IF($A755="","",IFERROR(INDEX(SYZ_static!$B$2:$B$806,MATCH($A755,SYZ_static!$A$2:$A$806,0)),""))</f>
        <v/>
      </c>
      <c r="E755" s="8">
        <f>IF($A755="","",_xll.BDP($A755&amp;" Corp","INDUSTRY_SECTOR"))</f>
        <v/>
      </c>
      <c r="F755" s="8">
        <f>IF($A755="","",PROPER(_xll.BDP($A755&amp;" Corp","COUNTRY_FULL_NAME")))</f>
        <v/>
      </c>
      <c r="G755" s="8">
        <f>IF($A755="","",_xll.BDP($A755&amp;" Corp","CRNCY"))</f>
        <v/>
      </c>
      <c r="H755" s="8">
        <f>IF($A755="","",IFERROR(INDEX(SYZ_static!$T$2:$T$806,MATCH($A755,SYZ_static!$A$2:$A$806,0)),_xll.BDP($A755&amp;" Corp","RTG_SP")))</f>
        <v/>
      </c>
      <c r="I755" s="8">
        <f>IF($A755="","",IFERROR(INDEX(SYZ_static!$S$2:$S$806,MATCH($A755,SYZ_static!$A$2:$A$806,0)),""))</f>
        <v/>
      </c>
      <c r="J755" s="8">
        <f>IF($A755="","",_xll.BDP($A755&amp;" Corp","PAYMENT_RANK"))</f>
        <v/>
      </c>
      <c r="K755" s="9">
        <f>IF($A755="","",_xll.BDP($A755&amp;" Corp","CPN"))</f>
        <v/>
      </c>
      <c r="L755" s="10">
        <f>IF($A755="","",_xll.BDP($A755&amp;" Corp","MATURITY"))</f>
        <v/>
      </c>
      <c r="M755" s="11">
        <f>IF($A755="","",IFERROR(_xll.BDP($A755&amp;" Corp","MIN_PIECE")/1000,""))</f>
        <v/>
      </c>
      <c r="N755" s="12">
        <f>IF($A755="","",_xll.BDP($A755&amp;" Corp","PX_LAST"))</f>
        <v/>
      </c>
      <c r="O755" s="12">
        <f>IF($A755="","",_xll.BDP($A755&amp;" Corp","YAS_BOND_YLD","YAS_YLD_FLAG=15"))</f>
        <v/>
      </c>
      <c r="P755" s="12">
        <f>IF($A755="","",_xll.BDP($A755&amp;" Corp","YAS_MOD_DUR"))</f>
        <v/>
      </c>
      <c r="Q755" s="13">
        <f>IF($A755="","",_xll.BDP($A755&amp;" Corp","YAS_OAS_SPRD"))</f>
        <v/>
      </c>
      <c r="R755" s="13">
        <f>IF($A755="","",_xll.BDP($A755&amp;" Corp","YAS_OAS_SPRD","SETTLE_DT",$B$2))</f>
        <v/>
      </c>
      <c r="S755" s="14">
        <f>IF($A755="","",IF(OR(NOT(ISNUMBER($Q755)),NOT(ISNUMBER($R755))),"",$Q755-$R755))</f>
        <v/>
      </c>
      <c r="T755" s="12">
        <f>IF($A755="","",_xll.BDP($A755&amp;" Corp","YAS_BOND_YLD","YAS_YLD_FLAG=15","SETTLE_DT",$B$2))</f>
        <v/>
      </c>
      <c r="U755" s="15">
        <f>IF($A755="","",IF(OR(NOT(ISNUMBER($O755)),NOT(ISNUMBER($T755))),"",$O755-$T755))</f>
        <v/>
      </c>
      <c r="V755" s="13">
        <f>IF(NOT(ISNUMBER($S755)),"",COUNTIFS($G$7:$G$850,$G755,$S$7:$S$850,"&gt;"&amp;$S755)+COUNTIFS($G$7:$G755,$G755,$S$7:$S755,$S755))</f>
        <v/>
      </c>
      <c r="W755" s="13">
        <f>IF(NOT(ISNUMBER($S755)),"",COUNTIFS($G$7:$G$850,$G755,$S$7:$S$850,"&lt;"&amp;$S755)+COUNTIFS($G$7:$G755,$G755,$S$7:$S755,$S755))</f>
        <v/>
      </c>
      <c r="X755" s="8">
        <f>IF($V755="","",$G755&amp;"|"&amp;$V755)</f>
        <v/>
      </c>
      <c r="Y755" s="8">
        <f>IF($W755="","",$G755&amp;"|"&amp;$W755)</f>
        <v/>
      </c>
    </row>
    <row r="756">
      <c r="A756" s="16" t="inlineStr">
        <is>
          <t>US456837BU63</t>
        </is>
      </c>
      <c r="B756" s="17">
        <f>IF($A756="","",PROPER(_xll.BDP($A756&amp;" Corp","NAME")))</f>
        <v/>
      </c>
      <c r="C756" s="17">
        <f>IF($A756="","",IFERROR(INDEX(Company_desc!$B$2:$B$1144,MATCH($A756,Company_desc!$A$2:$A$1144,0)),IFERROR(INDEX(SYZ_static!$Q$2:$Q$806,MATCH($A756,SYZ_static!$A$2:$A$806,0)),"")))</f>
        <v/>
      </c>
      <c r="D756" s="17">
        <f>IF($A756="","",IFERROR(INDEX(SYZ_static!$B$2:$B$806,MATCH($A756,SYZ_static!$A$2:$A$806,0)),""))</f>
        <v/>
      </c>
      <c r="E756" s="17">
        <f>IF($A756="","",_xll.BDP($A756&amp;" Corp","INDUSTRY_SECTOR"))</f>
        <v/>
      </c>
      <c r="F756" s="17">
        <f>IF($A756="","",PROPER(_xll.BDP($A756&amp;" Corp","COUNTRY_FULL_NAME")))</f>
        <v/>
      </c>
      <c r="G756" s="17">
        <f>IF($A756="","",_xll.BDP($A756&amp;" Corp","CRNCY"))</f>
        <v/>
      </c>
      <c r="H756" s="17">
        <f>IF($A756="","",IFERROR(INDEX(SYZ_static!$T$2:$T$806,MATCH($A756,SYZ_static!$A$2:$A$806,0)),_xll.BDP($A756&amp;" Corp","RTG_SP")))</f>
        <v/>
      </c>
      <c r="I756" s="17">
        <f>IF($A756="","",IFERROR(INDEX(SYZ_static!$S$2:$S$806,MATCH($A756,SYZ_static!$A$2:$A$806,0)),""))</f>
        <v/>
      </c>
      <c r="J756" s="17">
        <f>IF($A756="","",_xll.BDP($A756&amp;" Corp","PAYMENT_RANK"))</f>
        <v/>
      </c>
      <c r="K756" s="18">
        <f>IF($A756="","",_xll.BDP($A756&amp;" Corp","CPN"))</f>
        <v/>
      </c>
      <c r="L756" s="19">
        <f>IF($A756="","",_xll.BDP($A756&amp;" Corp","MATURITY"))</f>
        <v/>
      </c>
      <c r="M756" s="20">
        <f>IF($A756="","",IFERROR(_xll.BDP($A756&amp;" Corp","MIN_PIECE")/1000,""))</f>
        <v/>
      </c>
      <c r="N756" s="21">
        <f>IF($A756="","",_xll.BDP($A756&amp;" Corp","PX_LAST"))</f>
        <v/>
      </c>
      <c r="O756" s="21">
        <f>IF($A756="","",_xll.BDP($A756&amp;" Corp","YAS_BOND_YLD","YAS_YLD_FLAG=15"))</f>
        <v/>
      </c>
      <c r="P756" s="21">
        <f>IF($A756="","",_xll.BDP($A756&amp;" Corp","YAS_MOD_DUR"))</f>
        <v/>
      </c>
      <c r="Q756" s="22">
        <f>IF($A756="","",_xll.BDP($A756&amp;" Corp","YAS_OAS_SPRD"))</f>
        <v/>
      </c>
      <c r="R756" s="22">
        <f>IF($A756="","",_xll.BDP($A756&amp;" Corp","YAS_OAS_SPRD","SETTLE_DT",$B$2))</f>
        <v/>
      </c>
      <c r="S756" s="23">
        <f>IF($A756="","",IF(OR(NOT(ISNUMBER($Q756)),NOT(ISNUMBER($R756))),"",$Q756-$R756))</f>
        <v/>
      </c>
      <c r="T756" s="21">
        <f>IF($A756="","",_xll.BDP($A756&amp;" Corp","YAS_BOND_YLD","YAS_YLD_FLAG=15","SETTLE_DT",$B$2))</f>
        <v/>
      </c>
      <c r="U756" s="24">
        <f>IF($A756="","",IF(OR(NOT(ISNUMBER($O756)),NOT(ISNUMBER($T756))),"",$O756-$T756))</f>
        <v/>
      </c>
      <c r="V756" s="22">
        <f>IF(NOT(ISNUMBER($S756)),"",COUNTIFS($G$7:$G$850,$G756,$S$7:$S$850,"&gt;"&amp;$S756)+COUNTIFS($G$7:$G756,$G756,$S$7:$S756,$S756))</f>
        <v/>
      </c>
      <c r="W756" s="22">
        <f>IF(NOT(ISNUMBER($S756)),"",COUNTIFS($G$7:$G$850,$G756,$S$7:$S$850,"&lt;"&amp;$S756)+COUNTIFS($G$7:$G756,$G756,$S$7:$S756,$S756))</f>
        <v/>
      </c>
      <c r="X756" s="17">
        <f>IF($V756="","",$G756&amp;"|"&amp;$V756)</f>
        <v/>
      </c>
      <c r="Y756" s="17">
        <f>IF($W756="","",$G756&amp;"|"&amp;$W756)</f>
        <v/>
      </c>
    </row>
    <row r="757">
      <c r="A757" s="7" t="inlineStr">
        <is>
          <t>US05971KAV17</t>
        </is>
      </c>
      <c r="B757" s="8">
        <f>IF($A757="","",PROPER(_xll.BDP($A757&amp;" Corp","NAME")))</f>
        <v/>
      </c>
      <c r="C757" s="8">
        <f>IF($A757="","",IFERROR(INDEX(Company_desc!$B$2:$B$1144,MATCH($A757,Company_desc!$A$2:$A$1144,0)),IFERROR(INDEX(SYZ_static!$Q$2:$Q$806,MATCH($A757,SYZ_static!$A$2:$A$806,0)),"")))</f>
        <v/>
      </c>
      <c r="D757" s="8">
        <f>IF($A757="","",IFERROR(INDEX(SYZ_static!$B$2:$B$806,MATCH($A757,SYZ_static!$A$2:$A$806,0)),""))</f>
        <v/>
      </c>
      <c r="E757" s="8">
        <f>IF($A757="","",_xll.BDP($A757&amp;" Corp","INDUSTRY_SECTOR"))</f>
        <v/>
      </c>
      <c r="F757" s="8">
        <f>IF($A757="","",PROPER(_xll.BDP($A757&amp;" Corp","COUNTRY_FULL_NAME")))</f>
        <v/>
      </c>
      <c r="G757" s="8">
        <f>IF($A757="","",_xll.BDP($A757&amp;" Corp","CRNCY"))</f>
        <v/>
      </c>
      <c r="H757" s="8">
        <f>IF($A757="","",IFERROR(INDEX(SYZ_static!$T$2:$T$806,MATCH($A757,SYZ_static!$A$2:$A$806,0)),_xll.BDP($A757&amp;" Corp","RTG_SP")))</f>
        <v/>
      </c>
      <c r="I757" s="8">
        <f>IF($A757="","",IFERROR(INDEX(SYZ_static!$S$2:$S$806,MATCH($A757,SYZ_static!$A$2:$A$806,0)),""))</f>
        <v/>
      </c>
      <c r="J757" s="8">
        <f>IF($A757="","",_xll.BDP($A757&amp;" Corp","PAYMENT_RANK"))</f>
        <v/>
      </c>
      <c r="K757" s="9">
        <f>IF($A757="","",_xll.BDP($A757&amp;" Corp","CPN"))</f>
        <v/>
      </c>
      <c r="L757" s="10">
        <f>IF($A757="","",_xll.BDP($A757&amp;" Corp","MATURITY"))</f>
        <v/>
      </c>
      <c r="M757" s="11">
        <f>IF($A757="","",IFERROR(_xll.BDP($A757&amp;" Corp","MIN_PIECE")/1000,""))</f>
        <v/>
      </c>
      <c r="N757" s="12">
        <f>IF($A757="","",_xll.BDP($A757&amp;" Corp","PX_LAST"))</f>
        <v/>
      </c>
      <c r="O757" s="12">
        <f>IF($A757="","",_xll.BDP($A757&amp;" Corp","YAS_BOND_YLD","YAS_YLD_FLAG=15"))</f>
        <v/>
      </c>
      <c r="P757" s="12">
        <f>IF($A757="","",_xll.BDP($A757&amp;" Corp","YAS_MOD_DUR"))</f>
        <v/>
      </c>
      <c r="Q757" s="13">
        <f>IF($A757="","",_xll.BDP($A757&amp;" Corp","YAS_OAS_SPRD"))</f>
        <v/>
      </c>
      <c r="R757" s="13">
        <f>IF($A757="","",_xll.BDP($A757&amp;" Corp","YAS_OAS_SPRD","SETTLE_DT",$B$2))</f>
        <v/>
      </c>
      <c r="S757" s="14">
        <f>IF($A757="","",IF(OR(NOT(ISNUMBER($Q757)),NOT(ISNUMBER($R757))),"",$Q757-$R757))</f>
        <v/>
      </c>
      <c r="T757" s="12">
        <f>IF($A757="","",_xll.BDP($A757&amp;" Corp","YAS_BOND_YLD","YAS_YLD_FLAG=15","SETTLE_DT",$B$2))</f>
        <v/>
      </c>
      <c r="U757" s="15">
        <f>IF($A757="","",IF(OR(NOT(ISNUMBER($O757)),NOT(ISNUMBER($T757))),"",$O757-$T757))</f>
        <v/>
      </c>
      <c r="V757" s="13">
        <f>IF(NOT(ISNUMBER($S757)),"",COUNTIFS($G$7:$G$850,$G757,$S$7:$S$850,"&gt;"&amp;$S757)+COUNTIFS($G$7:$G757,$G757,$S$7:$S757,$S757))</f>
        <v/>
      </c>
      <c r="W757" s="13">
        <f>IF(NOT(ISNUMBER($S757)),"",COUNTIFS($G$7:$G$850,$G757,$S$7:$S$850,"&lt;"&amp;$S757)+COUNTIFS($G$7:$G757,$G757,$S$7:$S757,$S757))</f>
        <v/>
      </c>
      <c r="X757" s="8">
        <f>IF($V757="","",$G757&amp;"|"&amp;$V757)</f>
        <v/>
      </c>
      <c r="Y757" s="8">
        <f>IF($W757="","",$G757&amp;"|"&amp;$W757)</f>
        <v/>
      </c>
    </row>
    <row r="758">
      <c r="A758" s="16" t="inlineStr">
        <is>
          <t>US24703DBT72</t>
        </is>
      </c>
      <c r="B758" s="17">
        <f>IF($A758="","",PROPER(_xll.BDP($A758&amp;" Corp","NAME")))</f>
        <v/>
      </c>
      <c r="C758" s="17">
        <f>IF($A758="","",IFERROR(INDEX(Company_desc!$B$2:$B$1144,MATCH($A758,Company_desc!$A$2:$A$1144,0)),IFERROR(INDEX(SYZ_static!$Q$2:$Q$806,MATCH($A758,SYZ_static!$A$2:$A$806,0)),"")))</f>
        <v/>
      </c>
      <c r="D758" s="17">
        <f>IF($A758="","",IFERROR(INDEX(SYZ_static!$B$2:$B$806,MATCH($A758,SYZ_static!$A$2:$A$806,0)),""))</f>
        <v/>
      </c>
      <c r="E758" s="17">
        <f>IF($A758="","",_xll.BDP($A758&amp;" Corp","INDUSTRY_SECTOR"))</f>
        <v/>
      </c>
      <c r="F758" s="17">
        <f>IF($A758="","",PROPER(_xll.BDP($A758&amp;" Corp","COUNTRY_FULL_NAME")))</f>
        <v/>
      </c>
      <c r="G758" s="17">
        <f>IF($A758="","",_xll.BDP($A758&amp;" Corp","CRNCY"))</f>
        <v/>
      </c>
      <c r="H758" s="17">
        <f>IF($A758="","",IFERROR(INDEX(SYZ_static!$T$2:$T$806,MATCH($A758,SYZ_static!$A$2:$A$806,0)),_xll.BDP($A758&amp;" Corp","RTG_SP")))</f>
        <v/>
      </c>
      <c r="I758" s="17">
        <f>IF($A758="","",IFERROR(INDEX(SYZ_static!$S$2:$S$806,MATCH($A758,SYZ_static!$A$2:$A$806,0)),""))</f>
        <v/>
      </c>
      <c r="J758" s="17">
        <f>IF($A758="","",_xll.BDP($A758&amp;" Corp","PAYMENT_RANK"))</f>
        <v/>
      </c>
      <c r="K758" s="18">
        <f>IF($A758="","",_xll.BDP($A758&amp;" Corp","CPN"))</f>
        <v/>
      </c>
      <c r="L758" s="19">
        <f>IF($A758="","",_xll.BDP($A758&amp;" Corp","MATURITY"))</f>
        <v/>
      </c>
      <c r="M758" s="20">
        <f>IF($A758="","",IFERROR(_xll.BDP($A758&amp;" Corp","MIN_PIECE")/1000,""))</f>
        <v/>
      </c>
      <c r="N758" s="21">
        <f>IF($A758="","",_xll.BDP($A758&amp;" Corp","PX_LAST"))</f>
        <v/>
      </c>
      <c r="O758" s="21">
        <f>IF($A758="","",_xll.BDP($A758&amp;" Corp","YAS_BOND_YLD","YAS_YLD_FLAG=15"))</f>
        <v/>
      </c>
      <c r="P758" s="21">
        <f>IF($A758="","",_xll.BDP($A758&amp;" Corp","YAS_MOD_DUR"))</f>
        <v/>
      </c>
      <c r="Q758" s="22">
        <f>IF($A758="","",_xll.BDP($A758&amp;" Corp","YAS_OAS_SPRD"))</f>
        <v/>
      </c>
      <c r="R758" s="22">
        <f>IF($A758="","",_xll.BDP($A758&amp;" Corp","YAS_OAS_SPRD","SETTLE_DT",$B$2))</f>
        <v/>
      </c>
      <c r="S758" s="23">
        <f>IF($A758="","",IF(OR(NOT(ISNUMBER($Q758)),NOT(ISNUMBER($R758))),"",$Q758-$R758))</f>
        <v/>
      </c>
      <c r="T758" s="21">
        <f>IF($A758="","",_xll.BDP($A758&amp;" Corp","YAS_BOND_YLD","YAS_YLD_FLAG=15","SETTLE_DT",$B$2))</f>
        <v/>
      </c>
      <c r="U758" s="24">
        <f>IF($A758="","",IF(OR(NOT(ISNUMBER($O758)),NOT(ISNUMBER($T758))),"",$O758-$T758))</f>
        <v/>
      </c>
      <c r="V758" s="22">
        <f>IF(NOT(ISNUMBER($S758)),"",COUNTIFS($G$7:$G$850,$G758,$S$7:$S$850,"&gt;"&amp;$S758)+COUNTIFS($G$7:$G758,$G758,$S$7:$S758,$S758))</f>
        <v/>
      </c>
      <c r="W758" s="22">
        <f>IF(NOT(ISNUMBER($S758)),"",COUNTIFS($G$7:$G$850,$G758,$S$7:$S$850,"&lt;"&amp;$S758)+COUNTIFS($G$7:$G758,$G758,$S$7:$S758,$S758))</f>
        <v/>
      </c>
      <c r="X758" s="17">
        <f>IF($V758="","",$G758&amp;"|"&amp;$V758)</f>
        <v/>
      </c>
      <c r="Y758" s="17">
        <f>IF($W758="","",$G758&amp;"|"&amp;$W758)</f>
        <v/>
      </c>
    </row>
    <row r="759">
      <c r="A759" s="7" t="inlineStr">
        <is>
          <t>USE2428RAL99</t>
        </is>
      </c>
      <c r="B759" s="8">
        <f>IF($A759="","",PROPER(_xll.BDP($A759&amp;" Corp","NAME")))</f>
        <v/>
      </c>
      <c r="C759" s="8">
        <f>IF($A759="","",IFERROR(INDEX(Company_desc!$B$2:$B$1144,MATCH($A759,Company_desc!$A$2:$A$1144,0)),IFERROR(INDEX(SYZ_static!$Q$2:$Q$806,MATCH($A759,SYZ_static!$A$2:$A$806,0)),"")))</f>
        <v/>
      </c>
      <c r="D759" s="8">
        <f>IF($A759="","",IFERROR(INDEX(SYZ_static!$B$2:$B$806,MATCH($A759,SYZ_static!$A$2:$A$806,0)),""))</f>
        <v/>
      </c>
      <c r="E759" s="8">
        <f>IF($A759="","",_xll.BDP($A759&amp;" Corp","INDUSTRY_SECTOR"))</f>
        <v/>
      </c>
      <c r="F759" s="8">
        <f>IF($A759="","",PROPER(_xll.BDP($A759&amp;" Corp","COUNTRY_FULL_NAME")))</f>
        <v/>
      </c>
      <c r="G759" s="8">
        <f>IF($A759="","",_xll.BDP($A759&amp;" Corp","CRNCY"))</f>
        <v/>
      </c>
      <c r="H759" s="8">
        <f>IF($A759="","",IFERROR(INDEX(SYZ_static!$T$2:$T$806,MATCH($A759,SYZ_static!$A$2:$A$806,0)),_xll.BDP($A759&amp;" Corp","RTG_SP")))</f>
        <v/>
      </c>
      <c r="I759" s="8">
        <f>IF($A759="","",IFERROR(INDEX(SYZ_static!$S$2:$S$806,MATCH($A759,SYZ_static!$A$2:$A$806,0)),""))</f>
        <v/>
      </c>
      <c r="J759" s="8">
        <f>IF($A759="","",_xll.BDP($A759&amp;" Corp","PAYMENT_RANK"))</f>
        <v/>
      </c>
      <c r="K759" s="9">
        <f>IF($A759="","",_xll.BDP($A759&amp;" Corp","CPN"))</f>
        <v/>
      </c>
      <c r="L759" s="10">
        <f>IF($A759="","",_xll.BDP($A759&amp;" Corp","MATURITY"))</f>
        <v/>
      </c>
      <c r="M759" s="11">
        <f>IF($A759="","",IFERROR(_xll.BDP($A759&amp;" Corp","MIN_PIECE")/1000,""))</f>
        <v/>
      </c>
      <c r="N759" s="12">
        <f>IF($A759="","",_xll.BDP($A759&amp;" Corp","PX_LAST"))</f>
        <v/>
      </c>
      <c r="O759" s="12">
        <f>IF($A759="","",_xll.BDP($A759&amp;" Corp","YAS_BOND_YLD","YAS_YLD_FLAG=15"))</f>
        <v/>
      </c>
      <c r="P759" s="12">
        <f>IF($A759="","",_xll.BDP($A759&amp;" Corp","YAS_MOD_DUR"))</f>
        <v/>
      </c>
      <c r="Q759" s="13">
        <f>IF($A759="","",_xll.BDP($A759&amp;" Corp","YAS_OAS_SPRD"))</f>
        <v/>
      </c>
      <c r="R759" s="13">
        <f>IF($A759="","",_xll.BDP($A759&amp;" Corp","YAS_OAS_SPRD","SETTLE_DT",$B$2))</f>
        <v/>
      </c>
      <c r="S759" s="14">
        <f>IF($A759="","",IF(OR(NOT(ISNUMBER($Q759)),NOT(ISNUMBER($R759))),"",$Q759-$R759))</f>
        <v/>
      </c>
      <c r="T759" s="12">
        <f>IF($A759="","",_xll.BDP($A759&amp;" Corp","YAS_BOND_YLD","YAS_YLD_FLAG=15","SETTLE_DT",$B$2))</f>
        <v/>
      </c>
      <c r="U759" s="15">
        <f>IF($A759="","",IF(OR(NOT(ISNUMBER($O759)),NOT(ISNUMBER($T759))),"",$O759-$T759))</f>
        <v/>
      </c>
      <c r="V759" s="13">
        <f>IF(NOT(ISNUMBER($S759)),"",COUNTIFS($G$7:$G$850,$G759,$S$7:$S$850,"&gt;"&amp;$S759)+COUNTIFS($G$7:$G759,$G759,$S$7:$S759,$S759))</f>
        <v/>
      </c>
      <c r="W759" s="13">
        <f>IF(NOT(ISNUMBER($S759)),"",COUNTIFS($G$7:$G$850,$G759,$S$7:$S$850,"&lt;"&amp;$S759)+COUNTIFS($G$7:$G759,$G759,$S$7:$S759,$S759))</f>
        <v/>
      </c>
      <c r="X759" s="8">
        <f>IF($V759="","",$G759&amp;"|"&amp;$V759)</f>
        <v/>
      </c>
      <c r="Y759" s="8">
        <f>IF($W759="","",$G759&amp;"|"&amp;$W759)</f>
        <v/>
      </c>
    </row>
    <row r="760">
      <c r="A760" s="16" t="inlineStr">
        <is>
          <t>US404280FE46</t>
        </is>
      </c>
      <c r="B760" s="17">
        <f>IF($A760="","",PROPER(_xll.BDP($A760&amp;" Corp","NAME")))</f>
        <v/>
      </c>
      <c r="C760" s="17">
        <f>IF($A760="","",IFERROR(INDEX(Company_desc!$B$2:$B$1144,MATCH($A760,Company_desc!$A$2:$A$1144,0)),IFERROR(INDEX(SYZ_static!$Q$2:$Q$806,MATCH($A760,SYZ_static!$A$2:$A$806,0)),"")))</f>
        <v/>
      </c>
      <c r="D760" s="17">
        <f>IF($A760="","",IFERROR(INDEX(SYZ_static!$B$2:$B$806,MATCH($A760,SYZ_static!$A$2:$A$806,0)),""))</f>
        <v/>
      </c>
      <c r="E760" s="17">
        <f>IF($A760="","",_xll.BDP($A760&amp;" Corp","INDUSTRY_SECTOR"))</f>
        <v/>
      </c>
      <c r="F760" s="17">
        <f>IF($A760="","",PROPER(_xll.BDP($A760&amp;" Corp","COUNTRY_FULL_NAME")))</f>
        <v/>
      </c>
      <c r="G760" s="17">
        <f>IF($A760="","",_xll.BDP($A760&amp;" Corp","CRNCY"))</f>
        <v/>
      </c>
      <c r="H760" s="17">
        <f>IF($A760="","",IFERROR(INDEX(SYZ_static!$T$2:$T$806,MATCH($A760,SYZ_static!$A$2:$A$806,0)),_xll.BDP($A760&amp;" Corp","RTG_SP")))</f>
        <v/>
      </c>
      <c r="I760" s="17">
        <f>IF($A760="","",IFERROR(INDEX(SYZ_static!$S$2:$S$806,MATCH($A760,SYZ_static!$A$2:$A$806,0)),""))</f>
        <v/>
      </c>
      <c r="J760" s="17">
        <f>IF($A760="","",_xll.BDP($A760&amp;" Corp","PAYMENT_RANK"))</f>
        <v/>
      </c>
      <c r="K760" s="18">
        <f>IF($A760="","",_xll.BDP($A760&amp;" Corp","CPN"))</f>
        <v/>
      </c>
      <c r="L760" s="19">
        <f>IF($A760="","",_xll.BDP($A760&amp;" Corp","MATURITY"))</f>
        <v/>
      </c>
      <c r="M760" s="20">
        <f>IF($A760="","",IFERROR(_xll.BDP($A760&amp;" Corp","MIN_PIECE")/1000,""))</f>
        <v/>
      </c>
      <c r="N760" s="21">
        <f>IF($A760="","",_xll.BDP($A760&amp;" Corp","PX_LAST"))</f>
        <v/>
      </c>
      <c r="O760" s="21">
        <f>IF($A760="","",_xll.BDP($A760&amp;" Corp","YAS_BOND_YLD","YAS_YLD_FLAG=15"))</f>
        <v/>
      </c>
      <c r="P760" s="21">
        <f>IF($A760="","",_xll.BDP($A760&amp;" Corp","YAS_MOD_DUR"))</f>
        <v/>
      </c>
      <c r="Q760" s="22">
        <f>IF($A760="","",_xll.BDP($A760&amp;" Corp","YAS_OAS_SPRD"))</f>
        <v/>
      </c>
      <c r="R760" s="22">
        <f>IF($A760="","",_xll.BDP($A760&amp;" Corp","YAS_OAS_SPRD","SETTLE_DT",$B$2))</f>
        <v/>
      </c>
      <c r="S760" s="23">
        <f>IF($A760="","",IF(OR(NOT(ISNUMBER($Q760)),NOT(ISNUMBER($R760))),"",$Q760-$R760))</f>
        <v/>
      </c>
      <c r="T760" s="21">
        <f>IF($A760="","",_xll.BDP($A760&amp;" Corp","YAS_BOND_YLD","YAS_YLD_FLAG=15","SETTLE_DT",$B$2))</f>
        <v/>
      </c>
      <c r="U760" s="24">
        <f>IF($A760="","",IF(OR(NOT(ISNUMBER($O760)),NOT(ISNUMBER($T760))),"",$O760-$T760))</f>
        <v/>
      </c>
      <c r="V760" s="22">
        <f>IF(NOT(ISNUMBER($S760)),"",COUNTIFS($G$7:$G$850,$G760,$S$7:$S$850,"&gt;"&amp;$S760)+COUNTIFS($G$7:$G760,$G760,$S$7:$S760,$S760))</f>
        <v/>
      </c>
      <c r="W760" s="22">
        <f>IF(NOT(ISNUMBER($S760)),"",COUNTIFS($G$7:$G$850,$G760,$S$7:$S$850,"&lt;"&amp;$S760)+COUNTIFS($G$7:$G760,$G760,$S$7:$S760,$S760))</f>
        <v/>
      </c>
      <c r="X760" s="17">
        <f>IF($V760="","",$G760&amp;"|"&amp;$V760)</f>
        <v/>
      </c>
      <c r="Y760" s="17">
        <f>IF($W760="","",$G760&amp;"|"&amp;$W760)</f>
        <v/>
      </c>
    </row>
    <row r="761">
      <c r="A761" s="7" t="inlineStr">
        <is>
          <t>US61748UAM45</t>
        </is>
      </c>
      <c r="B761" s="8">
        <f>IF($A761="","",PROPER(_xll.BDP($A761&amp;" Corp","NAME")))</f>
        <v/>
      </c>
      <c r="C761" s="8">
        <f>IF($A761="","",IFERROR(INDEX(Company_desc!$B$2:$B$1144,MATCH($A761,Company_desc!$A$2:$A$1144,0)),IFERROR(INDEX(SYZ_static!$Q$2:$Q$806,MATCH($A761,SYZ_static!$A$2:$A$806,0)),"")))</f>
        <v/>
      </c>
      <c r="D761" s="8">
        <f>IF($A761="","",IFERROR(INDEX(SYZ_static!$B$2:$B$806,MATCH($A761,SYZ_static!$A$2:$A$806,0)),""))</f>
        <v/>
      </c>
      <c r="E761" s="8">
        <f>IF($A761="","",_xll.BDP($A761&amp;" Corp","INDUSTRY_SECTOR"))</f>
        <v/>
      </c>
      <c r="F761" s="8">
        <f>IF($A761="","",PROPER(_xll.BDP($A761&amp;" Corp","COUNTRY_FULL_NAME")))</f>
        <v/>
      </c>
      <c r="G761" s="8">
        <f>IF($A761="","",_xll.BDP($A761&amp;" Corp","CRNCY"))</f>
        <v/>
      </c>
      <c r="H761" s="8">
        <f>IF($A761="","",IFERROR(INDEX(SYZ_static!$T$2:$T$806,MATCH($A761,SYZ_static!$A$2:$A$806,0)),_xll.BDP($A761&amp;" Corp","RTG_SP")))</f>
        <v/>
      </c>
      <c r="I761" s="8">
        <f>IF($A761="","",IFERROR(INDEX(SYZ_static!$S$2:$S$806,MATCH($A761,SYZ_static!$A$2:$A$806,0)),""))</f>
        <v/>
      </c>
      <c r="J761" s="8">
        <f>IF($A761="","",_xll.BDP($A761&amp;" Corp","PAYMENT_RANK"))</f>
        <v/>
      </c>
      <c r="K761" s="9">
        <f>IF($A761="","",_xll.BDP($A761&amp;" Corp","CPN"))</f>
        <v/>
      </c>
      <c r="L761" s="10">
        <f>IF($A761="","",_xll.BDP($A761&amp;" Corp","MATURITY"))</f>
        <v/>
      </c>
      <c r="M761" s="11">
        <f>IF($A761="","",IFERROR(_xll.BDP($A761&amp;" Corp","MIN_PIECE")/1000,""))</f>
        <v/>
      </c>
      <c r="N761" s="12">
        <f>IF($A761="","",_xll.BDP($A761&amp;" Corp","PX_LAST"))</f>
        <v/>
      </c>
      <c r="O761" s="12">
        <f>IF($A761="","",_xll.BDP($A761&amp;" Corp","YAS_BOND_YLD","YAS_YLD_FLAG=15"))</f>
        <v/>
      </c>
      <c r="P761" s="12">
        <f>IF($A761="","",_xll.BDP($A761&amp;" Corp","YAS_MOD_DUR"))</f>
        <v/>
      </c>
      <c r="Q761" s="13">
        <f>IF($A761="","",_xll.BDP($A761&amp;" Corp","YAS_OAS_SPRD"))</f>
        <v/>
      </c>
      <c r="R761" s="13">
        <f>IF($A761="","",_xll.BDP($A761&amp;" Corp","YAS_OAS_SPRD","SETTLE_DT",$B$2))</f>
        <v/>
      </c>
      <c r="S761" s="14">
        <f>IF($A761="","",IF(OR(NOT(ISNUMBER($Q761)),NOT(ISNUMBER($R761))),"",$Q761-$R761))</f>
        <v/>
      </c>
      <c r="T761" s="12">
        <f>IF($A761="","",_xll.BDP($A761&amp;" Corp","YAS_BOND_YLD","YAS_YLD_FLAG=15","SETTLE_DT",$B$2))</f>
        <v/>
      </c>
      <c r="U761" s="15">
        <f>IF($A761="","",IF(OR(NOT(ISNUMBER($O761)),NOT(ISNUMBER($T761))),"",$O761-$T761))</f>
        <v/>
      </c>
      <c r="V761" s="13">
        <f>IF(NOT(ISNUMBER($S761)),"",COUNTIFS($G$7:$G$850,$G761,$S$7:$S$850,"&gt;"&amp;$S761)+COUNTIFS($G$7:$G761,$G761,$S$7:$S761,$S761))</f>
        <v/>
      </c>
      <c r="W761" s="13">
        <f>IF(NOT(ISNUMBER($S761)),"",COUNTIFS($G$7:$G$850,$G761,$S$7:$S$850,"&lt;"&amp;$S761)+COUNTIFS($G$7:$G761,$G761,$S$7:$S761,$S761))</f>
        <v/>
      </c>
      <c r="X761" s="8">
        <f>IF($V761="","",$G761&amp;"|"&amp;$V761)</f>
        <v/>
      </c>
      <c r="Y761" s="8">
        <f>IF($W761="","",$G761&amp;"|"&amp;$W761)</f>
        <v/>
      </c>
    </row>
    <row r="762">
      <c r="A762" s="16" t="inlineStr">
        <is>
          <t>XS3074432959</t>
        </is>
      </c>
      <c r="B762" s="17">
        <f>IF($A762="","",PROPER(_xll.BDP($A762&amp;" Corp","NAME")))</f>
        <v/>
      </c>
      <c r="C762" s="17">
        <f>IF($A762="","",IFERROR(INDEX(Company_desc!$B$2:$B$1144,MATCH($A762,Company_desc!$A$2:$A$1144,0)),IFERROR(INDEX(SYZ_static!$Q$2:$Q$806,MATCH($A762,SYZ_static!$A$2:$A$806,0)),"")))</f>
        <v/>
      </c>
      <c r="D762" s="17">
        <f>IF($A762="","",IFERROR(INDEX(SYZ_static!$B$2:$B$806,MATCH($A762,SYZ_static!$A$2:$A$806,0)),""))</f>
        <v/>
      </c>
      <c r="E762" s="17">
        <f>IF($A762="","",_xll.BDP($A762&amp;" Corp","INDUSTRY_SECTOR"))</f>
        <v/>
      </c>
      <c r="F762" s="17">
        <f>IF($A762="","",PROPER(_xll.BDP($A762&amp;" Corp","COUNTRY_FULL_NAME")))</f>
        <v/>
      </c>
      <c r="G762" s="17">
        <f>IF($A762="","",_xll.BDP($A762&amp;" Corp","CRNCY"))</f>
        <v/>
      </c>
      <c r="H762" s="17">
        <f>IF($A762="","",IFERROR(INDEX(SYZ_static!$T$2:$T$806,MATCH($A762,SYZ_static!$A$2:$A$806,0)),_xll.BDP($A762&amp;" Corp","RTG_SP")))</f>
        <v/>
      </c>
      <c r="I762" s="17">
        <f>IF($A762="","",IFERROR(INDEX(SYZ_static!$S$2:$S$806,MATCH($A762,SYZ_static!$A$2:$A$806,0)),""))</f>
        <v/>
      </c>
      <c r="J762" s="17">
        <f>IF($A762="","",_xll.BDP($A762&amp;" Corp","PAYMENT_RANK"))</f>
        <v/>
      </c>
      <c r="K762" s="18">
        <f>IF($A762="","",_xll.BDP($A762&amp;" Corp","CPN"))</f>
        <v/>
      </c>
      <c r="L762" s="19">
        <f>IF($A762="","",_xll.BDP($A762&amp;" Corp","MATURITY"))</f>
        <v/>
      </c>
      <c r="M762" s="20">
        <f>IF($A762="","",IFERROR(_xll.BDP($A762&amp;" Corp","MIN_PIECE")/1000,""))</f>
        <v/>
      </c>
      <c r="N762" s="21">
        <f>IF($A762="","",_xll.BDP($A762&amp;" Corp","PX_LAST"))</f>
        <v/>
      </c>
      <c r="O762" s="21">
        <f>IF($A762="","",_xll.BDP($A762&amp;" Corp","YAS_BOND_YLD","YAS_YLD_FLAG=15"))</f>
        <v/>
      </c>
      <c r="P762" s="21">
        <f>IF($A762="","",_xll.BDP($A762&amp;" Corp","YAS_MOD_DUR"))</f>
        <v/>
      </c>
      <c r="Q762" s="22">
        <f>IF($A762="","",_xll.BDP($A762&amp;" Corp","YAS_OAS_SPRD"))</f>
        <v/>
      </c>
      <c r="R762" s="22">
        <f>IF($A762="","",_xll.BDP($A762&amp;" Corp","YAS_OAS_SPRD","SETTLE_DT",$B$2))</f>
        <v/>
      </c>
      <c r="S762" s="23">
        <f>IF($A762="","",IF(OR(NOT(ISNUMBER($Q762)),NOT(ISNUMBER($R762))),"",$Q762-$R762))</f>
        <v/>
      </c>
      <c r="T762" s="21">
        <f>IF($A762="","",_xll.BDP($A762&amp;" Corp","YAS_BOND_YLD","YAS_YLD_FLAG=15","SETTLE_DT",$B$2))</f>
        <v/>
      </c>
      <c r="U762" s="24">
        <f>IF($A762="","",IF(OR(NOT(ISNUMBER($O762)),NOT(ISNUMBER($T762))),"",$O762-$T762))</f>
        <v/>
      </c>
      <c r="V762" s="22">
        <f>IF(NOT(ISNUMBER($S762)),"",COUNTIFS($G$7:$G$850,$G762,$S$7:$S$850,"&gt;"&amp;$S762)+COUNTIFS($G$7:$G762,$G762,$S$7:$S762,$S762))</f>
        <v/>
      </c>
      <c r="W762" s="22">
        <f>IF(NOT(ISNUMBER($S762)),"",COUNTIFS($G$7:$G$850,$G762,$S$7:$S$850,"&lt;"&amp;$S762)+COUNTIFS($G$7:$G762,$G762,$S$7:$S762,$S762))</f>
        <v/>
      </c>
      <c r="X762" s="17">
        <f>IF($V762="","",$G762&amp;"|"&amp;$V762)</f>
        <v/>
      </c>
      <c r="Y762" s="17">
        <f>IF($W762="","",$G762&amp;"|"&amp;$W762)</f>
        <v/>
      </c>
    </row>
    <row r="763">
      <c r="A763" s="7" t="inlineStr">
        <is>
          <t>USU7603CAB29</t>
        </is>
      </c>
      <c r="B763" s="8">
        <f>IF($A763="","",PROPER(_xll.BDP($A763&amp;" Corp","NAME")))</f>
        <v/>
      </c>
      <c r="C763" s="8">
        <f>IF($A763="","",IFERROR(INDEX(Company_desc!$B$2:$B$1144,MATCH($A763,Company_desc!$A$2:$A$1144,0)),IFERROR(INDEX(SYZ_static!$Q$2:$Q$806,MATCH($A763,SYZ_static!$A$2:$A$806,0)),"")))</f>
        <v/>
      </c>
      <c r="D763" s="8">
        <f>IF($A763="","",IFERROR(INDEX(SYZ_static!$B$2:$B$806,MATCH($A763,SYZ_static!$A$2:$A$806,0)),""))</f>
        <v/>
      </c>
      <c r="E763" s="8">
        <f>IF($A763="","",_xll.BDP($A763&amp;" Corp","INDUSTRY_SECTOR"))</f>
        <v/>
      </c>
      <c r="F763" s="8">
        <f>IF($A763="","",PROPER(_xll.BDP($A763&amp;" Corp","COUNTRY_FULL_NAME")))</f>
        <v/>
      </c>
      <c r="G763" s="8">
        <f>IF($A763="","",_xll.BDP($A763&amp;" Corp","CRNCY"))</f>
        <v/>
      </c>
      <c r="H763" s="8">
        <f>IF($A763="","",IFERROR(INDEX(SYZ_static!$T$2:$T$806,MATCH($A763,SYZ_static!$A$2:$A$806,0)),_xll.BDP($A763&amp;" Corp","RTG_SP")))</f>
        <v/>
      </c>
      <c r="I763" s="8">
        <f>IF($A763="","",IFERROR(INDEX(SYZ_static!$S$2:$S$806,MATCH($A763,SYZ_static!$A$2:$A$806,0)),""))</f>
        <v/>
      </c>
      <c r="J763" s="8">
        <f>IF($A763="","",_xll.BDP($A763&amp;" Corp","PAYMENT_RANK"))</f>
        <v/>
      </c>
      <c r="K763" s="9">
        <f>IF($A763="","",_xll.BDP($A763&amp;" Corp","CPN"))</f>
        <v/>
      </c>
      <c r="L763" s="10">
        <f>IF($A763="","",_xll.BDP($A763&amp;" Corp","MATURITY"))</f>
        <v/>
      </c>
      <c r="M763" s="11">
        <f>IF($A763="","",IFERROR(_xll.BDP($A763&amp;" Corp","MIN_PIECE")/1000,""))</f>
        <v/>
      </c>
      <c r="N763" s="12">
        <f>IF($A763="","",_xll.BDP($A763&amp;" Corp","PX_LAST"))</f>
        <v/>
      </c>
      <c r="O763" s="12">
        <f>IF($A763="","",_xll.BDP($A763&amp;" Corp","YAS_BOND_YLD","YAS_YLD_FLAG=15"))</f>
        <v/>
      </c>
      <c r="P763" s="12">
        <f>IF($A763="","",_xll.BDP($A763&amp;" Corp","YAS_MOD_DUR"))</f>
        <v/>
      </c>
      <c r="Q763" s="13">
        <f>IF($A763="","",_xll.BDP($A763&amp;" Corp","YAS_OAS_SPRD"))</f>
        <v/>
      </c>
      <c r="R763" s="13">
        <f>IF($A763="","",_xll.BDP($A763&amp;" Corp","YAS_OAS_SPRD","SETTLE_DT",$B$2))</f>
        <v/>
      </c>
      <c r="S763" s="14">
        <f>IF($A763="","",IF(OR(NOT(ISNUMBER($Q763)),NOT(ISNUMBER($R763))),"",$Q763-$R763))</f>
        <v/>
      </c>
      <c r="T763" s="12">
        <f>IF($A763="","",_xll.BDP($A763&amp;" Corp","YAS_BOND_YLD","YAS_YLD_FLAG=15","SETTLE_DT",$B$2))</f>
        <v/>
      </c>
      <c r="U763" s="15">
        <f>IF($A763="","",IF(OR(NOT(ISNUMBER($O763)),NOT(ISNUMBER($T763))),"",$O763-$T763))</f>
        <v/>
      </c>
      <c r="V763" s="13">
        <f>IF(NOT(ISNUMBER($S763)),"",COUNTIFS($G$7:$G$850,$G763,$S$7:$S$850,"&gt;"&amp;$S763)+COUNTIFS($G$7:$G763,$G763,$S$7:$S763,$S763))</f>
        <v/>
      </c>
      <c r="W763" s="13">
        <f>IF(NOT(ISNUMBER($S763)),"",COUNTIFS($G$7:$G$850,$G763,$S$7:$S$850,"&lt;"&amp;$S763)+COUNTIFS($G$7:$G763,$G763,$S$7:$S763,$S763))</f>
        <v/>
      </c>
      <c r="X763" s="8">
        <f>IF($V763="","",$G763&amp;"|"&amp;$V763)</f>
        <v/>
      </c>
      <c r="Y763" s="8">
        <f>IF($W763="","",$G763&amp;"|"&amp;$W763)</f>
        <v/>
      </c>
    </row>
    <row r="764">
      <c r="A764" s="16" t="inlineStr">
        <is>
          <t>USU37818BY30</t>
        </is>
      </c>
      <c r="B764" s="17">
        <f>IF($A764="","",PROPER(_xll.BDP($A764&amp;" Corp","NAME")))</f>
        <v/>
      </c>
      <c r="C764" s="17">
        <f>IF($A764="","",IFERROR(INDEX(Company_desc!$B$2:$B$1144,MATCH($A764,Company_desc!$A$2:$A$1144,0)),IFERROR(INDEX(SYZ_static!$Q$2:$Q$806,MATCH($A764,SYZ_static!$A$2:$A$806,0)),"")))</f>
        <v/>
      </c>
      <c r="D764" s="17">
        <f>IF($A764="","",IFERROR(INDEX(SYZ_static!$B$2:$B$806,MATCH($A764,SYZ_static!$A$2:$A$806,0)),""))</f>
        <v/>
      </c>
      <c r="E764" s="17">
        <f>IF($A764="","",_xll.BDP($A764&amp;" Corp","INDUSTRY_SECTOR"))</f>
        <v/>
      </c>
      <c r="F764" s="17">
        <f>IF($A764="","",PROPER(_xll.BDP($A764&amp;" Corp","COUNTRY_FULL_NAME")))</f>
        <v/>
      </c>
      <c r="G764" s="17">
        <f>IF($A764="","",_xll.BDP($A764&amp;" Corp","CRNCY"))</f>
        <v/>
      </c>
      <c r="H764" s="17">
        <f>IF($A764="","",IFERROR(INDEX(SYZ_static!$T$2:$T$806,MATCH($A764,SYZ_static!$A$2:$A$806,0)),_xll.BDP($A764&amp;" Corp","RTG_SP")))</f>
        <v/>
      </c>
      <c r="I764" s="17">
        <f>IF($A764="","",IFERROR(INDEX(SYZ_static!$S$2:$S$806,MATCH($A764,SYZ_static!$A$2:$A$806,0)),""))</f>
        <v/>
      </c>
      <c r="J764" s="17">
        <f>IF($A764="","",_xll.BDP($A764&amp;" Corp","PAYMENT_RANK"))</f>
        <v/>
      </c>
      <c r="K764" s="18">
        <f>IF($A764="","",_xll.BDP($A764&amp;" Corp","CPN"))</f>
        <v/>
      </c>
      <c r="L764" s="19">
        <f>IF($A764="","",_xll.BDP($A764&amp;" Corp","MATURITY"))</f>
        <v/>
      </c>
      <c r="M764" s="20">
        <f>IF($A764="","",IFERROR(_xll.BDP($A764&amp;" Corp","MIN_PIECE")/1000,""))</f>
        <v/>
      </c>
      <c r="N764" s="21">
        <f>IF($A764="","",_xll.BDP($A764&amp;" Corp","PX_LAST"))</f>
        <v/>
      </c>
      <c r="O764" s="21">
        <f>IF($A764="","",_xll.BDP($A764&amp;" Corp","YAS_BOND_YLD","YAS_YLD_FLAG=15"))</f>
        <v/>
      </c>
      <c r="P764" s="21">
        <f>IF($A764="","",_xll.BDP($A764&amp;" Corp","YAS_MOD_DUR"))</f>
        <v/>
      </c>
      <c r="Q764" s="22">
        <f>IF($A764="","",_xll.BDP($A764&amp;" Corp","YAS_OAS_SPRD"))</f>
        <v/>
      </c>
      <c r="R764" s="22">
        <f>IF($A764="","",_xll.BDP($A764&amp;" Corp","YAS_OAS_SPRD","SETTLE_DT",$B$2))</f>
        <v/>
      </c>
      <c r="S764" s="23">
        <f>IF($A764="","",IF(OR(NOT(ISNUMBER($Q764)),NOT(ISNUMBER($R764))),"",$Q764-$R764))</f>
        <v/>
      </c>
      <c r="T764" s="21">
        <f>IF($A764="","",_xll.BDP($A764&amp;" Corp","YAS_BOND_YLD","YAS_YLD_FLAG=15","SETTLE_DT",$B$2))</f>
        <v/>
      </c>
      <c r="U764" s="24">
        <f>IF($A764="","",IF(OR(NOT(ISNUMBER($O764)),NOT(ISNUMBER($T764))),"",$O764-$T764))</f>
        <v/>
      </c>
      <c r="V764" s="22">
        <f>IF(NOT(ISNUMBER($S764)),"",COUNTIFS($G$7:$G$850,$G764,$S$7:$S$850,"&gt;"&amp;$S764)+COUNTIFS($G$7:$G764,$G764,$S$7:$S764,$S764))</f>
        <v/>
      </c>
      <c r="W764" s="22">
        <f>IF(NOT(ISNUMBER($S764)),"",COUNTIFS($G$7:$G$850,$G764,$S$7:$S$850,"&lt;"&amp;$S764)+COUNTIFS($G$7:$G764,$G764,$S$7:$S764,$S764))</f>
        <v/>
      </c>
      <c r="X764" s="17">
        <f>IF($V764="","",$G764&amp;"|"&amp;$V764)</f>
        <v/>
      </c>
      <c r="Y764" s="17">
        <f>IF($W764="","",$G764&amp;"|"&amp;$W764)</f>
        <v/>
      </c>
    </row>
    <row r="765">
      <c r="A765" s="7" t="inlineStr">
        <is>
          <t>US06051GNA30</t>
        </is>
      </c>
      <c r="B765" s="8">
        <f>IF($A765="","",PROPER(_xll.BDP($A765&amp;" Corp","NAME")))</f>
        <v/>
      </c>
      <c r="C765" s="8">
        <f>IF($A765="","",IFERROR(INDEX(Company_desc!$B$2:$B$1144,MATCH($A765,Company_desc!$A$2:$A$1144,0)),IFERROR(INDEX(SYZ_static!$Q$2:$Q$806,MATCH($A765,SYZ_static!$A$2:$A$806,0)),"")))</f>
        <v/>
      </c>
      <c r="D765" s="8">
        <f>IF($A765="","",IFERROR(INDEX(SYZ_static!$B$2:$B$806,MATCH($A765,SYZ_static!$A$2:$A$806,0)),""))</f>
        <v/>
      </c>
      <c r="E765" s="8">
        <f>IF($A765="","",_xll.BDP($A765&amp;" Corp","INDUSTRY_SECTOR"))</f>
        <v/>
      </c>
      <c r="F765" s="8">
        <f>IF($A765="","",PROPER(_xll.BDP($A765&amp;" Corp","COUNTRY_FULL_NAME")))</f>
        <v/>
      </c>
      <c r="G765" s="8">
        <f>IF($A765="","",_xll.BDP($A765&amp;" Corp","CRNCY"))</f>
        <v/>
      </c>
      <c r="H765" s="8">
        <f>IF($A765="","",IFERROR(INDEX(SYZ_static!$T$2:$T$806,MATCH($A765,SYZ_static!$A$2:$A$806,0)),_xll.BDP($A765&amp;" Corp","RTG_SP")))</f>
        <v/>
      </c>
      <c r="I765" s="8">
        <f>IF($A765="","",IFERROR(INDEX(SYZ_static!$S$2:$S$806,MATCH($A765,SYZ_static!$A$2:$A$806,0)),""))</f>
        <v/>
      </c>
      <c r="J765" s="8">
        <f>IF($A765="","",_xll.BDP($A765&amp;" Corp","PAYMENT_RANK"))</f>
        <v/>
      </c>
      <c r="K765" s="9">
        <f>IF($A765="","",_xll.BDP($A765&amp;" Corp","CPN"))</f>
        <v/>
      </c>
      <c r="L765" s="10">
        <f>IF($A765="","",_xll.BDP($A765&amp;" Corp","MATURITY"))</f>
        <v/>
      </c>
      <c r="M765" s="11">
        <f>IF($A765="","",IFERROR(_xll.BDP($A765&amp;" Corp","MIN_PIECE")/1000,""))</f>
        <v/>
      </c>
      <c r="N765" s="12">
        <f>IF($A765="","",_xll.BDP($A765&amp;" Corp","PX_LAST"))</f>
        <v/>
      </c>
      <c r="O765" s="12">
        <f>IF($A765="","",_xll.BDP($A765&amp;" Corp","YAS_BOND_YLD","YAS_YLD_FLAG=15"))</f>
        <v/>
      </c>
      <c r="P765" s="12">
        <f>IF($A765="","",_xll.BDP($A765&amp;" Corp","YAS_MOD_DUR"))</f>
        <v/>
      </c>
      <c r="Q765" s="13">
        <f>IF($A765="","",_xll.BDP($A765&amp;" Corp","YAS_OAS_SPRD"))</f>
        <v/>
      </c>
      <c r="R765" s="13">
        <f>IF($A765="","",_xll.BDP($A765&amp;" Corp","YAS_OAS_SPRD","SETTLE_DT",$B$2))</f>
        <v/>
      </c>
      <c r="S765" s="14">
        <f>IF($A765="","",IF(OR(NOT(ISNUMBER($Q765)),NOT(ISNUMBER($R765))),"",$Q765-$R765))</f>
        <v/>
      </c>
      <c r="T765" s="12">
        <f>IF($A765="","",_xll.BDP($A765&amp;" Corp","YAS_BOND_YLD","YAS_YLD_FLAG=15","SETTLE_DT",$B$2))</f>
        <v/>
      </c>
      <c r="U765" s="15">
        <f>IF($A765="","",IF(OR(NOT(ISNUMBER($O765)),NOT(ISNUMBER($T765))),"",$O765-$T765))</f>
        <v/>
      </c>
      <c r="V765" s="13">
        <f>IF(NOT(ISNUMBER($S765)),"",COUNTIFS($G$7:$G$850,$G765,$S$7:$S$850,"&gt;"&amp;$S765)+COUNTIFS($G$7:$G765,$G765,$S$7:$S765,$S765))</f>
        <v/>
      </c>
      <c r="W765" s="13">
        <f>IF(NOT(ISNUMBER($S765)),"",COUNTIFS($G$7:$G$850,$G765,$S$7:$S$850,"&lt;"&amp;$S765)+COUNTIFS($G$7:$G765,$G765,$S$7:$S765,$S765))</f>
        <v/>
      </c>
      <c r="X765" s="8">
        <f>IF($V765="","",$G765&amp;"|"&amp;$V765)</f>
        <v/>
      </c>
      <c r="Y765" s="8">
        <f>IF($W765="","",$G765&amp;"|"&amp;$W765)</f>
        <v/>
      </c>
    </row>
    <row r="766">
      <c r="A766" s="16" t="inlineStr">
        <is>
          <t>XS3270992640</t>
        </is>
      </c>
      <c r="B766" s="17">
        <f>IF($A766="","",PROPER(_xll.BDP($A766&amp;" Corp","NAME")))</f>
        <v/>
      </c>
      <c r="C766" s="17">
        <f>IF($A766="","",IFERROR(INDEX(Company_desc!$B$2:$B$1144,MATCH($A766,Company_desc!$A$2:$A$1144,0)),IFERROR(INDEX(SYZ_static!$Q$2:$Q$806,MATCH($A766,SYZ_static!$A$2:$A$806,0)),"")))</f>
        <v/>
      </c>
      <c r="D766" s="17">
        <f>IF($A766="","",IFERROR(INDEX(SYZ_static!$B$2:$B$806,MATCH($A766,SYZ_static!$A$2:$A$806,0)),""))</f>
        <v/>
      </c>
      <c r="E766" s="17">
        <f>IF($A766="","",_xll.BDP($A766&amp;" Corp","INDUSTRY_SECTOR"))</f>
        <v/>
      </c>
      <c r="F766" s="17">
        <f>IF($A766="","",PROPER(_xll.BDP($A766&amp;" Corp","COUNTRY_FULL_NAME")))</f>
        <v/>
      </c>
      <c r="G766" s="17">
        <f>IF($A766="","",_xll.BDP($A766&amp;" Corp","CRNCY"))</f>
        <v/>
      </c>
      <c r="H766" s="17">
        <f>IF($A766="","",IFERROR(INDEX(SYZ_static!$T$2:$T$806,MATCH($A766,SYZ_static!$A$2:$A$806,0)),_xll.BDP($A766&amp;" Corp","RTG_SP")))</f>
        <v/>
      </c>
      <c r="I766" s="17">
        <f>IF($A766="","",IFERROR(INDEX(SYZ_static!$S$2:$S$806,MATCH($A766,SYZ_static!$A$2:$A$806,0)),""))</f>
        <v/>
      </c>
      <c r="J766" s="17">
        <f>IF($A766="","",_xll.BDP($A766&amp;" Corp","PAYMENT_RANK"))</f>
        <v/>
      </c>
      <c r="K766" s="18">
        <f>IF($A766="","",_xll.BDP($A766&amp;" Corp","CPN"))</f>
        <v/>
      </c>
      <c r="L766" s="19">
        <f>IF($A766="","",_xll.BDP($A766&amp;" Corp","MATURITY"))</f>
        <v/>
      </c>
      <c r="M766" s="20">
        <f>IF($A766="","",IFERROR(_xll.BDP($A766&amp;" Corp","MIN_PIECE")/1000,""))</f>
        <v/>
      </c>
      <c r="N766" s="21">
        <f>IF($A766="","",_xll.BDP($A766&amp;" Corp","PX_LAST"))</f>
        <v/>
      </c>
      <c r="O766" s="21">
        <f>IF($A766="","",_xll.BDP($A766&amp;" Corp","YAS_BOND_YLD","YAS_YLD_FLAG=15"))</f>
        <v/>
      </c>
      <c r="P766" s="21">
        <f>IF($A766="","",_xll.BDP($A766&amp;" Corp","YAS_MOD_DUR"))</f>
        <v/>
      </c>
      <c r="Q766" s="22">
        <f>IF($A766="","",_xll.BDP($A766&amp;" Corp","YAS_OAS_SPRD"))</f>
        <v/>
      </c>
      <c r="R766" s="22">
        <f>IF($A766="","",_xll.BDP($A766&amp;" Corp","YAS_OAS_SPRD","SETTLE_DT",$B$2))</f>
        <v/>
      </c>
      <c r="S766" s="23">
        <f>IF($A766="","",IF(OR(NOT(ISNUMBER($Q766)),NOT(ISNUMBER($R766))),"",$Q766-$R766))</f>
        <v/>
      </c>
      <c r="T766" s="21">
        <f>IF($A766="","",_xll.BDP($A766&amp;" Corp","YAS_BOND_YLD","YAS_YLD_FLAG=15","SETTLE_DT",$B$2))</f>
        <v/>
      </c>
      <c r="U766" s="24">
        <f>IF($A766="","",IF(OR(NOT(ISNUMBER($O766)),NOT(ISNUMBER($T766))),"",$O766-$T766))</f>
        <v/>
      </c>
      <c r="V766" s="22">
        <f>IF(NOT(ISNUMBER($S766)),"",COUNTIFS($G$7:$G$850,$G766,$S$7:$S$850,"&gt;"&amp;$S766)+COUNTIFS($G$7:$G766,$G766,$S$7:$S766,$S766))</f>
        <v/>
      </c>
      <c r="W766" s="22">
        <f>IF(NOT(ISNUMBER($S766)),"",COUNTIFS($G$7:$G$850,$G766,$S$7:$S$850,"&lt;"&amp;$S766)+COUNTIFS($G$7:$G766,$G766,$S$7:$S766,$S766))</f>
        <v/>
      </c>
      <c r="X766" s="17">
        <f>IF($V766="","",$G766&amp;"|"&amp;$V766)</f>
        <v/>
      </c>
      <c r="Y766" s="17">
        <f>IF($W766="","",$G766&amp;"|"&amp;$W766)</f>
        <v/>
      </c>
    </row>
    <row r="767">
      <c r="A767" s="7" t="inlineStr">
        <is>
          <t>XS3282974933</t>
        </is>
      </c>
      <c r="B767" s="8">
        <f>IF($A767="","",PROPER(_xll.BDP($A767&amp;" Corp","NAME")))</f>
        <v/>
      </c>
      <c r="C767" s="8">
        <f>IF($A767="","",IFERROR(INDEX(Company_desc!$B$2:$B$1144,MATCH($A767,Company_desc!$A$2:$A$1144,0)),IFERROR(INDEX(SYZ_static!$Q$2:$Q$806,MATCH($A767,SYZ_static!$A$2:$A$806,0)),"")))</f>
        <v/>
      </c>
      <c r="D767" s="8">
        <f>IF($A767="","",IFERROR(INDEX(SYZ_static!$B$2:$B$806,MATCH($A767,SYZ_static!$A$2:$A$806,0)),""))</f>
        <v/>
      </c>
      <c r="E767" s="8">
        <f>IF($A767="","",_xll.BDP($A767&amp;" Corp","INDUSTRY_SECTOR"))</f>
        <v/>
      </c>
      <c r="F767" s="8">
        <f>IF($A767="","",PROPER(_xll.BDP($A767&amp;" Corp","COUNTRY_FULL_NAME")))</f>
        <v/>
      </c>
      <c r="G767" s="8">
        <f>IF($A767="","",_xll.BDP($A767&amp;" Corp","CRNCY"))</f>
        <v/>
      </c>
      <c r="H767" s="8">
        <f>IF($A767="","",IFERROR(INDEX(SYZ_static!$T$2:$T$806,MATCH($A767,SYZ_static!$A$2:$A$806,0)),_xll.BDP($A767&amp;" Corp","RTG_SP")))</f>
        <v/>
      </c>
      <c r="I767" s="8">
        <f>IF($A767="","",IFERROR(INDEX(SYZ_static!$S$2:$S$806,MATCH($A767,SYZ_static!$A$2:$A$806,0)),""))</f>
        <v/>
      </c>
      <c r="J767" s="8">
        <f>IF($A767="","",_xll.BDP($A767&amp;" Corp","PAYMENT_RANK"))</f>
        <v/>
      </c>
      <c r="K767" s="9">
        <f>IF($A767="","",_xll.BDP($A767&amp;" Corp","CPN"))</f>
        <v/>
      </c>
      <c r="L767" s="10">
        <f>IF($A767="","",_xll.BDP($A767&amp;" Corp","MATURITY"))</f>
        <v/>
      </c>
      <c r="M767" s="11">
        <f>IF($A767="","",IFERROR(_xll.BDP($A767&amp;" Corp","MIN_PIECE")/1000,""))</f>
        <v/>
      </c>
      <c r="N767" s="12">
        <f>IF($A767="","",_xll.BDP($A767&amp;" Corp","PX_LAST"))</f>
        <v/>
      </c>
      <c r="O767" s="12">
        <f>IF($A767="","",_xll.BDP($A767&amp;" Corp","YAS_BOND_YLD","YAS_YLD_FLAG=15"))</f>
        <v/>
      </c>
      <c r="P767" s="12">
        <f>IF($A767="","",_xll.BDP($A767&amp;" Corp","YAS_MOD_DUR"))</f>
        <v/>
      </c>
      <c r="Q767" s="13">
        <f>IF($A767="","",_xll.BDP($A767&amp;" Corp","YAS_OAS_SPRD"))</f>
        <v/>
      </c>
      <c r="R767" s="13">
        <f>IF($A767="","",_xll.BDP($A767&amp;" Corp","YAS_OAS_SPRD","SETTLE_DT",$B$2))</f>
        <v/>
      </c>
      <c r="S767" s="14">
        <f>IF($A767="","",IF(OR(NOT(ISNUMBER($Q767)),NOT(ISNUMBER($R767))),"",$Q767-$R767))</f>
        <v/>
      </c>
      <c r="T767" s="12">
        <f>IF($A767="","",_xll.BDP($A767&amp;" Corp","YAS_BOND_YLD","YAS_YLD_FLAG=15","SETTLE_DT",$B$2))</f>
        <v/>
      </c>
      <c r="U767" s="15">
        <f>IF($A767="","",IF(OR(NOT(ISNUMBER($O767)),NOT(ISNUMBER($T767))),"",$O767-$T767))</f>
        <v/>
      </c>
      <c r="V767" s="13">
        <f>IF(NOT(ISNUMBER($S767)),"",COUNTIFS($G$7:$G$850,$G767,$S$7:$S$850,"&gt;"&amp;$S767)+COUNTIFS($G$7:$G767,$G767,$S$7:$S767,$S767))</f>
        <v/>
      </c>
      <c r="W767" s="13">
        <f>IF(NOT(ISNUMBER($S767)),"",COUNTIFS($G$7:$G$850,$G767,$S$7:$S$850,"&lt;"&amp;$S767)+COUNTIFS($G$7:$G767,$G767,$S$7:$S767,$S767))</f>
        <v/>
      </c>
      <c r="X767" s="8">
        <f>IF($V767="","",$G767&amp;"|"&amp;$V767)</f>
        <v/>
      </c>
      <c r="Y767" s="8">
        <f>IF($W767="","",$G767&amp;"|"&amp;$W767)</f>
        <v/>
      </c>
    </row>
    <row r="768">
      <c r="A768" s="16" t="inlineStr">
        <is>
          <t>US29250NCQ60</t>
        </is>
      </c>
      <c r="B768" s="17">
        <f>IF($A768="","",PROPER(_xll.BDP($A768&amp;" Corp","NAME")))</f>
        <v/>
      </c>
      <c r="C768" s="17">
        <f>IF($A768="","",IFERROR(INDEX(Company_desc!$B$2:$B$1144,MATCH($A768,Company_desc!$A$2:$A$1144,0)),IFERROR(INDEX(SYZ_static!$Q$2:$Q$806,MATCH($A768,SYZ_static!$A$2:$A$806,0)),"")))</f>
        <v/>
      </c>
      <c r="D768" s="17">
        <f>IF($A768="","",IFERROR(INDEX(SYZ_static!$B$2:$B$806,MATCH($A768,SYZ_static!$A$2:$A$806,0)),""))</f>
        <v/>
      </c>
      <c r="E768" s="17">
        <f>IF($A768="","",_xll.BDP($A768&amp;" Corp","INDUSTRY_SECTOR"))</f>
        <v/>
      </c>
      <c r="F768" s="17">
        <f>IF($A768="","",PROPER(_xll.BDP($A768&amp;" Corp","COUNTRY_FULL_NAME")))</f>
        <v/>
      </c>
      <c r="G768" s="17">
        <f>IF($A768="","",_xll.BDP($A768&amp;" Corp","CRNCY"))</f>
        <v/>
      </c>
      <c r="H768" s="17">
        <f>IF($A768="","",IFERROR(INDEX(SYZ_static!$T$2:$T$806,MATCH($A768,SYZ_static!$A$2:$A$806,0)),_xll.BDP($A768&amp;" Corp","RTG_SP")))</f>
        <v/>
      </c>
      <c r="I768" s="17">
        <f>IF($A768="","",IFERROR(INDEX(SYZ_static!$S$2:$S$806,MATCH($A768,SYZ_static!$A$2:$A$806,0)),""))</f>
        <v/>
      </c>
      <c r="J768" s="17">
        <f>IF($A768="","",_xll.BDP($A768&amp;" Corp","PAYMENT_RANK"))</f>
        <v/>
      </c>
      <c r="K768" s="18">
        <f>IF($A768="","",_xll.BDP($A768&amp;" Corp","CPN"))</f>
        <v/>
      </c>
      <c r="L768" s="19">
        <f>IF($A768="","",_xll.BDP($A768&amp;" Corp","MATURITY"))</f>
        <v/>
      </c>
      <c r="M768" s="20">
        <f>IF($A768="","",IFERROR(_xll.BDP($A768&amp;" Corp","MIN_PIECE")/1000,""))</f>
        <v/>
      </c>
      <c r="N768" s="21">
        <f>IF($A768="","",_xll.BDP($A768&amp;" Corp","PX_LAST"))</f>
        <v/>
      </c>
      <c r="O768" s="21">
        <f>IF($A768="","",_xll.BDP($A768&amp;" Corp","YAS_BOND_YLD","YAS_YLD_FLAG=15"))</f>
        <v/>
      </c>
      <c r="P768" s="21">
        <f>IF($A768="","",_xll.BDP($A768&amp;" Corp","YAS_MOD_DUR"))</f>
        <v/>
      </c>
      <c r="Q768" s="22">
        <f>IF($A768="","",_xll.BDP($A768&amp;" Corp","YAS_OAS_SPRD"))</f>
        <v/>
      </c>
      <c r="R768" s="22">
        <f>IF($A768="","",_xll.BDP($A768&amp;" Corp","YAS_OAS_SPRD","SETTLE_DT",$B$2))</f>
        <v/>
      </c>
      <c r="S768" s="23">
        <f>IF($A768="","",IF(OR(NOT(ISNUMBER($Q768)),NOT(ISNUMBER($R768))),"",$Q768-$R768))</f>
        <v/>
      </c>
      <c r="T768" s="21">
        <f>IF($A768="","",_xll.BDP($A768&amp;" Corp","YAS_BOND_YLD","YAS_YLD_FLAG=15","SETTLE_DT",$B$2))</f>
        <v/>
      </c>
      <c r="U768" s="24">
        <f>IF($A768="","",IF(OR(NOT(ISNUMBER($O768)),NOT(ISNUMBER($T768))),"",$O768-$T768))</f>
        <v/>
      </c>
      <c r="V768" s="22">
        <f>IF(NOT(ISNUMBER($S768)),"",COUNTIFS($G$7:$G$850,$G768,$S$7:$S$850,"&gt;"&amp;$S768)+COUNTIFS($G$7:$G768,$G768,$S$7:$S768,$S768))</f>
        <v/>
      </c>
      <c r="W768" s="22">
        <f>IF(NOT(ISNUMBER($S768)),"",COUNTIFS($G$7:$G$850,$G768,$S$7:$S$850,"&lt;"&amp;$S768)+COUNTIFS($G$7:$G768,$G768,$S$7:$S768,$S768))</f>
        <v/>
      </c>
      <c r="X768" s="17">
        <f>IF($V768="","",$G768&amp;"|"&amp;$V768)</f>
        <v/>
      </c>
      <c r="Y768" s="17">
        <f>IF($W768="","",$G768&amp;"|"&amp;$W768)</f>
        <v/>
      </c>
    </row>
    <row r="769">
      <c r="A769" s="7" t="inlineStr">
        <is>
          <t>US04636NAR44</t>
        </is>
      </c>
      <c r="B769" s="8">
        <f>IF($A769="","",PROPER(_xll.BDP($A769&amp;" Corp","NAME")))</f>
        <v/>
      </c>
      <c r="C769" s="8">
        <f>IF($A769="","",IFERROR(INDEX(Company_desc!$B$2:$B$1144,MATCH($A769,Company_desc!$A$2:$A$1144,0)),IFERROR(INDEX(SYZ_static!$Q$2:$Q$806,MATCH($A769,SYZ_static!$A$2:$A$806,0)),"")))</f>
        <v/>
      </c>
      <c r="D769" s="8">
        <f>IF($A769="","",IFERROR(INDEX(SYZ_static!$B$2:$B$806,MATCH($A769,SYZ_static!$A$2:$A$806,0)),""))</f>
        <v/>
      </c>
      <c r="E769" s="8">
        <f>IF($A769="","",_xll.BDP($A769&amp;" Corp","INDUSTRY_SECTOR"))</f>
        <v/>
      </c>
      <c r="F769" s="8">
        <f>IF($A769="","",PROPER(_xll.BDP($A769&amp;" Corp","COUNTRY_FULL_NAME")))</f>
        <v/>
      </c>
      <c r="G769" s="8">
        <f>IF($A769="","",_xll.BDP($A769&amp;" Corp","CRNCY"))</f>
        <v/>
      </c>
      <c r="H769" s="8">
        <f>IF($A769="","",IFERROR(INDEX(SYZ_static!$T$2:$T$806,MATCH($A769,SYZ_static!$A$2:$A$806,0)),_xll.BDP($A769&amp;" Corp","RTG_SP")))</f>
        <v/>
      </c>
      <c r="I769" s="8">
        <f>IF($A769="","",IFERROR(INDEX(SYZ_static!$S$2:$S$806,MATCH($A769,SYZ_static!$A$2:$A$806,0)),""))</f>
        <v/>
      </c>
      <c r="J769" s="8">
        <f>IF($A769="","",_xll.BDP($A769&amp;" Corp","PAYMENT_RANK"))</f>
        <v/>
      </c>
      <c r="K769" s="9">
        <f>IF($A769="","",_xll.BDP($A769&amp;" Corp","CPN"))</f>
        <v/>
      </c>
      <c r="L769" s="10">
        <f>IF($A769="","",_xll.BDP($A769&amp;" Corp","MATURITY"))</f>
        <v/>
      </c>
      <c r="M769" s="11">
        <f>IF($A769="","",IFERROR(_xll.BDP($A769&amp;" Corp","MIN_PIECE")/1000,""))</f>
        <v/>
      </c>
      <c r="N769" s="12">
        <f>IF($A769="","",_xll.BDP($A769&amp;" Corp","PX_LAST"))</f>
        <v/>
      </c>
      <c r="O769" s="12">
        <f>IF($A769="","",_xll.BDP($A769&amp;" Corp","YAS_BOND_YLD","YAS_YLD_FLAG=15"))</f>
        <v/>
      </c>
      <c r="P769" s="12">
        <f>IF($A769="","",_xll.BDP($A769&amp;" Corp","YAS_MOD_DUR"))</f>
        <v/>
      </c>
      <c r="Q769" s="13">
        <f>IF($A769="","",_xll.BDP($A769&amp;" Corp","YAS_OAS_SPRD"))</f>
        <v/>
      </c>
      <c r="R769" s="13">
        <f>IF($A769="","",_xll.BDP($A769&amp;" Corp","YAS_OAS_SPRD","SETTLE_DT",$B$2))</f>
        <v/>
      </c>
      <c r="S769" s="14">
        <f>IF($A769="","",IF(OR(NOT(ISNUMBER($Q769)),NOT(ISNUMBER($R769))),"",$Q769-$R769))</f>
        <v/>
      </c>
      <c r="T769" s="12">
        <f>IF($A769="","",_xll.BDP($A769&amp;" Corp","YAS_BOND_YLD","YAS_YLD_FLAG=15","SETTLE_DT",$B$2))</f>
        <v/>
      </c>
      <c r="U769" s="15">
        <f>IF($A769="","",IF(OR(NOT(ISNUMBER($O769)),NOT(ISNUMBER($T769))),"",$O769-$T769))</f>
        <v/>
      </c>
      <c r="V769" s="13">
        <f>IF(NOT(ISNUMBER($S769)),"",COUNTIFS($G$7:$G$850,$G769,$S$7:$S$850,"&gt;"&amp;$S769)+COUNTIFS($G$7:$G769,$G769,$S$7:$S769,$S769))</f>
        <v/>
      </c>
      <c r="W769" s="13">
        <f>IF(NOT(ISNUMBER($S769)),"",COUNTIFS($G$7:$G$850,$G769,$S$7:$S$850,"&lt;"&amp;$S769)+COUNTIFS($G$7:$G769,$G769,$S$7:$S769,$S769))</f>
        <v/>
      </c>
      <c r="X769" s="8">
        <f>IF($V769="","",$G769&amp;"|"&amp;$V769)</f>
        <v/>
      </c>
      <c r="Y769" s="8">
        <f>IF($W769="","",$G769&amp;"|"&amp;$W769)</f>
        <v/>
      </c>
    </row>
    <row r="770">
      <c r="A770" s="16" t="n"/>
      <c r="B770" s="17">
        <f>IF($A770="","",PROPER(_xll.BDP($A770&amp;" Corp","NAME")))</f>
        <v/>
      </c>
      <c r="C770" s="17">
        <f>IF($A770="","",IFERROR(INDEX(Company_desc!$B$2:$B$1144,MATCH($A770,Company_desc!$A$2:$A$1144,0)),IFERROR(INDEX(SYZ_static!$Q$2:$Q$806,MATCH($A770,SYZ_static!$A$2:$A$806,0)),"")))</f>
        <v/>
      </c>
      <c r="D770" s="17">
        <f>IF($A770="","",IFERROR(INDEX(SYZ_static!$B$2:$B$806,MATCH($A770,SYZ_static!$A$2:$A$806,0)),""))</f>
        <v/>
      </c>
      <c r="E770" s="17">
        <f>IF($A770="","",_xll.BDP($A770&amp;" Corp","INDUSTRY_SECTOR"))</f>
        <v/>
      </c>
      <c r="F770" s="17">
        <f>IF($A770="","",PROPER(_xll.BDP($A770&amp;" Corp","COUNTRY_FULL_NAME")))</f>
        <v/>
      </c>
      <c r="G770" s="17">
        <f>IF($A770="","",_xll.BDP($A770&amp;" Corp","CRNCY"))</f>
        <v/>
      </c>
      <c r="H770" s="17">
        <f>IF($A770="","",IFERROR(INDEX(SYZ_static!$T$2:$T$806,MATCH($A770,SYZ_static!$A$2:$A$806,0)),_xll.BDP($A770&amp;" Corp","RTG_SP")))</f>
        <v/>
      </c>
      <c r="I770" s="17">
        <f>IF($A770="","",IFERROR(INDEX(SYZ_static!$S$2:$S$806,MATCH($A770,SYZ_static!$A$2:$A$806,0)),""))</f>
        <v/>
      </c>
      <c r="J770" s="17">
        <f>IF($A770="","",_xll.BDP($A770&amp;" Corp","PAYMENT_RANK"))</f>
        <v/>
      </c>
      <c r="K770" s="18">
        <f>IF($A770="","",_xll.BDP($A770&amp;" Corp","CPN"))</f>
        <v/>
      </c>
      <c r="L770" s="19">
        <f>IF($A770="","",_xll.BDP($A770&amp;" Corp","MATURITY"))</f>
        <v/>
      </c>
      <c r="M770" s="20">
        <f>IF($A770="","",IFERROR(_xll.BDP($A770&amp;" Corp","MIN_PIECE")/1000,""))</f>
        <v/>
      </c>
      <c r="N770" s="21">
        <f>IF($A770="","",_xll.BDP($A770&amp;" Corp","PX_LAST"))</f>
        <v/>
      </c>
      <c r="O770" s="21">
        <f>IF($A770="","",_xll.BDP($A770&amp;" Corp","YAS_BOND_YLD","YAS_YLD_FLAG=15"))</f>
        <v/>
      </c>
      <c r="P770" s="21">
        <f>IF($A770="","",_xll.BDP($A770&amp;" Corp","YAS_MOD_DUR"))</f>
        <v/>
      </c>
      <c r="Q770" s="22">
        <f>IF($A770="","",_xll.BDP($A770&amp;" Corp","YAS_OAS_SPRD"))</f>
        <v/>
      </c>
      <c r="R770" s="22">
        <f>IF($A770="","",_xll.BDP($A770&amp;" Corp","YAS_OAS_SPRD","SETTLE_DT",$B$2))</f>
        <v/>
      </c>
      <c r="S770" s="23">
        <f>IF($A770="","",IF(OR(NOT(ISNUMBER($Q770)),NOT(ISNUMBER($R770))),"",$Q770-$R770))</f>
        <v/>
      </c>
      <c r="T770" s="21">
        <f>IF($A770="","",_xll.BDP($A770&amp;" Corp","YAS_BOND_YLD","YAS_YLD_FLAG=15","SETTLE_DT",$B$2))</f>
        <v/>
      </c>
      <c r="U770" s="24">
        <f>IF($A770="","",IF(OR(NOT(ISNUMBER($O770)),NOT(ISNUMBER($T770))),"",$O770-$T770))</f>
        <v/>
      </c>
      <c r="V770" s="22">
        <f>IF(NOT(ISNUMBER($S770)),"",COUNTIFS($G$7:$G$850,$G770,$S$7:$S$850,"&gt;"&amp;$S770)+COUNTIFS($G$7:$G770,$G770,$S$7:$S770,$S770))</f>
        <v/>
      </c>
      <c r="W770" s="22">
        <f>IF(NOT(ISNUMBER($S770)),"",COUNTIFS($G$7:$G$850,$G770,$S$7:$S$850,"&lt;"&amp;$S770)+COUNTIFS($G$7:$G770,$G770,$S$7:$S770,$S770))</f>
        <v/>
      </c>
      <c r="X770" s="17">
        <f>IF($V770="","",$G770&amp;"|"&amp;$V770)</f>
        <v/>
      </c>
      <c r="Y770" s="17">
        <f>IF($W770="","",$G770&amp;"|"&amp;$W770)</f>
        <v/>
      </c>
    </row>
    <row r="771">
      <c r="A771" s="7" t="n"/>
      <c r="B771" s="8">
        <f>IF($A771="","",PROPER(_xll.BDP($A771&amp;" Corp","NAME")))</f>
        <v/>
      </c>
      <c r="C771" s="8">
        <f>IF($A771="","",IFERROR(INDEX(Company_desc!$B$2:$B$1144,MATCH($A771,Company_desc!$A$2:$A$1144,0)),IFERROR(INDEX(SYZ_static!$Q$2:$Q$806,MATCH($A771,SYZ_static!$A$2:$A$806,0)),"")))</f>
        <v/>
      </c>
      <c r="D771" s="8">
        <f>IF($A771="","",IFERROR(INDEX(SYZ_static!$B$2:$B$806,MATCH($A771,SYZ_static!$A$2:$A$806,0)),""))</f>
        <v/>
      </c>
      <c r="E771" s="8">
        <f>IF($A771="","",_xll.BDP($A771&amp;" Corp","INDUSTRY_SECTOR"))</f>
        <v/>
      </c>
      <c r="F771" s="8">
        <f>IF($A771="","",PROPER(_xll.BDP($A771&amp;" Corp","COUNTRY_FULL_NAME")))</f>
        <v/>
      </c>
      <c r="G771" s="8">
        <f>IF($A771="","",_xll.BDP($A771&amp;" Corp","CRNCY"))</f>
        <v/>
      </c>
      <c r="H771" s="8">
        <f>IF($A771="","",IFERROR(INDEX(SYZ_static!$T$2:$T$806,MATCH($A771,SYZ_static!$A$2:$A$806,0)),_xll.BDP($A771&amp;" Corp","RTG_SP")))</f>
        <v/>
      </c>
      <c r="I771" s="8">
        <f>IF($A771="","",IFERROR(INDEX(SYZ_static!$S$2:$S$806,MATCH($A771,SYZ_static!$A$2:$A$806,0)),""))</f>
        <v/>
      </c>
      <c r="J771" s="8">
        <f>IF($A771="","",_xll.BDP($A771&amp;" Corp","PAYMENT_RANK"))</f>
        <v/>
      </c>
      <c r="K771" s="9">
        <f>IF($A771="","",_xll.BDP($A771&amp;" Corp","CPN"))</f>
        <v/>
      </c>
      <c r="L771" s="10">
        <f>IF($A771="","",_xll.BDP($A771&amp;" Corp","MATURITY"))</f>
        <v/>
      </c>
      <c r="M771" s="11">
        <f>IF($A771="","",IFERROR(_xll.BDP($A771&amp;" Corp","MIN_PIECE")/1000,""))</f>
        <v/>
      </c>
      <c r="N771" s="12">
        <f>IF($A771="","",_xll.BDP($A771&amp;" Corp","PX_LAST"))</f>
        <v/>
      </c>
      <c r="O771" s="12">
        <f>IF($A771="","",_xll.BDP($A771&amp;" Corp","YAS_BOND_YLD","YAS_YLD_FLAG=15"))</f>
        <v/>
      </c>
      <c r="P771" s="12">
        <f>IF($A771="","",_xll.BDP($A771&amp;" Corp","YAS_MOD_DUR"))</f>
        <v/>
      </c>
      <c r="Q771" s="13">
        <f>IF($A771="","",_xll.BDP($A771&amp;" Corp","YAS_OAS_SPRD"))</f>
        <v/>
      </c>
      <c r="R771" s="13">
        <f>IF($A771="","",_xll.BDP($A771&amp;" Corp","YAS_OAS_SPRD","SETTLE_DT",$B$2))</f>
        <v/>
      </c>
      <c r="S771" s="14">
        <f>IF($A771="","",IF(OR(NOT(ISNUMBER($Q771)),NOT(ISNUMBER($R771))),"",$Q771-$R771))</f>
        <v/>
      </c>
      <c r="T771" s="12">
        <f>IF($A771="","",_xll.BDP($A771&amp;" Corp","YAS_BOND_YLD","YAS_YLD_FLAG=15","SETTLE_DT",$B$2))</f>
        <v/>
      </c>
      <c r="U771" s="15">
        <f>IF($A771="","",IF(OR(NOT(ISNUMBER($O771)),NOT(ISNUMBER($T771))),"",$O771-$T771))</f>
        <v/>
      </c>
      <c r="V771" s="13">
        <f>IF(NOT(ISNUMBER($S771)),"",COUNTIFS($G$7:$G$850,$G771,$S$7:$S$850,"&gt;"&amp;$S771)+COUNTIFS($G$7:$G771,$G771,$S$7:$S771,$S771))</f>
        <v/>
      </c>
      <c r="W771" s="13">
        <f>IF(NOT(ISNUMBER($S771)),"",COUNTIFS($G$7:$G$850,$G771,$S$7:$S$850,"&lt;"&amp;$S771)+COUNTIFS($G$7:$G771,$G771,$S$7:$S771,$S771))</f>
        <v/>
      </c>
      <c r="X771" s="8">
        <f>IF($V771="","",$G771&amp;"|"&amp;$V771)</f>
        <v/>
      </c>
      <c r="Y771" s="8">
        <f>IF($W771="","",$G771&amp;"|"&amp;$W771)</f>
        <v/>
      </c>
    </row>
    <row r="772">
      <c r="A772" s="16" t="n"/>
      <c r="B772" s="17">
        <f>IF($A772="","",PROPER(_xll.BDP($A772&amp;" Corp","NAME")))</f>
        <v/>
      </c>
      <c r="C772" s="17">
        <f>IF($A772="","",IFERROR(INDEX(Company_desc!$B$2:$B$1144,MATCH($A772,Company_desc!$A$2:$A$1144,0)),IFERROR(INDEX(SYZ_static!$Q$2:$Q$806,MATCH($A772,SYZ_static!$A$2:$A$806,0)),"")))</f>
        <v/>
      </c>
      <c r="D772" s="17">
        <f>IF($A772="","",IFERROR(INDEX(SYZ_static!$B$2:$B$806,MATCH($A772,SYZ_static!$A$2:$A$806,0)),""))</f>
        <v/>
      </c>
      <c r="E772" s="17">
        <f>IF($A772="","",_xll.BDP($A772&amp;" Corp","INDUSTRY_SECTOR"))</f>
        <v/>
      </c>
      <c r="F772" s="17">
        <f>IF($A772="","",PROPER(_xll.BDP($A772&amp;" Corp","COUNTRY_FULL_NAME")))</f>
        <v/>
      </c>
      <c r="G772" s="17">
        <f>IF($A772="","",_xll.BDP($A772&amp;" Corp","CRNCY"))</f>
        <v/>
      </c>
      <c r="H772" s="17">
        <f>IF($A772="","",IFERROR(INDEX(SYZ_static!$T$2:$T$806,MATCH($A772,SYZ_static!$A$2:$A$806,0)),_xll.BDP($A772&amp;" Corp","RTG_SP")))</f>
        <v/>
      </c>
      <c r="I772" s="17">
        <f>IF($A772="","",IFERROR(INDEX(SYZ_static!$S$2:$S$806,MATCH($A772,SYZ_static!$A$2:$A$806,0)),""))</f>
        <v/>
      </c>
      <c r="J772" s="17">
        <f>IF($A772="","",_xll.BDP($A772&amp;" Corp","PAYMENT_RANK"))</f>
        <v/>
      </c>
      <c r="K772" s="18">
        <f>IF($A772="","",_xll.BDP($A772&amp;" Corp","CPN"))</f>
        <v/>
      </c>
      <c r="L772" s="19">
        <f>IF($A772="","",_xll.BDP($A772&amp;" Corp","MATURITY"))</f>
        <v/>
      </c>
      <c r="M772" s="20">
        <f>IF($A772="","",IFERROR(_xll.BDP($A772&amp;" Corp","MIN_PIECE")/1000,""))</f>
        <v/>
      </c>
      <c r="N772" s="21">
        <f>IF($A772="","",_xll.BDP($A772&amp;" Corp","PX_LAST"))</f>
        <v/>
      </c>
      <c r="O772" s="21">
        <f>IF($A772="","",_xll.BDP($A772&amp;" Corp","YAS_BOND_YLD","YAS_YLD_FLAG=15"))</f>
        <v/>
      </c>
      <c r="P772" s="21">
        <f>IF($A772="","",_xll.BDP($A772&amp;" Corp","YAS_MOD_DUR"))</f>
        <v/>
      </c>
      <c r="Q772" s="22">
        <f>IF($A772="","",_xll.BDP($A772&amp;" Corp","YAS_OAS_SPRD"))</f>
        <v/>
      </c>
      <c r="R772" s="22">
        <f>IF($A772="","",_xll.BDP($A772&amp;" Corp","YAS_OAS_SPRD","SETTLE_DT",$B$2))</f>
        <v/>
      </c>
      <c r="S772" s="23">
        <f>IF($A772="","",IF(OR(NOT(ISNUMBER($Q772)),NOT(ISNUMBER($R772))),"",$Q772-$R772))</f>
        <v/>
      </c>
      <c r="T772" s="21">
        <f>IF($A772="","",_xll.BDP($A772&amp;" Corp","YAS_BOND_YLD","YAS_YLD_FLAG=15","SETTLE_DT",$B$2))</f>
        <v/>
      </c>
      <c r="U772" s="24">
        <f>IF($A772="","",IF(OR(NOT(ISNUMBER($O772)),NOT(ISNUMBER($T772))),"",$O772-$T772))</f>
        <v/>
      </c>
      <c r="V772" s="22">
        <f>IF(NOT(ISNUMBER($S772)),"",COUNTIFS($G$7:$G$850,$G772,$S$7:$S$850,"&gt;"&amp;$S772)+COUNTIFS($G$7:$G772,$G772,$S$7:$S772,$S772))</f>
        <v/>
      </c>
      <c r="W772" s="22">
        <f>IF(NOT(ISNUMBER($S772)),"",COUNTIFS($G$7:$G$850,$G772,$S$7:$S$850,"&lt;"&amp;$S772)+COUNTIFS($G$7:$G772,$G772,$S$7:$S772,$S772))</f>
        <v/>
      </c>
      <c r="X772" s="17">
        <f>IF($V772="","",$G772&amp;"|"&amp;$V772)</f>
        <v/>
      </c>
      <c r="Y772" s="17">
        <f>IF($W772="","",$G772&amp;"|"&amp;$W772)</f>
        <v/>
      </c>
    </row>
    <row r="773">
      <c r="A773" s="7" t="n"/>
      <c r="B773" s="8">
        <f>IF($A773="","",PROPER(_xll.BDP($A773&amp;" Corp","NAME")))</f>
        <v/>
      </c>
      <c r="C773" s="8">
        <f>IF($A773="","",IFERROR(INDEX(Company_desc!$B$2:$B$1144,MATCH($A773,Company_desc!$A$2:$A$1144,0)),IFERROR(INDEX(SYZ_static!$Q$2:$Q$806,MATCH($A773,SYZ_static!$A$2:$A$806,0)),"")))</f>
        <v/>
      </c>
      <c r="D773" s="8">
        <f>IF($A773="","",IFERROR(INDEX(SYZ_static!$B$2:$B$806,MATCH($A773,SYZ_static!$A$2:$A$806,0)),""))</f>
        <v/>
      </c>
      <c r="E773" s="8">
        <f>IF($A773="","",_xll.BDP($A773&amp;" Corp","INDUSTRY_SECTOR"))</f>
        <v/>
      </c>
      <c r="F773" s="8">
        <f>IF($A773="","",PROPER(_xll.BDP($A773&amp;" Corp","COUNTRY_FULL_NAME")))</f>
        <v/>
      </c>
      <c r="G773" s="8">
        <f>IF($A773="","",_xll.BDP($A773&amp;" Corp","CRNCY"))</f>
        <v/>
      </c>
      <c r="H773" s="8">
        <f>IF($A773="","",IFERROR(INDEX(SYZ_static!$T$2:$T$806,MATCH($A773,SYZ_static!$A$2:$A$806,0)),_xll.BDP($A773&amp;" Corp","RTG_SP")))</f>
        <v/>
      </c>
      <c r="I773" s="8">
        <f>IF($A773="","",IFERROR(INDEX(SYZ_static!$S$2:$S$806,MATCH($A773,SYZ_static!$A$2:$A$806,0)),""))</f>
        <v/>
      </c>
      <c r="J773" s="8">
        <f>IF($A773="","",_xll.BDP($A773&amp;" Corp","PAYMENT_RANK"))</f>
        <v/>
      </c>
      <c r="K773" s="9">
        <f>IF($A773="","",_xll.BDP($A773&amp;" Corp","CPN"))</f>
        <v/>
      </c>
      <c r="L773" s="10">
        <f>IF($A773="","",_xll.BDP($A773&amp;" Corp","MATURITY"))</f>
        <v/>
      </c>
      <c r="M773" s="11">
        <f>IF($A773="","",IFERROR(_xll.BDP($A773&amp;" Corp","MIN_PIECE")/1000,""))</f>
        <v/>
      </c>
      <c r="N773" s="12">
        <f>IF($A773="","",_xll.BDP($A773&amp;" Corp","PX_LAST"))</f>
        <v/>
      </c>
      <c r="O773" s="12">
        <f>IF($A773="","",_xll.BDP($A773&amp;" Corp","YAS_BOND_YLD","YAS_YLD_FLAG=15"))</f>
        <v/>
      </c>
      <c r="P773" s="12">
        <f>IF($A773="","",_xll.BDP($A773&amp;" Corp","YAS_MOD_DUR"))</f>
        <v/>
      </c>
      <c r="Q773" s="13">
        <f>IF($A773="","",_xll.BDP($A773&amp;" Corp","YAS_OAS_SPRD"))</f>
        <v/>
      </c>
      <c r="R773" s="13">
        <f>IF($A773="","",_xll.BDP($A773&amp;" Corp","YAS_OAS_SPRD","SETTLE_DT",$B$2))</f>
        <v/>
      </c>
      <c r="S773" s="14">
        <f>IF($A773="","",IF(OR(NOT(ISNUMBER($Q773)),NOT(ISNUMBER($R773))),"",$Q773-$R773))</f>
        <v/>
      </c>
      <c r="T773" s="12">
        <f>IF($A773="","",_xll.BDP($A773&amp;" Corp","YAS_BOND_YLD","YAS_YLD_FLAG=15","SETTLE_DT",$B$2))</f>
        <v/>
      </c>
      <c r="U773" s="15">
        <f>IF($A773="","",IF(OR(NOT(ISNUMBER($O773)),NOT(ISNUMBER($T773))),"",$O773-$T773))</f>
        <v/>
      </c>
      <c r="V773" s="13">
        <f>IF(NOT(ISNUMBER($S773)),"",COUNTIFS($G$7:$G$850,$G773,$S$7:$S$850,"&gt;"&amp;$S773)+COUNTIFS($G$7:$G773,$G773,$S$7:$S773,$S773))</f>
        <v/>
      </c>
      <c r="W773" s="13">
        <f>IF(NOT(ISNUMBER($S773)),"",COUNTIFS($G$7:$G$850,$G773,$S$7:$S$850,"&lt;"&amp;$S773)+COUNTIFS($G$7:$G773,$G773,$S$7:$S773,$S773))</f>
        <v/>
      </c>
      <c r="X773" s="8">
        <f>IF($V773="","",$G773&amp;"|"&amp;$V773)</f>
        <v/>
      </c>
      <c r="Y773" s="8">
        <f>IF($W773="","",$G773&amp;"|"&amp;$W773)</f>
        <v/>
      </c>
    </row>
    <row r="774">
      <c r="A774" s="16" t="n"/>
      <c r="B774" s="17">
        <f>IF($A774="","",PROPER(_xll.BDP($A774&amp;" Corp","NAME")))</f>
        <v/>
      </c>
      <c r="C774" s="17">
        <f>IF($A774="","",IFERROR(INDEX(Company_desc!$B$2:$B$1144,MATCH($A774,Company_desc!$A$2:$A$1144,0)),IFERROR(INDEX(SYZ_static!$Q$2:$Q$806,MATCH($A774,SYZ_static!$A$2:$A$806,0)),"")))</f>
        <v/>
      </c>
      <c r="D774" s="17">
        <f>IF($A774="","",IFERROR(INDEX(SYZ_static!$B$2:$B$806,MATCH($A774,SYZ_static!$A$2:$A$806,0)),""))</f>
        <v/>
      </c>
      <c r="E774" s="17">
        <f>IF($A774="","",_xll.BDP($A774&amp;" Corp","INDUSTRY_SECTOR"))</f>
        <v/>
      </c>
      <c r="F774" s="17">
        <f>IF($A774="","",PROPER(_xll.BDP($A774&amp;" Corp","COUNTRY_FULL_NAME")))</f>
        <v/>
      </c>
      <c r="G774" s="17">
        <f>IF($A774="","",_xll.BDP($A774&amp;" Corp","CRNCY"))</f>
        <v/>
      </c>
      <c r="H774" s="17">
        <f>IF($A774="","",IFERROR(INDEX(SYZ_static!$T$2:$T$806,MATCH($A774,SYZ_static!$A$2:$A$806,0)),_xll.BDP($A774&amp;" Corp","RTG_SP")))</f>
        <v/>
      </c>
      <c r="I774" s="17">
        <f>IF($A774="","",IFERROR(INDEX(SYZ_static!$S$2:$S$806,MATCH($A774,SYZ_static!$A$2:$A$806,0)),""))</f>
        <v/>
      </c>
      <c r="J774" s="17">
        <f>IF($A774="","",_xll.BDP($A774&amp;" Corp","PAYMENT_RANK"))</f>
        <v/>
      </c>
      <c r="K774" s="18">
        <f>IF($A774="","",_xll.BDP($A774&amp;" Corp","CPN"))</f>
        <v/>
      </c>
      <c r="L774" s="19">
        <f>IF($A774="","",_xll.BDP($A774&amp;" Corp","MATURITY"))</f>
        <v/>
      </c>
      <c r="M774" s="20">
        <f>IF($A774="","",IFERROR(_xll.BDP($A774&amp;" Corp","MIN_PIECE")/1000,""))</f>
        <v/>
      </c>
      <c r="N774" s="21">
        <f>IF($A774="","",_xll.BDP($A774&amp;" Corp","PX_LAST"))</f>
        <v/>
      </c>
      <c r="O774" s="21">
        <f>IF($A774="","",_xll.BDP($A774&amp;" Corp","YAS_BOND_YLD","YAS_YLD_FLAG=15"))</f>
        <v/>
      </c>
      <c r="P774" s="21">
        <f>IF($A774="","",_xll.BDP($A774&amp;" Corp","YAS_MOD_DUR"))</f>
        <v/>
      </c>
      <c r="Q774" s="22">
        <f>IF($A774="","",_xll.BDP($A774&amp;" Corp","YAS_OAS_SPRD"))</f>
        <v/>
      </c>
      <c r="R774" s="22">
        <f>IF($A774="","",_xll.BDP($A774&amp;" Corp","YAS_OAS_SPRD","SETTLE_DT",$B$2))</f>
        <v/>
      </c>
      <c r="S774" s="23">
        <f>IF($A774="","",IF(OR(NOT(ISNUMBER($Q774)),NOT(ISNUMBER($R774))),"",$Q774-$R774))</f>
        <v/>
      </c>
      <c r="T774" s="21">
        <f>IF($A774="","",_xll.BDP($A774&amp;" Corp","YAS_BOND_YLD","YAS_YLD_FLAG=15","SETTLE_DT",$B$2))</f>
        <v/>
      </c>
      <c r="U774" s="24">
        <f>IF($A774="","",IF(OR(NOT(ISNUMBER($O774)),NOT(ISNUMBER($T774))),"",$O774-$T774))</f>
        <v/>
      </c>
      <c r="V774" s="22">
        <f>IF(NOT(ISNUMBER($S774)),"",COUNTIFS($G$7:$G$850,$G774,$S$7:$S$850,"&gt;"&amp;$S774)+COUNTIFS($G$7:$G774,$G774,$S$7:$S774,$S774))</f>
        <v/>
      </c>
      <c r="W774" s="22">
        <f>IF(NOT(ISNUMBER($S774)),"",COUNTIFS($G$7:$G$850,$G774,$S$7:$S$850,"&lt;"&amp;$S774)+COUNTIFS($G$7:$G774,$G774,$S$7:$S774,$S774))</f>
        <v/>
      </c>
      <c r="X774" s="17">
        <f>IF($V774="","",$G774&amp;"|"&amp;$V774)</f>
        <v/>
      </c>
      <c r="Y774" s="17">
        <f>IF($W774="","",$G774&amp;"|"&amp;$W774)</f>
        <v/>
      </c>
    </row>
    <row r="775">
      <c r="A775" s="7" t="n"/>
      <c r="B775" s="8">
        <f>IF($A775="","",PROPER(_xll.BDP($A775&amp;" Corp","NAME")))</f>
        <v/>
      </c>
      <c r="C775" s="8">
        <f>IF($A775="","",IFERROR(INDEX(Company_desc!$B$2:$B$1144,MATCH($A775,Company_desc!$A$2:$A$1144,0)),IFERROR(INDEX(SYZ_static!$Q$2:$Q$806,MATCH($A775,SYZ_static!$A$2:$A$806,0)),"")))</f>
        <v/>
      </c>
      <c r="D775" s="8">
        <f>IF($A775="","",IFERROR(INDEX(SYZ_static!$B$2:$B$806,MATCH($A775,SYZ_static!$A$2:$A$806,0)),""))</f>
        <v/>
      </c>
      <c r="E775" s="8">
        <f>IF($A775="","",_xll.BDP($A775&amp;" Corp","INDUSTRY_SECTOR"))</f>
        <v/>
      </c>
      <c r="F775" s="8">
        <f>IF($A775="","",PROPER(_xll.BDP($A775&amp;" Corp","COUNTRY_FULL_NAME")))</f>
        <v/>
      </c>
      <c r="G775" s="8">
        <f>IF($A775="","",_xll.BDP($A775&amp;" Corp","CRNCY"))</f>
        <v/>
      </c>
      <c r="H775" s="8">
        <f>IF($A775="","",IFERROR(INDEX(SYZ_static!$T$2:$T$806,MATCH($A775,SYZ_static!$A$2:$A$806,0)),_xll.BDP($A775&amp;" Corp","RTG_SP")))</f>
        <v/>
      </c>
      <c r="I775" s="8">
        <f>IF($A775="","",IFERROR(INDEX(SYZ_static!$S$2:$S$806,MATCH($A775,SYZ_static!$A$2:$A$806,0)),""))</f>
        <v/>
      </c>
      <c r="J775" s="8">
        <f>IF($A775="","",_xll.BDP($A775&amp;" Corp","PAYMENT_RANK"))</f>
        <v/>
      </c>
      <c r="K775" s="9">
        <f>IF($A775="","",_xll.BDP($A775&amp;" Corp","CPN"))</f>
        <v/>
      </c>
      <c r="L775" s="10">
        <f>IF($A775="","",_xll.BDP($A775&amp;" Corp","MATURITY"))</f>
        <v/>
      </c>
      <c r="M775" s="11">
        <f>IF($A775="","",IFERROR(_xll.BDP($A775&amp;" Corp","MIN_PIECE")/1000,""))</f>
        <v/>
      </c>
      <c r="N775" s="12">
        <f>IF($A775="","",_xll.BDP($A775&amp;" Corp","PX_LAST"))</f>
        <v/>
      </c>
      <c r="O775" s="12">
        <f>IF($A775="","",_xll.BDP($A775&amp;" Corp","YAS_BOND_YLD","YAS_YLD_FLAG=15"))</f>
        <v/>
      </c>
      <c r="P775" s="12">
        <f>IF($A775="","",_xll.BDP($A775&amp;" Corp","YAS_MOD_DUR"))</f>
        <v/>
      </c>
      <c r="Q775" s="13">
        <f>IF($A775="","",_xll.BDP($A775&amp;" Corp","YAS_OAS_SPRD"))</f>
        <v/>
      </c>
      <c r="R775" s="13">
        <f>IF($A775="","",_xll.BDP($A775&amp;" Corp","YAS_OAS_SPRD","SETTLE_DT",$B$2))</f>
        <v/>
      </c>
      <c r="S775" s="14">
        <f>IF($A775="","",IF(OR(NOT(ISNUMBER($Q775)),NOT(ISNUMBER($R775))),"",$Q775-$R775))</f>
        <v/>
      </c>
      <c r="T775" s="12">
        <f>IF($A775="","",_xll.BDP($A775&amp;" Corp","YAS_BOND_YLD","YAS_YLD_FLAG=15","SETTLE_DT",$B$2))</f>
        <v/>
      </c>
      <c r="U775" s="15">
        <f>IF($A775="","",IF(OR(NOT(ISNUMBER($O775)),NOT(ISNUMBER($T775))),"",$O775-$T775))</f>
        <v/>
      </c>
      <c r="V775" s="13">
        <f>IF(NOT(ISNUMBER($S775)),"",COUNTIFS($G$7:$G$850,$G775,$S$7:$S$850,"&gt;"&amp;$S775)+COUNTIFS($G$7:$G775,$G775,$S$7:$S775,$S775))</f>
        <v/>
      </c>
      <c r="W775" s="13">
        <f>IF(NOT(ISNUMBER($S775)),"",COUNTIFS($G$7:$G$850,$G775,$S$7:$S$850,"&lt;"&amp;$S775)+COUNTIFS($G$7:$G775,$G775,$S$7:$S775,$S775))</f>
        <v/>
      </c>
      <c r="X775" s="8">
        <f>IF($V775="","",$G775&amp;"|"&amp;$V775)</f>
        <v/>
      </c>
      <c r="Y775" s="8">
        <f>IF($W775="","",$G775&amp;"|"&amp;$W775)</f>
        <v/>
      </c>
    </row>
    <row r="776">
      <c r="A776" s="16" t="n"/>
      <c r="B776" s="17">
        <f>IF($A776="","",PROPER(_xll.BDP($A776&amp;" Corp","NAME")))</f>
        <v/>
      </c>
      <c r="C776" s="17">
        <f>IF($A776="","",IFERROR(INDEX(Company_desc!$B$2:$B$1144,MATCH($A776,Company_desc!$A$2:$A$1144,0)),IFERROR(INDEX(SYZ_static!$Q$2:$Q$806,MATCH($A776,SYZ_static!$A$2:$A$806,0)),"")))</f>
        <v/>
      </c>
      <c r="D776" s="17">
        <f>IF($A776="","",IFERROR(INDEX(SYZ_static!$B$2:$B$806,MATCH($A776,SYZ_static!$A$2:$A$806,0)),""))</f>
        <v/>
      </c>
      <c r="E776" s="17">
        <f>IF($A776="","",_xll.BDP($A776&amp;" Corp","INDUSTRY_SECTOR"))</f>
        <v/>
      </c>
      <c r="F776" s="17">
        <f>IF($A776="","",PROPER(_xll.BDP($A776&amp;" Corp","COUNTRY_FULL_NAME")))</f>
        <v/>
      </c>
      <c r="G776" s="17">
        <f>IF($A776="","",_xll.BDP($A776&amp;" Corp","CRNCY"))</f>
        <v/>
      </c>
      <c r="H776" s="17">
        <f>IF($A776="","",IFERROR(INDEX(SYZ_static!$T$2:$T$806,MATCH($A776,SYZ_static!$A$2:$A$806,0)),_xll.BDP($A776&amp;" Corp","RTG_SP")))</f>
        <v/>
      </c>
      <c r="I776" s="17">
        <f>IF($A776="","",IFERROR(INDEX(SYZ_static!$S$2:$S$806,MATCH($A776,SYZ_static!$A$2:$A$806,0)),""))</f>
        <v/>
      </c>
      <c r="J776" s="17">
        <f>IF($A776="","",_xll.BDP($A776&amp;" Corp","PAYMENT_RANK"))</f>
        <v/>
      </c>
      <c r="K776" s="18">
        <f>IF($A776="","",_xll.BDP($A776&amp;" Corp","CPN"))</f>
        <v/>
      </c>
      <c r="L776" s="19">
        <f>IF($A776="","",_xll.BDP($A776&amp;" Corp","MATURITY"))</f>
        <v/>
      </c>
      <c r="M776" s="20">
        <f>IF($A776="","",IFERROR(_xll.BDP($A776&amp;" Corp","MIN_PIECE")/1000,""))</f>
        <v/>
      </c>
      <c r="N776" s="21">
        <f>IF($A776="","",_xll.BDP($A776&amp;" Corp","PX_LAST"))</f>
        <v/>
      </c>
      <c r="O776" s="21">
        <f>IF($A776="","",_xll.BDP($A776&amp;" Corp","YAS_BOND_YLD","YAS_YLD_FLAG=15"))</f>
        <v/>
      </c>
      <c r="P776" s="21">
        <f>IF($A776="","",_xll.BDP($A776&amp;" Corp","YAS_MOD_DUR"))</f>
        <v/>
      </c>
      <c r="Q776" s="22">
        <f>IF($A776="","",_xll.BDP($A776&amp;" Corp","YAS_OAS_SPRD"))</f>
        <v/>
      </c>
      <c r="R776" s="22">
        <f>IF($A776="","",_xll.BDP($A776&amp;" Corp","YAS_OAS_SPRD","SETTLE_DT",$B$2))</f>
        <v/>
      </c>
      <c r="S776" s="23">
        <f>IF($A776="","",IF(OR(NOT(ISNUMBER($Q776)),NOT(ISNUMBER($R776))),"",$Q776-$R776))</f>
        <v/>
      </c>
      <c r="T776" s="21">
        <f>IF($A776="","",_xll.BDP($A776&amp;" Corp","YAS_BOND_YLD","YAS_YLD_FLAG=15","SETTLE_DT",$B$2))</f>
        <v/>
      </c>
      <c r="U776" s="24">
        <f>IF($A776="","",IF(OR(NOT(ISNUMBER($O776)),NOT(ISNUMBER($T776))),"",$O776-$T776))</f>
        <v/>
      </c>
      <c r="V776" s="22">
        <f>IF(NOT(ISNUMBER($S776)),"",COUNTIFS($G$7:$G$850,$G776,$S$7:$S$850,"&gt;"&amp;$S776)+COUNTIFS($G$7:$G776,$G776,$S$7:$S776,$S776))</f>
        <v/>
      </c>
      <c r="W776" s="22">
        <f>IF(NOT(ISNUMBER($S776)),"",COUNTIFS($G$7:$G$850,$G776,$S$7:$S$850,"&lt;"&amp;$S776)+COUNTIFS($G$7:$G776,$G776,$S$7:$S776,$S776))</f>
        <v/>
      </c>
      <c r="X776" s="17">
        <f>IF($V776="","",$G776&amp;"|"&amp;$V776)</f>
        <v/>
      </c>
      <c r="Y776" s="17">
        <f>IF($W776="","",$G776&amp;"|"&amp;$W776)</f>
        <v/>
      </c>
    </row>
    <row r="777">
      <c r="A777" s="7" t="n"/>
      <c r="B777" s="8">
        <f>IF($A777="","",PROPER(_xll.BDP($A777&amp;" Corp","NAME")))</f>
        <v/>
      </c>
      <c r="C777" s="8">
        <f>IF($A777="","",IFERROR(INDEX(Company_desc!$B$2:$B$1144,MATCH($A777,Company_desc!$A$2:$A$1144,0)),IFERROR(INDEX(SYZ_static!$Q$2:$Q$806,MATCH($A777,SYZ_static!$A$2:$A$806,0)),"")))</f>
        <v/>
      </c>
      <c r="D777" s="8">
        <f>IF($A777="","",IFERROR(INDEX(SYZ_static!$B$2:$B$806,MATCH($A777,SYZ_static!$A$2:$A$806,0)),""))</f>
        <v/>
      </c>
      <c r="E777" s="8">
        <f>IF($A777="","",_xll.BDP($A777&amp;" Corp","INDUSTRY_SECTOR"))</f>
        <v/>
      </c>
      <c r="F777" s="8">
        <f>IF($A777="","",PROPER(_xll.BDP($A777&amp;" Corp","COUNTRY_FULL_NAME")))</f>
        <v/>
      </c>
      <c r="G777" s="8">
        <f>IF($A777="","",_xll.BDP($A777&amp;" Corp","CRNCY"))</f>
        <v/>
      </c>
      <c r="H777" s="8">
        <f>IF($A777="","",IFERROR(INDEX(SYZ_static!$T$2:$T$806,MATCH($A777,SYZ_static!$A$2:$A$806,0)),_xll.BDP($A777&amp;" Corp","RTG_SP")))</f>
        <v/>
      </c>
      <c r="I777" s="8">
        <f>IF($A777="","",IFERROR(INDEX(SYZ_static!$S$2:$S$806,MATCH($A777,SYZ_static!$A$2:$A$806,0)),""))</f>
        <v/>
      </c>
      <c r="J777" s="8">
        <f>IF($A777="","",_xll.BDP($A777&amp;" Corp","PAYMENT_RANK"))</f>
        <v/>
      </c>
      <c r="K777" s="9">
        <f>IF($A777="","",_xll.BDP($A777&amp;" Corp","CPN"))</f>
        <v/>
      </c>
      <c r="L777" s="10">
        <f>IF($A777="","",_xll.BDP($A777&amp;" Corp","MATURITY"))</f>
        <v/>
      </c>
      <c r="M777" s="11">
        <f>IF($A777="","",IFERROR(_xll.BDP($A777&amp;" Corp","MIN_PIECE")/1000,""))</f>
        <v/>
      </c>
      <c r="N777" s="12">
        <f>IF($A777="","",_xll.BDP($A777&amp;" Corp","PX_LAST"))</f>
        <v/>
      </c>
      <c r="O777" s="12">
        <f>IF($A777="","",_xll.BDP($A777&amp;" Corp","YAS_BOND_YLD","YAS_YLD_FLAG=15"))</f>
        <v/>
      </c>
      <c r="P777" s="12">
        <f>IF($A777="","",_xll.BDP($A777&amp;" Corp","YAS_MOD_DUR"))</f>
        <v/>
      </c>
      <c r="Q777" s="13">
        <f>IF($A777="","",_xll.BDP($A777&amp;" Corp","YAS_OAS_SPRD"))</f>
        <v/>
      </c>
      <c r="R777" s="13">
        <f>IF($A777="","",_xll.BDP($A777&amp;" Corp","YAS_OAS_SPRD","SETTLE_DT",$B$2))</f>
        <v/>
      </c>
      <c r="S777" s="14">
        <f>IF($A777="","",IF(OR(NOT(ISNUMBER($Q777)),NOT(ISNUMBER($R777))),"",$Q777-$R777))</f>
        <v/>
      </c>
      <c r="T777" s="12">
        <f>IF($A777="","",_xll.BDP($A777&amp;" Corp","YAS_BOND_YLD","YAS_YLD_FLAG=15","SETTLE_DT",$B$2))</f>
        <v/>
      </c>
      <c r="U777" s="15">
        <f>IF($A777="","",IF(OR(NOT(ISNUMBER($O777)),NOT(ISNUMBER($T777))),"",$O777-$T777))</f>
        <v/>
      </c>
      <c r="V777" s="13">
        <f>IF(NOT(ISNUMBER($S777)),"",COUNTIFS($G$7:$G$850,$G777,$S$7:$S$850,"&gt;"&amp;$S777)+COUNTIFS($G$7:$G777,$G777,$S$7:$S777,$S777))</f>
        <v/>
      </c>
      <c r="W777" s="13">
        <f>IF(NOT(ISNUMBER($S777)),"",COUNTIFS($G$7:$G$850,$G777,$S$7:$S$850,"&lt;"&amp;$S777)+COUNTIFS($G$7:$G777,$G777,$S$7:$S777,$S777))</f>
        <v/>
      </c>
      <c r="X777" s="8">
        <f>IF($V777="","",$G777&amp;"|"&amp;$V777)</f>
        <v/>
      </c>
      <c r="Y777" s="8">
        <f>IF($W777="","",$G777&amp;"|"&amp;$W777)</f>
        <v/>
      </c>
    </row>
    <row r="778">
      <c r="A778" s="16" t="n"/>
      <c r="B778" s="17">
        <f>IF($A778="","",PROPER(_xll.BDP($A778&amp;" Corp","NAME")))</f>
        <v/>
      </c>
      <c r="C778" s="17">
        <f>IF($A778="","",IFERROR(INDEX(Company_desc!$B$2:$B$1144,MATCH($A778,Company_desc!$A$2:$A$1144,0)),IFERROR(INDEX(SYZ_static!$Q$2:$Q$806,MATCH($A778,SYZ_static!$A$2:$A$806,0)),"")))</f>
        <v/>
      </c>
      <c r="D778" s="17">
        <f>IF($A778="","",IFERROR(INDEX(SYZ_static!$B$2:$B$806,MATCH($A778,SYZ_static!$A$2:$A$806,0)),""))</f>
        <v/>
      </c>
      <c r="E778" s="17">
        <f>IF($A778="","",_xll.BDP($A778&amp;" Corp","INDUSTRY_SECTOR"))</f>
        <v/>
      </c>
      <c r="F778" s="17">
        <f>IF($A778="","",PROPER(_xll.BDP($A778&amp;" Corp","COUNTRY_FULL_NAME")))</f>
        <v/>
      </c>
      <c r="G778" s="17">
        <f>IF($A778="","",_xll.BDP($A778&amp;" Corp","CRNCY"))</f>
        <v/>
      </c>
      <c r="H778" s="17">
        <f>IF($A778="","",IFERROR(INDEX(SYZ_static!$T$2:$T$806,MATCH($A778,SYZ_static!$A$2:$A$806,0)),_xll.BDP($A778&amp;" Corp","RTG_SP")))</f>
        <v/>
      </c>
      <c r="I778" s="17">
        <f>IF($A778="","",IFERROR(INDEX(SYZ_static!$S$2:$S$806,MATCH($A778,SYZ_static!$A$2:$A$806,0)),""))</f>
        <v/>
      </c>
      <c r="J778" s="17">
        <f>IF($A778="","",_xll.BDP($A778&amp;" Corp","PAYMENT_RANK"))</f>
        <v/>
      </c>
      <c r="K778" s="18">
        <f>IF($A778="","",_xll.BDP($A778&amp;" Corp","CPN"))</f>
        <v/>
      </c>
      <c r="L778" s="19">
        <f>IF($A778="","",_xll.BDP($A778&amp;" Corp","MATURITY"))</f>
        <v/>
      </c>
      <c r="M778" s="20">
        <f>IF($A778="","",IFERROR(_xll.BDP($A778&amp;" Corp","MIN_PIECE")/1000,""))</f>
        <v/>
      </c>
      <c r="N778" s="21">
        <f>IF($A778="","",_xll.BDP($A778&amp;" Corp","PX_LAST"))</f>
        <v/>
      </c>
      <c r="O778" s="21">
        <f>IF($A778="","",_xll.BDP($A778&amp;" Corp","YAS_BOND_YLD","YAS_YLD_FLAG=15"))</f>
        <v/>
      </c>
      <c r="P778" s="21">
        <f>IF($A778="","",_xll.BDP($A778&amp;" Corp","YAS_MOD_DUR"))</f>
        <v/>
      </c>
      <c r="Q778" s="22">
        <f>IF($A778="","",_xll.BDP($A778&amp;" Corp","YAS_OAS_SPRD"))</f>
        <v/>
      </c>
      <c r="R778" s="22">
        <f>IF($A778="","",_xll.BDP($A778&amp;" Corp","YAS_OAS_SPRD","SETTLE_DT",$B$2))</f>
        <v/>
      </c>
      <c r="S778" s="23">
        <f>IF($A778="","",IF(OR(NOT(ISNUMBER($Q778)),NOT(ISNUMBER($R778))),"",$Q778-$R778))</f>
        <v/>
      </c>
      <c r="T778" s="21">
        <f>IF($A778="","",_xll.BDP($A778&amp;" Corp","YAS_BOND_YLD","YAS_YLD_FLAG=15","SETTLE_DT",$B$2))</f>
        <v/>
      </c>
      <c r="U778" s="24">
        <f>IF($A778="","",IF(OR(NOT(ISNUMBER($O778)),NOT(ISNUMBER($T778))),"",$O778-$T778))</f>
        <v/>
      </c>
      <c r="V778" s="22">
        <f>IF(NOT(ISNUMBER($S778)),"",COUNTIFS($G$7:$G$850,$G778,$S$7:$S$850,"&gt;"&amp;$S778)+COUNTIFS($G$7:$G778,$G778,$S$7:$S778,$S778))</f>
        <v/>
      </c>
      <c r="W778" s="22">
        <f>IF(NOT(ISNUMBER($S778)),"",COUNTIFS($G$7:$G$850,$G778,$S$7:$S$850,"&lt;"&amp;$S778)+COUNTIFS($G$7:$G778,$G778,$S$7:$S778,$S778))</f>
        <v/>
      </c>
      <c r="X778" s="17">
        <f>IF($V778="","",$G778&amp;"|"&amp;$V778)</f>
        <v/>
      </c>
      <c r="Y778" s="17">
        <f>IF($W778="","",$G778&amp;"|"&amp;$W778)</f>
        <v/>
      </c>
    </row>
    <row r="779">
      <c r="A779" s="7" t="n"/>
      <c r="B779" s="8">
        <f>IF($A779="","",PROPER(_xll.BDP($A779&amp;" Corp","NAME")))</f>
        <v/>
      </c>
      <c r="C779" s="8">
        <f>IF($A779="","",IFERROR(INDEX(Company_desc!$B$2:$B$1144,MATCH($A779,Company_desc!$A$2:$A$1144,0)),IFERROR(INDEX(SYZ_static!$Q$2:$Q$806,MATCH($A779,SYZ_static!$A$2:$A$806,0)),"")))</f>
        <v/>
      </c>
      <c r="D779" s="8">
        <f>IF($A779="","",IFERROR(INDEX(SYZ_static!$B$2:$B$806,MATCH($A779,SYZ_static!$A$2:$A$806,0)),""))</f>
        <v/>
      </c>
      <c r="E779" s="8">
        <f>IF($A779="","",_xll.BDP($A779&amp;" Corp","INDUSTRY_SECTOR"))</f>
        <v/>
      </c>
      <c r="F779" s="8">
        <f>IF($A779="","",PROPER(_xll.BDP($A779&amp;" Corp","COUNTRY_FULL_NAME")))</f>
        <v/>
      </c>
      <c r="G779" s="8">
        <f>IF($A779="","",_xll.BDP($A779&amp;" Corp","CRNCY"))</f>
        <v/>
      </c>
      <c r="H779" s="8">
        <f>IF($A779="","",IFERROR(INDEX(SYZ_static!$T$2:$T$806,MATCH($A779,SYZ_static!$A$2:$A$806,0)),_xll.BDP($A779&amp;" Corp","RTG_SP")))</f>
        <v/>
      </c>
      <c r="I779" s="8">
        <f>IF($A779="","",IFERROR(INDEX(SYZ_static!$S$2:$S$806,MATCH($A779,SYZ_static!$A$2:$A$806,0)),""))</f>
        <v/>
      </c>
      <c r="J779" s="8">
        <f>IF($A779="","",_xll.BDP($A779&amp;" Corp","PAYMENT_RANK"))</f>
        <v/>
      </c>
      <c r="K779" s="9">
        <f>IF($A779="","",_xll.BDP($A779&amp;" Corp","CPN"))</f>
        <v/>
      </c>
      <c r="L779" s="10">
        <f>IF($A779="","",_xll.BDP($A779&amp;" Corp","MATURITY"))</f>
        <v/>
      </c>
      <c r="M779" s="11">
        <f>IF($A779="","",IFERROR(_xll.BDP($A779&amp;" Corp","MIN_PIECE")/1000,""))</f>
        <v/>
      </c>
      <c r="N779" s="12">
        <f>IF($A779="","",_xll.BDP($A779&amp;" Corp","PX_LAST"))</f>
        <v/>
      </c>
      <c r="O779" s="12">
        <f>IF($A779="","",_xll.BDP($A779&amp;" Corp","YAS_BOND_YLD","YAS_YLD_FLAG=15"))</f>
        <v/>
      </c>
      <c r="P779" s="12">
        <f>IF($A779="","",_xll.BDP($A779&amp;" Corp","YAS_MOD_DUR"))</f>
        <v/>
      </c>
      <c r="Q779" s="13">
        <f>IF($A779="","",_xll.BDP($A779&amp;" Corp","YAS_OAS_SPRD"))</f>
        <v/>
      </c>
      <c r="R779" s="13">
        <f>IF($A779="","",_xll.BDP($A779&amp;" Corp","YAS_OAS_SPRD","SETTLE_DT",$B$2))</f>
        <v/>
      </c>
      <c r="S779" s="14">
        <f>IF($A779="","",IF(OR(NOT(ISNUMBER($Q779)),NOT(ISNUMBER($R779))),"",$Q779-$R779))</f>
        <v/>
      </c>
      <c r="T779" s="12">
        <f>IF($A779="","",_xll.BDP($A779&amp;" Corp","YAS_BOND_YLD","YAS_YLD_FLAG=15","SETTLE_DT",$B$2))</f>
        <v/>
      </c>
      <c r="U779" s="15">
        <f>IF($A779="","",IF(OR(NOT(ISNUMBER($O779)),NOT(ISNUMBER($T779))),"",$O779-$T779))</f>
        <v/>
      </c>
      <c r="V779" s="13">
        <f>IF(NOT(ISNUMBER($S779)),"",COUNTIFS($G$7:$G$850,$G779,$S$7:$S$850,"&gt;"&amp;$S779)+COUNTIFS($G$7:$G779,$G779,$S$7:$S779,$S779))</f>
        <v/>
      </c>
      <c r="W779" s="13">
        <f>IF(NOT(ISNUMBER($S779)),"",COUNTIFS($G$7:$G$850,$G779,$S$7:$S$850,"&lt;"&amp;$S779)+COUNTIFS($G$7:$G779,$G779,$S$7:$S779,$S779))</f>
        <v/>
      </c>
      <c r="X779" s="8">
        <f>IF($V779="","",$G779&amp;"|"&amp;$V779)</f>
        <v/>
      </c>
      <c r="Y779" s="8">
        <f>IF($W779="","",$G779&amp;"|"&amp;$W779)</f>
        <v/>
      </c>
    </row>
    <row r="780">
      <c r="A780" s="16" t="n"/>
      <c r="B780" s="17">
        <f>IF($A780="","",PROPER(_xll.BDP($A780&amp;" Corp","NAME")))</f>
        <v/>
      </c>
      <c r="C780" s="17">
        <f>IF($A780="","",IFERROR(INDEX(Company_desc!$B$2:$B$1144,MATCH($A780,Company_desc!$A$2:$A$1144,0)),IFERROR(INDEX(SYZ_static!$Q$2:$Q$806,MATCH($A780,SYZ_static!$A$2:$A$806,0)),"")))</f>
        <v/>
      </c>
      <c r="D780" s="17">
        <f>IF($A780="","",IFERROR(INDEX(SYZ_static!$B$2:$B$806,MATCH($A780,SYZ_static!$A$2:$A$806,0)),""))</f>
        <v/>
      </c>
      <c r="E780" s="17">
        <f>IF($A780="","",_xll.BDP($A780&amp;" Corp","INDUSTRY_SECTOR"))</f>
        <v/>
      </c>
      <c r="F780" s="17">
        <f>IF($A780="","",PROPER(_xll.BDP($A780&amp;" Corp","COUNTRY_FULL_NAME")))</f>
        <v/>
      </c>
      <c r="G780" s="17">
        <f>IF($A780="","",_xll.BDP($A780&amp;" Corp","CRNCY"))</f>
        <v/>
      </c>
      <c r="H780" s="17">
        <f>IF($A780="","",IFERROR(INDEX(SYZ_static!$T$2:$T$806,MATCH($A780,SYZ_static!$A$2:$A$806,0)),_xll.BDP($A780&amp;" Corp","RTG_SP")))</f>
        <v/>
      </c>
      <c r="I780" s="17">
        <f>IF($A780="","",IFERROR(INDEX(SYZ_static!$S$2:$S$806,MATCH($A780,SYZ_static!$A$2:$A$806,0)),""))</f>
        <v/>
      </c>
      <c r="J780" s="17">
        <f>IF($A780="","",_xll.BDP($A780&amp;" Corp","PAYMENT_RANK"))</f>
        <v/>
      </c>
      <c r="K780" s="18">
        <f>IF($A780="","",_xll.BDP($A780&amp;" Corp","CPN"))</f>
        <v/>
      </c>
      <c r="L780" s="19">
        <f>IF($A780="","",_xll.BDP($A780&amp;" Corp","MATURITY"))</f>
        <v/>
      </c>
      <c r="M780" s="20">
        <f>IF($A780="","",IFERROR(_xll.BDP($A780&amp;" Corp","MIN_PIECE")/1000,""))</f>
        <v/>
      </c>
      <c r="N780" s="21">
        <f>IF($A780="","",_xll.BDP($A780&amp;" Corp","PX_LAST"))</f>
        <v/>
      </c>
      <c r="O780" s="21">
        <f>IF($A780="","",_xll.BDP($A780&amp;" Corp","YAS_BOND_YLD","YAS_YLD_FLAG=15"))</f>
        <v/>
      </c>
      <c r="P780" s="21">
        <f>IF($A780="","",_xll.BDP($A780&amp;" Corp","YAS_MOD_DUR"))</f>
        <v/>
      </c>
      <c r="Q780" s="22">
        <f>IF($A780="","",_xll.BDP($A780&amp;" Corp","YAS_OAS_SPRD"))</f>
        <v/>
      </c>
      <c r="R780" s="22">
        <f>IF($A780="","",_xll.BDP($A780&amp;" Corp","YAS_OAS_SPRD","SETTLE_DT",$B$2))</f>
        <v/>
      </c>
      <c r="S780" s="23">
        <f>IF($A780="","",IF(OR(NOT(ISNUMBER($Q780)),NOT(ISNUMBER($R780))),"",$Q780-$R780))</f>
        <v/>
      </c>
      <c r="T780" s="21">
        <f>IF($A780="","",_xll.BDP($A780&amp;" Corp","YAS_BOND_YLD","YAS_YLD_FLAG=15","SETTLE_DT",$B$2))</f>
        <v/>
      </c>
      <c r="U780" s="24">
        <f>IF($A780="","",IF(OR(NOT(ISNUMBER($O780)),NOT(ISNUMBER($T780))),"",$O780-$T780))</f>
        <v/>
      </c>
      <c r="V780" s="22">
        <f>IF(NOT(ISNUMBER($S780)),"",COUNTIFS($G$7:$G$850,$G780,$S$7:$S$850,"&gt;"&amp;$S780)+COUNTIFS($G$7:$G780,$G780,$S$7:$S780,$S780))</f>
        <v/>
      </c>
      <c r="W780" s="22">
        <f>IF(NOT(ISNUMBER($S780)),"",COUNTIFS($G$7:$G$850,$G780,$S$7:$S$850,"&lt;"&amp;$S780)+COUNTIFS($G$7:$G780,$G780,$S$7:$S780,$S780))</f>
        <v/>
      </c>
      <c r="X780" s="17">
        <f>IF($V780="","",$G780&amp;"|"&amp;$V780)</f>
        <v/>
      </c>
      <c r="Y780" s="17">
        <f>IF($W780="","",$G780&amp;"|"&amp;$W780)</f>
        <v/>
      </c>
    </row>
    <row r="781">
      <c r="A781" s="7" t="n"/>
      <c r="B781" s="8">
        <f>IF($A781="","",PROPER(_xll.BDP($A781&amp;" Corp","NAME")))</f>
        <v/>
      </c>
      <c r="C781" s="8">
        <f>IF($A781="","",IFERROR(INDEX(Company_desc!$B$2:$B$1144,MATCH($A781,Company_desc!$A$2:$A$1144,0)),IFERROR(INDEX(SYZ_static!$Q$2:$Q$806,MATCH($A781,SYZ_static!$A$2:$A$806,0)),"")))</f>
        <v/>
      </c>
      <c r="D781" s="8">
        <f>IF($A781="","",IFERROR(INDEX(SYZ_static!$B$2:$B$806,MATCH($A781,SYZ_static!$A$2:$A$806,0)),""))</f>
        <v/>
      </c>
      <c r="E781" s="8">
        <f>IF($A781="","",_xll.BDP($A781&amp;" Corp","INDUSTRY_SECTOR"))</f>
        <v/>
      </c>
      <c r="F781" s="8">
        <f>IF($A781="","",PROPER(_xll.BDP($A781&amp;" Corp","COUNTRY_FULL_NAME")))</f>
        <v/>
      </c>
      <c r="G781" s="8">
        <f>IF($A781="","",_xll.BDP($A781&amp;" Corp","CRNCY"))</f>
        <v/>
      </c>
      <c r="H781" s="8">
        <f>IF($A781="","",IFERROR(INDEX(SYZ_static!$T$2:$T$806,MATCH($A781,SYZ_static!$A$2:$A$806,0)),_xll.BDP($A781&amp;" Corp","RTG_SP")))</f>
        <v/>
      </c>
      <c r="I781" s="8">
        <f>IF($A781="","",IFERROR(INDEX(SYZ_static!$S$2:$S$806,MATCH($A781,SYZ_static!$A$2:$A$806,0)),""))</f>
        <v/>
      </c>
      <c r="J781" s="8">
        <f>IF($A781="","",_xll.BDP($A781&amp;" Corp","PAYMENT_RANK"))</f>
        <v/>
      </c>
      <c r="K781" s="9">
        <f>IF($A781="","",_xll.BDP($A781&amp;" Corp","CPN"))</f>
        <v/>
      </c>
      <c r="L781" s="10">
        <f>IF($A781="","",_xll.BDP($A781&amp;" Corp","MATURITY"))</f>
        <v/>
      </c>
      <c r="M781" s="11">
        <f>IF($A781="","",IFERROR(_xll.BDP($A781&amp;" Corp","MIN_PIECE")/1000,""))</f>
        <v/>
      </c>
      <c r="N781" s="12">
        <f>IF($A781="","",_xll.BDP($A781&amp;" Corp","PX_LAST"))</f>
        <v/>
      </c>
      <c r="O781" s="12">
        <f>IF($A781="","",_xll.BDP($A781&amp;" Corp","YAS_BOND_YLD","YAS_YLD_FLAG=15"))</f>
        <v/>
      </c>
      <c r="P781" s="12">
        <f>IF($A781="","",_xll.BDP($A781&amp;" Corp","YAS_MOD_DUR"))</f>
        <v/>
      </c>
      <c r="Q781" s="13">
        <f>IF($A781="","",_xll.BDP($A781&amp;" Corp","YAS_OAS_SPRD"))</f>
        <v/>
      </c>
      <c r="R781" s="13">
        <f>IF($A781="","",_xll.BDP($A781&amp;" Corp","YAS_OAS_SPRD","SETTLE_DT",$B$2))</f>
        <v/>
      </c>
      <c r="S781" s="14">
        <f>IF($A781="","",IF(OR(NOT(ISNUMBER($Q781)),NOT(ISNUMBER($R781))),"",$Q781-$R781))</f>
        <v/>
      </c>
      <c r="T781" s="12">
        <f>IF($A781="","",_xll.BDP($A781&amp;" Corp","YAS_BOND_YLD","YAS_YLD_FLAG=15","SETTLE_DT",$B$2))</f>
        <v/>
      </c>
      <c r="U781" s="15">
        <f>IF($A781="","",IF(OR(NOT(ISNUMBER($O781)),NOT(ISNUMBER($T781))),"",$O781-$T781))</f>
        <v/>
      </c>
      <c r="V781" s="13">
        <f>IF(NOT(ISNUMBER($S781)),"",COUNTIFS($G$7:$G$850,$G781,$S$7:$S$850,"&gt;"&amp;$S781)+COUNTIFS($G$7:$G781,$G781,$S$7:$S781,$S781))</f>
        <v/>
      </c>
      <c r="W781" s="13">
        <f>IF(NOT(ISNUMBER($S781)),"",COUNTIFS($G$7:$G$850,$G781,$S$7:$S$850,"&lt;"&amp;$S781)+COUNTIFS($G$7:$G781,$G781,$S$7:$S781,$S781))</f>
        <v/>
      </c>
      <c r="X781" s="8">
        <f>IF($V781="","",$G781&amp;"|"&amp;$V781)</f>
        <v/>
      </c>
      <c r="Y781" s="8">
        <f>IF($W781="","",$G781&amp;"|"&amp;$W781)</f>
        <v/>
      </c>
    </row>
    <row r="782">
      <c r="A782" s="16" t="n"/>
      <c r="B782" s="17">
        <f>IF($A782="","",PROPER(_xll.BDP($A782&amp;" Corp","NAME")))</f>
        <v/>
      </c>
      <c r="C782" s="17">
        <f>IF($A782="","",IFERROR(INDEX(Company_desc!$B$2:$B$1144,MATCH($A782,Company_desc!$A$2:$A$1144,0)),IFERROR(INDEX(SYZ_static!$Q$2:$Q$806,MATCH($A782,SYZ_static!$A$2:$A$806,0)),"")))</f>
        <v/>
      </c>
      <c r="D782" s="17">
        <f>IF($A782="","",IFERROR(INDEX(SYZ_static!$B$2:$B$806,MATCH($A782,SYZ_static!$A$2:$A$806,0)),""))</f>
        <v/>
      </c>
      <c r="E782" s="17">
        <f>IF($A782="","",_xll.BDP($A782&amp;" Corp","INDUSTRY_SECTOR"))</f>
        <v/>
      </c>
      <c r="F782" s="17">
        <f>IF($A782="","",PROPER(_xll.BDP($A782&amp;" Corp","COUNTRY_FULL_NAME")))</f>
        <v/>
      </c>
      <c r="G782" s="17">
        <f>IF($A782="","",_xll.BDP($A782&amp;" Corp","CRNCY"))</f>
        <v/>
      </c>
      <c r="H782" s="17">
        <f>IF($A782="","",IFERROR(INDEX(SYZ_static!$T$2:$T$806,MATCH($A782,SYZ_static!$A$2:$A$806,0)),_xll.BDP($A782&amp;" Corp","RTG_SP")))</f>
        <v/>
      </c>
      <c r="I782" s="17">
        <f>IF($A782="","",IFERROR(INDEX(SYZ_static!$S$2:$S$806,MATCH($A782,SYZ_static!$A$2:$A$806,0)),""))</f>
        <v/>
      </c>
      <c r="J782" s="17">
        <f>IF($A782="","",_xll.BDP($A782&amp;" Corp","PAYMENT_RANK"))</f>
        <v/>
      </c>
      <c r="K782" s="18">
        <f>IF($A782="","",_xll.BDP($A782&amp;" Corp","CPN"))</f>
        <v/>
      </c>
      <c r="L782" s="19">
        <f>IF($A782="","",_xll.BDP($A782&amp;" Corp","MATURITY"))</f>
        <v/>
      </c>
      <c r="M782" s="20">
        <f>IF($A782="","",IFERROR(_xll.BDP($A782&amp;" Corp","MIN_PIECE")/1000,""))</f>
        <v/>
      </c>
      <c r="N782" s="21">
        <f>IF($A782="","",_xll.BDP($A782&amp;" Corp","PX_LAST"))</f>
        <v/>
      </c>
      <c r="O782" s="21">
        <f>IF($A782="","",_xll.BDP($A782&amp;" Corp","YAS_BOND_YLD","YAS_YLD_FLAG=15"))</f>
        <v/>
      </c>
      <c r="P782" s="21">
        <f>IF($A782="","",_xll.BDP($A782&amp;" Corp","YAS_MOD_DUR"))</f>
        <v/>
      </c>
      <c r="Q782" s="22">
        <f>IF($A782="","",_xll.BDP($A782&amp;" Corp","YAS_OAS_SPRD"))</f>
        <v/>
      </c>
      <c r="R782" s="22">
        <f>IF($A782="","",_xll.BDP($A782&amp;" Corp","YAS_OAS_SPRD","SETTLE_DT",$B$2))</f>
        <v/>
      </c>
      <c r="S782" s="23">
        <f>IF($A782="","",IF(OR(NOT(ISNUMBER($Q782)),NOT(ISNUMBER($R782))),"",$Q782-$R782))</f>
        <v/>
      </c>
      <c r="T782" s="21">
        <f>IF($A782="","",_xll.BDP($A782&amp;" Corp","YAS_BOND_YLD","YAS_YLD_FLAG=15","SETTLE_DT",$B$2))</f>
        <v/>
      </c>
      <c r="U782" s="24">
        <f>IF($A782="","",IF(OR(NOT(ISNUMBER($O782)),NOT(ISNUMBER($T782))),"",$O782-$T782))</f>
        <v/>
      </c>
      <c r="V782" s="22">
        <f>IF(NOT(ISNUMBER($S782)),"",COUNTIFS($G$7:$G$850,$G782,$S$7:$S$850,"&gt;"&amp;$S782)+COUNTIFS($G$7:$G782,$G782,$S$7:$S782,$S782))</f>
        <v/>
      </c>
      <c r="W782" s="22">
        <f>IF(NOT(ISNUMBER($S782)),"",COUNTIFS($G$7:$G$850,$G782,$S$7:$S$850,"&lt;"&amp;$S782)+COUNTIFS($G$7:$G782,$G782,$S$7:$S782,$S782))</f>
        <v/>
      </c>
      <c r="X782" s="17">
        <f>IF($V782="","",$G782&amp;"|"&amp;$V782)</f>
        <v/>
      </c>
      <c r="Y782" s="17">
        <f>IF($W782="","",$G782&amp;"|"&amp;$W782)</f>
        <v/>
      </c>
    </row>
    <row r="783">
      <c r="A783" s="7" t="n"/>
      <c r="B783" s="8">
        <f>IF($A783="","",PROPER(_xll.BDP($A783&amp;" Corp","NAME")))</f>
        <v/>
      </c>
      <c r="C783" s="8">
        <f>IF($A783="","",IFERROR(INDEX(Company_desc!$B$2:$B$1144,MATCH($A783,Company_desc!$A$2:$A$1144,0)),IFERROR(INDEX(SYZ_static!$Q$2:$Q$806,MATCH($A783,SYZ_static!$A$2:$A$806,0)),"")))</f>
        <v/>
      </c>
      <c r="D783" s="8">
        <f>IF($A783="","",IFERROR(INDEX(SYZ_static!$B$2:$B$806,MATCH($A783,SYZ_static!$A$2:$A$806,0)),""))</f>
        <v/>
      </c>
      <c r="E783" s="8">
        <f>IF($A783="","",_xll.BDP($A783&amp;" Corp","INDUSTRY_SECTOR"))</f>
        <v/>
      </c>
      <c r="F783" s="8">
        <f>IF($A783="","",PROPER(_xll.BDP($A783&amp;" Corp","COUNTRY_FULL_NAME")))</f>
        <v/>
      </c>
      <c r="G783" s="8">
        <f>IF($A783="","",_xll.BDP($A783&amp;" Corp","CRNCY"))</f>
        <v/>
      </c>
      <c r="H783" s="8">
        <f>IF($A783="","",IFERROR(INDEX(SYZ_static!$T$2:$T$806,MATCH($A783,SYZ_static!$A$2:$A$806,0)),_xll.BDP($A783&amp;" Corp","RTG_SP")))</f>
        <v/>
      </c>
      <c r="I783" s="8">
        <f>IF($A783="","",IFERROR(INDEX(SYZ_static!$S$2:$S$806,MATCH($A783,SYZ_static!$A$2:$A$806,0)),""))</f>
        <v/>
      </c>
      <c r="J783" s="8">
        <f>IF($A783="","",_xll.BDP($A783&amp;" Corp","PAYMENT_RANK"))</f>
        <v/>
      </c>
      <c r="K783" s="9">
        <f>IF($A783="","",_xll.BDP($A783&amp;" Corp","CPN"))</f>
        <v/>
      </c>
      <c r="L783" s="10">
        <f>IF($A783="","",_xll.BDP($A783&amp;" Corp","MATURITY"))</f>
        <v/>
      </c>
      <c r="M783" s="11">
        <f>IF($A783="","",IFERROR(_xll.BDP($A783&amp;" Corp","MIN_PIECE")/1000,""))</f>
        <v/>
      </c>
      <c r="N783" s="12">
        <f>IF($A783="","",_xll.BDP($A783&amp;" Corp","PX_LAST"))</f>
        <v/>
      </c>
      <c r="O783" s="12">
        <f>IF($A783="","",_xll.BDP($A783&amp;" Corp","YAS_BOND_YLD","YAS_YLD_FLAG=15"))</f>
        <v/>
      </c>
      <c r="P783" s="12">
        <f>IF($A783="","",_xll.BDP($A783&amp;" Corp","YAS_MOD_DUR"))</f>
        <v/>
      </c>
      <c r="Q783" s="13">
        <f>IF($A783="","",_xll.BDP($A783&amp;" Corp","YAS_OAS_SPRD"))</f>
        <v/>
      </c>
      <c r="R783" s="13">
        <f>IF($A783="","",_xll.BDP($A783&amp;" Corp","YAS_OAS_SPRD","SETTLE_DT",$B$2))</f>
        <v/>
      </c>
      <c r="S783" s="14">
        <f>IF($A783="","",IF(OR(NOT(ISNUMBER($Q783)),NOT(ISNUMBER($R783))),"",$Q783-$R783))</f>
        <v/>
      </c>
      <c r="T783" s="12">
        <f>IF($A783="","",_xll.BDP($A783&amp;" Corp","YAS_BOND_YLD","YAS_YLD_FLAG=15","SETTLE_DT",$B$2))</f>
        <v/>
      </c>
      <c r="U783" s="15">
        <f>IF($A783="","",IF(OR(NOT(ISNUMBER($O783)),NOT(ISNUMBER($T783))),"",$O783-$T783))</f>
        <v/>
      </c>
      <c r="V783" s="13">
        <f>IF(NOT(ISNUMBER($S783)),"",COUNTIFS($G$7:$G$850,$G783,$S$7:$S$850,"&gt;"&amp;$S783)+COUNTIFS($G$7:$G783,$G783,$S$7:$S783,$S783))</f>
        <v/>
      </c>
      <c r="W783" s="13">
        <f>IF(NOT(ISNUMBER($S783)),"",COUNTIFS($G$7:$G$850,$G783,$S$7:$S$850,"&lt;"&amp;$S783)+COUNTIFS($G$7:$G783,$G783,$S$7:$S783,$S783))</f>
        <v/>
      </c>
      <c r="X783" s="8">
        <f>IF($V783="","",$G783&amp;"|"&amp;$V783)</f>
        <v/>
      </c>
      <c r="Y783" s="8">
        <f>IF($W783="","",$G783&amp;"|"&amp;$W783)</f>
        <v/>
      </c>
    </row>
    <row r="784">
      <c r="A784" s="16" t="n"/>
      <c r="B784" s="17">
        <f>IF($A784="","",PROPER(_xll.BDP($A784&amp;" Corp","NAME")))</f>
        <v/>
      </c>
      <c r="C784" s="17">
        <f>IF($A784="","",IFERROR(INDEX(Company_desc!$B$2:$B$1144,MATCH($A784,Company_desc!$A$2:$A$1144,0)),IFERROR(INDEX(SYZ_static!$Q$2:$Q$806,MATCH($A784,SYZ_static!$A$2:$A$806,0)),"")))</f>
        <v/>
      </c>
      <c r="D784" s="17">
        <f>IF($A784="","",IFERROR(INDEX(SYZ_static!$B$2:$B$806,MATCH($A784,SYZ_static!$A$2:$A$806,0)),""))</f>
        <v/>
      </c>
      <c r="E784" s="17">
        <f>IF($A784="","",_xll.BDP($A784&amp;" Corp","INDUSTRY_SECTOR"))</f>
        <v/>
      </c>
      <c r="F784" s="17">
        <f>IF($A784="","",PROPER(_xll.BDP($A784&amp;" Corp","COUNTRY_FULL_NAME")))</f>
        <v/>
      </c>
      <c r="G784" s="17">
        <f>IF($A784="","",_xll.BDP($A784&amp;" Corp","CRNCY"))</f>
        <v/>
      </c>
      <c r="H784" s="17">
        <f>IF($A784="","",IFERROR(INDEX(SYZ_static!$T$2:$T$806,MATCH($A784,SYZ_static!$A$2:$A$806,0)),_xll.BDP($A784&amp;" Corp","RTG_SP")))</f>
        <v/>
      </c>
      <c r="I784" s="17">
        <f>IF($A784="","",IFERROR(INDEX(SYZ_static!$S$2:$S$806,MATCH($A784,SYZ_static!$A$2:$A$806,0)),""))</f>
        <v/>
      </c>
      <c r="J784" s="17">
        <f>IF($A784="","",_xll.BDP($A784&amp;" Corp","PAYMENT_RANK"))</f>
        <v/>
      </c>
      <c r="K784" s="18">
        <f>IF($A784="","",_xll.BDP($A784&amp;" Corp","CPN"))</f>
        <v/>
      </c>
      <c r="L784" s="19">
        <f>IF($A784="","",_xll.BDP($A784&amp;" Corp","MATURITY"))</f>
        <v/>
      </c>
      <c r="M784" s="20">
        <f>IF($A784="","",IFERROR(_xll.BDP($A784&amp;" Corp","MIN_PIECE")/1000,""))</f>
        <v/>
      </c>
      <c r="N784" s="21">
        <f>IF($A784="","",_xll.BDP($A784&amp;" Corp","PX_LAST"))</f>
        <v/>
      </c>
      <c r="O784" s="21">
        <f>IF($A784="","",_xll.BDP($A784&amp;" Corp","YAS_BOND_YLD","YAS_YLD_FLAG=15"))</f>
        <v/>
      </c>
      <c r="P784" s="21">
        <f>IF($A784="","",_xll.BDP($A784&amp;" Corp","YAS_MOD_DUR"))</f>
        <v/>
      </c>
      <c r="Q784" s="22">
        <f>IF($A784="","",_xll.BDP($A784&amp;" Corp","YAS_OAS_SPRD"))</f>
        <v/>
      </c>
      <c r="R784" s="22">
        <f>IF($A784="","",_xll.BDP($A784&amp;" Corp","YAS_OAS_SPRD","SETTLE_DT",$B$2))</f>
        <v/>
      </c>
      <c r="S784" s="23">
        <f>IF($A784="","",IF(OR(NOT(ISNUMBER($Q784)),NOT(ISNUMBER($R784))),"",$Q784-$R784))</f>
        <v/>
      </c>
      <c r="T784" s="21">
        <f>IF($A784="","",_xll.BDP($A784&amp;" Corp","YAS_BOND_YLD","YAS_YLD_FLAG=15","SETTLE_DT",$B$2))</f>
        <v/>
      </c>
      <c r="U784" s="24">
        <f>IF($A784="","",IF(OR(NOT(ISNUMBER($O784)),NOT(ISNUMBER($T784))),"",$O784-$T784))</f>
        <v/>
      </c>
      <c r="V784" s="22">
        <f>IF(NOT(ISNUMBER($S784)),"",COUNTIFS($G$7:$G$850,$G784,$S$7:$S$850,"&gt;"&amp;$S784)+COUNTIFS($G$7:$G784,$G784,$S$7:$S784,$S784))</f>
        <v/>
      </c>
      <c r="W784" s="22">
        <f>IF(NOT(ISNUMBER($S784)),"",COUNTIFS($G$7:$G$850,$G784,$S$7:$S$850,"&lt;"&amp;$S784)+COUNTIFS($G$7:$G784,$G784,$S$7:$S784,$S784))</f>
        <v/>
      </c>
      <c r="X784" s="17">
        <f>IF($V784="","",$G784&amp;"|"&amp;$V784)</f>
        <v/>
      </c>
      <c r="Y784" s="17">
        <f>IF($W784="","",$G784&amp;"|"&amp;$W784)</f>
        <v/>
      </c>
    </row>
    <row r="785">
      <c r="A785" s="7" t="n"/>
      <c r="B785" s="8">
        <f>IF($A785="","",PROPER(_xll.BDP($A785&amp;" Corp","NAME")))</f>
        <v/>
      </c>
      <c r="C785" s="8">
        <f>IF($A785="","",IFERROR(INDEX(Company_desc!$B$2:$B$1144,MATCH($A785,Company_desc!$A$2:$A$1144,0)),IFERROR(INDEX(SYZ_static!$Q$2:$Q$806,MATCH($A785,SYZ_static!$A$2:$A$806,0)),"")))</f>
        <v/>
      </c>
      <c r="D785" s="8">
        <f>IF($A785="","",IFERROR(INDEX(SYZ_static!$B$2:$B$806,MATCH($A785,SYZ_static!$A$2:$A$806,0)),""))</f>
        <v/>
      </c>
      <c r="E785" s="8">
        <f>IF($A785="","",_xll.BDP($A785&amp;" Corp","INDUSTRY_SECTOR"))</f>
        <v/>
      </c>
      <c r="F785" s="8">
        <f>IF($A785="","",PROPER(_xll.BDP($A785&amp;" Corp","COUNTRY_FULL_NAME")))</f>
        <v/>
      </c>
      <c r="G785" s="8">
        <f>IF($A785="","",_xll.BDP($A785&amp;" Corp","CRNCY"))</f>
        <v/>
      </c>
      <c r="H785" s="8">
        <f>IF($A785="","",IFERROR(INDEX(SYZ_static!$T$2:$T$806,MATCH($A785,SYZ_static!$A$2:$A$806,0)),_xll.BDP($A785&amp;" Corp","RTG_SP")))</f>
        <v/>
      </c>
      <c r="I785" s="8">
        <f>IF($A785="","",IFERROR(INDEX(SYZ_static!$S$2:$S$806,MATCH($A785,SYZ_static!$A$2:$A$806,0)),""))</f>
        <v/>
      </c>
      <c r="J785" s="8">
        <f>IF($A785="","",_xll.BDP($A785&amp;" Corp","PAYMENT_RANK"))</f>
        <v/>
      </c>
      <c r="K785" s="9">
        <f>IF($A785="","",_xll.BDP($A785&amp;" Corp","CPN"))</f>
        <v/>
      </c>
      <c r="L785" s="10">
        <f>IF($A785="","",_xll.BDP($A785&amp;" Corp","MATURITY"))</f>
        <v/>
      </c>
      <c r="M785" s="11">
        <f>IF($A785="","",IFERROR(_xll.BDP($A785&amp;" Corp","MIN_PIECE")/1000,""))</f>
        <v/>
      </c>
      <c r="N785" s="12">
        <f>IF($A785="","",_xll.BDP($A785&amp;" Corp","PX_LAST"))</f>
        <v/>
      </c>
      <c r="O785" s="12">
        <f>IF($A785="","",_xll.BDP($A785&amp;" Corp","YAS_BOND_YLD","YAS_YLD_FLAG=15"))</f>
        <v/>
      </c>
      <c r="P785" s="12">
        <f>IF($A785="","",_xll.BDP($A785&amp;" Corp","YAS_MOD_DUR"))</f>
        <v/>
      </c>
      <c r="Q785" s="13">
        <f>IF($A785="","",_xll.BDP($A785&amp;" Corp","YAS_OAS_SPRD"))</f>
        <v/>
      </c>
      <c r="R785" s="13">
        <f>IF($A785="","",_xll.BDP($A785&amp;" Corp","YAS_OAS_SPRD","SETTLE_DT",$B$2))</f>
        <v/>
      </c>
      <c r="S785" s="14">
        <f>IF($A785="","",IF(OR(NOT(ISNUMBER($Q785)),NOT(ISNUMBER($R785))),"",$Q785-$R785))</f>
        <v/>
      </c>
      <c r="T785" s="12">
        <f>IF($A785="","",_xll.BDP($A785&amp;" Corp","YAS_BOND_YLD","YAS_YLD_FLAG=15","SETTLE_DT",$B$2))</f>
        <v/>
      </c>
      <c r="U785" s="15">
        <f>IF($A785="","",IF(OR(NOT(ISNUMBER($O785)),NOT(ISNUMBER($T785))),"",$O785-$T785))</f>
        <v/>
      </c>
      <c r="V785" s="13">
        <f>IF(NOT(ISNUMBER($S785)),"",COUNTIFS($G$7:$G$850,$G785,$S$7:$S$850,"&gt;"&amp;$S785)+COUNTIFS($G$7:$G785,$G785,$S$7:$S785,$S785))</f>
        <v/>
      </c>
      <c r="W785" s="13">
        <f>IF(NOT(ISNUMBER($S785)),"",COUNTIFS($G$7:$G$850,$G785,$S$7:$S$850,"&lt;"&amp;$S785)+COUNTIFS($G$7:$G785,$G785,$S$7:$S785,$S785))</f>
        <v/>
      </c>
      <c r="X785" s="8">
        <f>IF($V785="","",$G785&amp;"|"&amp;$V785)</f>
        <v/>
      </c>
      <c r="Y785" s="8">
        <f>IF($W785="","",$G785&amp;"|"&amp;$W785)</f>
        <v/>
      </c>
    </row>
    <row r="786">
      <c r="A786" s="16" t="n"/>
      <c r="B786" s="17">
        <f>IF($A786="","",PROPER(_xll.BDP($A786&amp;" Corp","NAME")))</f>
        <v/>
      </c>
      <c r="C786" s="17">
        <f>IF($A786="","",IFERROR(INDEX(Company_desc!$B$2:$B$1144,MATCH($A786,Company_desc!$A$2:$A$1144,0)),IFERROR(INDEX(SYZ_static!$Q$2:$Q$806,MATCH($A786,SYZ_static!$A$2:$A$806,0)),"")))</f>
        <v/>
      </c>
      <c r="D786" s="17">
        <f>IF($A786="","",IFERROR(INDEX(SYZ_static!$B$2:$B$806,MATCH($A786,SYZ_static!$A$2:$A$806,0)),""))</f>
        <v/>
      </c>
      <c r="E786" s="17">
        <f>IF($A786="","",_xll.BDP($A786&amp;" Corp","INDUSTRY_SECTOR"))</f>
        <v/>
      </c>
      <c r="F786" s="17">
        <f>IF($A786="","",PROPER(_xll.BDP($A786&amp;" Corp","COUNTRY_FULL_NAME")))</f>
        <v/>
      </c>
      <c r="G786" s="17">
        <f>IF($A786="","",_xll.BDP($A786&amp;" Corp","CRNCY"))</f>
        <v/>
      </c>
      <c r="H786" s="17">
        <f>IF($A786="","",IFERROR(INDEX(SYZ_static!$T$2:$T$806,MATCH($A786,SYZ_static!$A$2:$A$806,0)),_xll.BDP($A786&amp;" Corp","RTG_SP")))</f>
        <v/>
      </c>
      <c r="I786" s="17">
        <f>IF($A786="","",IFERROR(INDEX(SYZ_static!$S$2:$S$806,MATCH($A786,SYZ_static!$A$2:$A$806,0)),""))</f>
        <v/>
      </c>
      <c r="J786" s="17">
        <f>IF($A786="","",_xll.BDP($A786&amp;" Corp","PAYMENT_RANK"))</f>
        <v/>
      </c>
      <c r="K786" s="18">
        <f>IF($A786="","",_xll.BDP($A786&amp;" Corp","CPN"))</f>
        <v/>
      </c>
      <c r="L786" s="19">
        <f>IF($A786="","",_xll.BDP($A786&amp;" Corp","MATURITY"))</f>
        <v/>
      </c>
      <c r="M786" s="20">
        <f>IF($A786="","",IFERROR(_xll.BDP($A786&amp;" Corp","MIN_PIECE")/1000,""))</f>
        <v/>
      </c>
      <c r="N786" s="21">
        <f>IF($A786="","",_xll.BDP($A786&amp;" Corp","PX_LAST"))</f>
        <v/>
      </c>
      <c r="O786" s="21">
        <f>IF($A786="","",_xll.BDP($A786&amp;" Corp","YAS_BOND_YLD","YAS_YLD_FLAG=15"))</f>
        <v/>
      </c>
      <c r="P786" s="21">
        <f>IF($A786="","",_xll.BDP($A786&amp;" Corp","YAS_MOD_DUR"))</f>
        <v/>
      </c>
      <c r="Q786" s="22">
        <f>IF($A786="","",_xll.BDP($A786&amp;" Corp","YAS_OAS_SPRD"))</f>
        <v/>
      </c>
      <c r="R786" s="22">
        <f>IF($A786="","",_xll.BDP($A786&amp;" Corp","YAS_OAS_SPRD","SETTLE_DT",$B$2))</f>
        <v/>
      </c>
      <c r="S786" s="23">
        <f>IF($A786="","",IF(OR(NOT(ISNUMBER($Q786)),NOT(ISNUMBER($R786))),"",$Q786-$R786))</f>
        <v/>
      </c>
      <c r="T786" s="21">
        <f>IF($A786="","",_xll.BDP($A786&amp;" Corp","YAS_BOND_YLD","YAS_YLD_FLAG=15","SETTLE_DT",$B$2))</f>
        <v/>
      </c>
      <c r="U786" s="24">
        <f>IF($A786="","",IF(OR(NOT(ISNUMBER($O786)),NOT(ISNUMBER($T786))),"",$O786-$T786))</f>
        <v/>
      </c>
      <c r="V786" s="22">
        <f>IF(NOT(ISNUMBER($S786)),"",COUNTIFS($G$7:$G$850,$G786,$S$7:$S$850,"&gt;"&amp;$S786)+COUNTIFS($G$7:$G786,$G786,$S$7:$S786,$S786))</f>
        <v/>
      </c>
      <c r="W786" s="22">
        <f>IF(NOT(ISNUMBER($S786)),"",COUNTIFS($G$7:$G$850,$G786,$S$7:$S$850,"&lt;"&amp;$S786)+COUNTIFS($G$7:$G786,$G786,$S$7:$S786,$S786))</f>
        <v/>
      </c>
      <c r="X786" s="17">
        <f>IF($V786="","",$G786&amp;"|"&amp;$V786)</f>
        <v/>
      </c>
      <c r="Y786" s="17">
        <f>IF($W786="","",$G786&amp;"|"&amp;$W786)</f>
        <v/>
      </c>
    </row>
    <row r="787">
      <c r="A787" s="7" t="n"/>
      <c r="B787" s="8">
        <f>IF($A787="","",PROPER(_xll.BDP($A787&amp;" Corp","NAME")))</f>
        <v/>
      </c>
      <c r="C787" s="8">
        <f>IF($A787="","",IFERROR(INDEX(Company_desc!$B$2:$B$1144,MATCH($A787,Company_desc!$A$2:$A$1144,0)),IFERROR(INDEX(SYZ_static!$Q$2:$Q$806,MATCH($A787,SYZ_static!$A$2:$A$806,0)),"")))</f>
        <v/>
      </c>
      <c r="D787" s="8">
        <f>IF($A787="","",IFERROR(INDEX(SYZ_static!$B$2:$B$806,MATCH($A787,SYZ_static!$A$2:$A$806,0)),""))</f>
        <v/>
      </c>
      <c r="E787" s="8">
        <f>IF($A787="","",_xll.BDP($A787&amp;" Corp","INDUSTRY_SECTOR"))</f>
        <v/>
      </c>
      <c r="F787" s="8">
        <f>IF($A787="","",PROPER(_xll.BDP($A787&amp;" Corp","COUNTRY_FULL_NAME")))</f>
        <v/>
      </c>
      <c r="G787" s="8">
        <f>IF($A787="","",_xll.BDP($A787&amp;" Corp","CRNCY"))</f>
        <v/>
      </c>
      <c r="H787" s="8">
        <f>IF($A787="","",IFERROR(INDEX(SYZ_static!$T$2:$T$806,MATCH($A787,SYZ_static!$A$2:$A$806,0)),_xll.BDP($A787&amp;" Corp","RTG_SP")))</f>
        <v/>
      </c>
      <c r="I787" s="8">
        <f>IF($A787="","",IFERROR(INDEX(SYZ_static!$S$2:$S$806,MATCH($A787,SYZ_static!$A$2:$A$806,0)),""))</f>
        <v/>
      </c>
      <c r="J787" s="8">
        <f>IF($A787="","",_xll.BDP($A787&amp;" Corp","PAYMENT_RANK"))</f>
        <v/>
      </c>
      <c r="K787" s="9">
        <f>IF($A787="","",_xll.BDP($A787&amp;" Corp","CPN"))</f>
        <v/>
      </c>
      <c r="L787" s="10">
        <f>IF($A787="","",_xll.BDP($A787&amp;" Corp","MATURITY"))</f>
        <v/>
      </c>
      <c r="M787" s="11">
        <f>IF($A787="","",IFERROR(_xll.BDP($A787&amp;" Corp","MIN_PIECE")/1000,""))</f>
        <v/>
      </c>
      <c r="N787" s="12">
        <f>IF($A787="","",_xll.BDP($A787&amp;" Corp","PX_LAST"))</f>
        <v/>
      </c>
      <c r="O787" s="12">
        <f>IF($A787="","",_xll.BDP($A787&amp;" Corp","YAS_BOND_YLD","YAS_YLD_FLAG=15"))</f>
        <v/>
      </c>
      <c r="P787" s="12">
        <f>IF($A787="","",_xll.BDP($A787&amp;" Corp","YAS_MOD_DUR"))</f>
        <v/>
      </c>
      <c r="Q787" s="13">
        <f>IF($A787="","",_xll.BDP($A787&amp;" Corp","YAS_OAS_SPRD"))</f>
        <v/>
      </c>
      <c r="R787" s="13">
        <f>IF($A787="","",_xll.BDP($A787&amp;" Corp","YAS_OAS_SPRD","SETTLE_DT",$B$2))</f>
        <v/>
      </c>
      <c r="S787" s="14">
        <f>IF($A787="","",IF(OR(NOT(ISNUMBER($Q787)),NOT(ISNUMBER($R787))),"",$Q787-$R787))</f>
        <v/>
      </c>
      <c r="T787" s="12">
        <f>IF($A787="","",_xll.BDP($A787&amp;" Corp","YAS_BOND_YLD","YAS_YLD_FLAG=15","SETTLE_DT",$B$2))</f>
        <v/>
      </c>
      <c r="U787" s="15">
        <f>IF($A787="","",IF(OR(NOT(ISNUMBER($O787)),NOT(ISNUMBER($T787))),"",$O787-$T787))</f>
        <v/>
      </c>
      <c r="V787" s="13">
        <f>IF(NOT(ISNUMBER($S787)),"",COUNTIFS($G$7:$G$850,$G787,$S$7:$S$850,"&gt;"&amp;$S787)+COUNTIFS($G$7:$G787,$G787,$S$7:$S787,$S787))</f>
        <v/>
      </c>
      <c r="W787" s="13">
        <f>IF(NOT(ISNUMBER($S787)),"",COUNTIFS($G$7:$G$850,$G787,$S$7:$S$850,"&lt;"&amp;$S787)+COUNTIFS($G$7:$G787,$G787,$S$7:$S787,$S787))</f>
        <v/>
      </c>
      <c r="X787" s="8">
        <f>IF($V787="","",$G787&amp;"|"&amp;$V787)</f>
        <v/>
      </c>
      <c r="Y787" s="8">
        <f>IF($W787="","",$G787&amp;"|"&amp;$W787)</f>
        <v/>
      </c>
    </row>
    <row r="788">
      <c r="A788" s="16" t="n"/>
      <c r="B788" s="17">
        <f>IF($A788="","",PROPER(_xll.BDP($A788&amp;" Corp","NAME")))</f>
        <v/>
      </c>
      <c r="C788" s="17">
        <f>IF($A788="","",IFERROR(INDEX(Company_desc!$B$2:$B$1144,MATCH($A788,Company_desc!$A$2:$A$1144,0)),IFERROR(INDEX(SYZ_static!$Q$2:$Q$806,MATCH($A788,SYZ_static!$A$2:$A$806,0)),"")))</f>
        <v/>
      </c>
      <c r="D788" s="17">
        <f>IF($A788="","",IFERROR(INDEX(SYZ_static!$B$2:$B$806,MATCH($A788,SYZ_static!$A$2:$A$806,0)),""))</f>
        <v/>
      </c>
      <c r="E788" s="17">
        <f>IF($A788="","",_xll.BDP($A788&amp;" Corp","INDUSTRY_SECTOR"))</f>
        <v/>
      </c>
      <c r="F788" s="17">
        <f>IF($A788="","",PROPER(_xll.BDP($A788&amp;" Corp","COUNTRY_FULL_NAME")))</f>
        <v/>
      </c>
      <c r="G788" s="17">
        <f>IF($A788="","",_xll.BDP($A788&amp;" Corp","CRNCY"))</f>
        <v/>
      </c>
      <c r="H788" s="17">
        <f>IF($A788="","",IFERROR(INDEX(SYZ_static!$T$2:$T$806,MATCH($A788,SYZ_static!$A$2:$A$806,0)),_xll.BDP($A788&amp;" Corp","RTG_SP")))</f>
        <v/>
      </c>
      <c r="I788" s="17">
        <f>IF($A788="","",IFERROR(INDEX(SYZ_static!$S$2:$S$806,MATCH($A788,SYZ_static!$A$2:$A$806,0)),""))</f>
        <v/>
      </c>
      <c r="J788" s="17">
        <f>IF($A788="","",_xll.BDP($A788&amp;" Corp","PAYMENT_RANK"))</f>
        <v/>
      </c>
      <c r="K788" s="18">
        <f>IF($A788="","",_xll.BDP($A788&amp;" Corp","CPN"))</f>
        <v/>
      </c>
      <c r="L788" s="19">
        <f>IF($A788="","",_xll.BDP($A788&amp;" Corp","MATURITY"))</f>
        <v/>
      </c>
      <c r="M788" s="20">
        <f>IF($A788="","",IFERROR(_xll.BDP($A788&amp;" Corp","MIN_PIECE")/1000,""))</f>
        <v/>
      </c>
      <c r="N788" s="21">
        <f>IF($A788="","",_xll.BDP($A788&amp;" Corp","PX_LAST"))</f>
        <v/>
      </c>
      <c r="O788" s="21">
        <f>IF($A788="","",_xll.BDP($A788&amp;" Corp","YAS_BOND_YLD","YAS_YLD_FLAG=15"))</f>
        <v/>
      </c>
      <c r="P788" s="21">
        <f>IF($A788="","",_xll.BDP($A788&amp;" Corp","YAS_MOD_DUR"))</f>
        <v/>
      </c>
      <c r="Q788" s="22">
        <f>IF($A788="","",_xll.BDP($A788&amp;" Corp","YAS_OAS_SPRD"))</f>
        <v/>
      </c>
      <c r="R788" s="22">
        <f>IF($A788="","",_xll.BDP($A788&amp;" Corp","YAS_OAS_SPRD","SETTLE_DT",$B$2))</f>
        <v/>
      </c>
      <c r="S788" s="23">
        <f>IF($A788="","",IF(OR(NOT(ISNUMBER($Q788)),NOT(ISNUMBER($R788))),"",$Q788-$R788))</f>
        <v/>
      </c>
      <c r="T788" s="21">
        <f>IF($A788="","",_xll.BDP($A788&amp;" Corp","YAS_BOND_YLD","YAS_YLD_FLAG=15","SETTLE_DT",$B$2))</f>
        <v/>
      </c>
      <c r="U788" s="24">
        <f>IF($A788="","",IF(OR(NOT(ISNUMBER($O788)),NOT(ISNUMBER($T788))),"",$O788-$T788))</f>
        <v/>
      </c>
      <c r="V788" s="22">
        <f>IF(NOT(ISNUMBER($S788)),"",COUNTIFS($G$7:$G$850,$G788,$S$7:$S$850,"&gt;"&amp;$S788)+COUNTIFS($G$7:$G788,$G788,$S$7:$S788,$S788))</f>
        <v/>
      </c>
      <c r="W788" s="22">
        <f>IF(NOT(ISNUMBER($S788)),"",COUNTIFS($G$7:$G$850,$G788,$S$7:$S$850,"&lt;"&amp;$S788)+COUNTIFS($G$7:$G788,$G788,$S$7:$S788,$S788))</f>
        <v/>
      </c>
      <c r="X788" s="17">
        <f>IF($V788="","",$G788&amp;"|"&amp;$V788)</f>
        <v/>
      </c>
      <c r="Y788" s="17">
        <f>IF($W788="","",$G788&amp;"|"&amp;$W788)</f>
        <v/>
      </c>
    </row>
    <row r="789">
      <c r="A789" s="7" t="n"/>
      <c r="B789" s="8">
        <f>IF($A789="","",PROPER(_xll.BDP($A789&amp;" Corp","NAME")))</f>
        <v/>
      </c>
      <c r="C789" s="8">
        <f>IF($A789="","",IFERROR(INDEX(Company_desc!$B$2:$B$1144,MATCH($A789,Company_desc!$A$2:$A$1144,0)),IFERROR(INDEX(SYZ_static!$Q$2:$Q$806,MATCH($A789,SYZ_static!$A$2:$A$806,0)),"")))</f>
        <v/>
      </c>
      <c r="D789" s="8">
        <f>IF($A789="","",IFERROR(INDEX(SYZ_static!$B$2:$B$806,MATCH($A789,SYZ_static!$A$2:$A$806,0)),""))</f>
        <v/>
      </c>
      <c r="E789" s="8">
        <f>IF($A789="","",_xll.BDP($A789&amp;" Corp","INDUSTRY_SECTOR"))</f>
        <v/>
      </c>
      <c r="F789" s="8">
        <f>IF($A789="","",PROPER(_xll.BDP($A789&amp;" Corp","COUNTRY_FULL_NAME")))</f>
        <v/>
      </c>
      <c r="G789" s="8">
        <f>IF($A789="","",_xll.BDP($A789&amp;" Corp","CRNCY"))</f>
        <v/>
      </c>
      <c r="H789" s="8">
        <f>IF($A789="","",IFERROR(INDEX(SYZ_static!$T$2:$T$806,MATCH($A789,SYZ_static!$A$2:$A$806,0)),_xll.BDP($A789&amp;" Corp","RTG_SP")))</f>
        <v/>
      </c>
      <c r="I789" s="8">
        <f>IF($A789="","",IFERROR(INDEX(SYZ_static!$S$2:$S$806,MATCH($A789,SYZ_static!$A$2:$A$806,0)),""))</f>
        <v/>
      </c>
      <c r="J789" s="8">
        <f>IF($A789="","",_xll.BDP($A789&amp;" Corp","PAYMENT_RANK"))</f>
        <v/>
      </c>
      <c r="K789" s="9">
        <f>IF($A789="","",_xll.BDP($A789&amp;" Corp","CPN"))</f>
        <v/>
      </c>
      <c r="L789" s="10">
        <f>IF($A789="","",_xll.BDP($A789&amp;" Corp","MATURITY"))</f>
        <v/>
      </c>
      <c r="M789" s="11">
        <f>IF($A789="","",IFERROR(_xll.BDP($A789&amp;" Corp","MIN_PIECE")/1000,""))</f>
        <v/>
      </c>
      <c r="N789" s="12">
        <f>IF($A789="","",_xll.BDP($A789&amp;" Corp","PX_LAST"))</f>
        <v/>
      </c>
      <c r="O789" s="12">
        <f>IF($A789="","",_xll.BDP($A789&amp;" Corp","YAS_BOND_YLD","YAS_YLD_FLAG=15"))</f>
        <v/>
      </c>
      <c r="P789" s="12">
        <f>IF($A789="","",_xll.BDP($A789&amp;" Corp","YAS_MOD_DUR"))</f>
        <v/>
      </c>
      <c r="Q789" s="13">
        <f>IF($A789="","",_xll.BDP($A789&amp;" Corp","YAS_OAS_SPRD"))</f>
        <v/>
      </c>
      <c r="R789" s="13">
        <f>IF($A789="","",_xll.BDP($A789&amp;" Corp","YAS_OAS_SPRD","SETTLE_DT",$B$2))</f>
        <v/>
      </c>
      <c r="S789" s="14">
        <f>IF($A789="","",IF(OR(NOT(ISNUMBER($Q789)),NOT(ISNUMBER($R789))),"",$Q789-$R789))</f>
        <v/>
      </c>
      <c r="T789" s="12">
        <f>IF($A789="","",_xll.BDP($A789&amp;" Corp","YAS_BOND_YLD","YAS_YLD_FLAG=15","SETTLE_DT",$B$2))</f>
        <v/>
      </c>
      <c r="U789" s="15">
        <f>IF($A789="","",IF(OR(NOT(ISNUMBER($O789)),NOT(ISNUMBER($T789))),"",$O789-$T789))</f>
        <v/>
      </c>
      <c r="V789" s="13">
        <f>IF(NOT(ISNUMBER($S789)),"",COUNTIFS($G$7:$G$850,$G789,$S$7:$S$850,"&gt;"&amp;$S789)+COUNTIFS($G$7:$G789,$G789,$S$7:$S789,$S789))</f>
        <v/>
      </c>
      <c r="W789" s="13">
        <f>IF(NOT(ISNUMBER($S789)),"",COUNTIFS($G$7:$G$850,$G789,$S$7:$S$850,"&lt;"&amp;$S789)+COUNTIFS($G$7:$G789,$G789,$S$7:$S789,$S789))</f>
        <v/>
      </c>
      <c r="X789" s="8">
        <f>IF($V789="","",$G789&amp;"|"&amp;$V789)</f>
        <v/>
      </c>
      <c r="Y789" s="8">
        <f>IF($W789="","",$G789&amp;"|"&amp;$W789)</f>
        <v/>
      </c>
    </row>
    <row r="790">
      <c r="A790" s="16" t="n"/>
      <c r="B790" s="17">
        <f>IF($A790="","",PROPER(_xll.BDP($A790&amp;" Corp","NAME")))</f>
        <v/>
      </c>
      <c r="C790" s="17">
        <f>IF($A790="","",IFERROR(INDEX(Company_desc!$B$2:$B$1144,MATCH($A790,Company_desc!$A$2:$A$1144,0)),IFERROR(INDEX(SYZ_static!$Q$2:$Q$806,MATCH($A790,SYZ_static!$A$2:$A$806,0)),"")))</f>
        <v/>
      </c>
      <c r="D790" s="17">
        <f>IF($A790="","",IFERROR(INDEX(SYZ_static!$B$2:$B$806,MATCH($A790,SYZ_static!$A$2:$A$806,0)),""))</f>
        <v/>
      </c>
      <c r="E790" s="17">
        <f>IF($A790="","",_xll.BDP($A790&amp;" Corp","INDUSTRY_SECTOR"))</f>
        <v/>
      </c>
      <c r="F790" s="17">
        <f>IF($A790="","",PROPER(_xll.BDP($A790&amp;" Corp","COUNTRY_FULL_NAME")))</f>
        <v/>
      </c>
      <c r="G790" s="17">
        <f>IF($A790="","",_xll.BDP($A790&amp;" Corp","CRNCY"))</f>
        <v/>
      </c>
      <c r="H790" s="17">
        <f>IF($A790="","",IFERROR(INDEX(SYZ_static!$T$2:$T$806,MATCH($A790,SYZ_static!$A$2:$A$806,0)),_xll.BDP($A790&amp;" Corp","RTG_SP")))</f>
        <v/>
      </c>
      <c r="I790" s="17">
        <f>IF($A790="","",IFERROR(INDEX(SYZ_static!$S$2:$S$806,MATCH($A790,SYZ_static!$A$2:$A$806,0)),""))</f>
        <v/>
      </c>
      <c r="J790" s="17">
        <f>IF($A790="","",_xll.BDP($A790&amp;" Corp","PAYMENT_RANK"))</f>
        <v/>
      </c>
      <c r="K790" s="18">
        <f>IF($A790="","",_xll.BDP($A790&amp;" Corp","CPN"))</f>
        <v/>
      </c>
      <c r="L790" s="19">
        <f>IF($A790="","",_xll.BDP($A790&amp;" Corp","MATURITY"))</f>
        <v/>
      </c>
      <c r="M790" s="20">
        <f>IF($A790="","",IFERROR(_xll.BDP($A790&amp;" Corp","MIN_PIECE")/1000,""))</f>
        <v/>
      </c>
      <c r="N790" s="21">
        <f>IF($A790="","",_xll.BDP($A790&amp;" Corp","PX_LAST"))</f>
        <v/>
      </c>
      <c r="O790" s="21">
        <f>IF($A790="","",_xll.BDP($A790&amp;" Corp","YAS_BOND_YLD","YAS_YLD_FLAG=15"))</f>
        <v/>
      </c>
      <c r="P790" s="21">
        <f>IF($A790="","",_xll.BDP($A790&amp;" Corp","YAS_MOD_DUR"))</f>
        <v/>
      </c>
      <c r="Q790" s="22">
        <f>IF($A790="","",_xll.BDP($A790&amp;" Corp","YAS_OAS_SPRD"))</f>
        <v/>
      </c>
      <c r="R790" s="22">
        <f>IF($A790="","",_xll.BDP($A790&amp;" Corp","YAS_OAS_SPRD","SETTLE_DT",$B$2))</f>
        <v/>
      </c>
      <c r="S790" s="23">
        <f>IF($A790="","",IF(OR(NOT(ISNUMBER($Q790)),NOT(ISNUMBER($R790))),"",$Q790-$R790))</f>
        <v/>
      </c>
      <c r="T790" s="21">
        <f>IF($A790="","",_xll.BDP($A790&amp;" Corp","YAS_BOND_YLD","YAS_YLD_FLAG=15","SETTLE_DT",$B$2))</f>
        <v/>
      </c>
      <c r="U790" s="24">
        <f>IF($A790="","",IF(OR(NOT(ISNUMBER($O790)),NOT(ISNUMBER($T790))),"",$O790-$T790))</f>
        <v/>
      </c>
      <c r="V790" s="22">
        <f>IF(NOT(ISNUMBER($S790)),"",COUNTIFS($G$7:$G$850,$G790,$S$7:$S$850,"&gt;"&amp;$S790)+COUNTIFS($G$7:$G790,$G790,$S$7:$S790,$S790))</f>
        <v/>
      </c>
      <c r="W790" s="22">
        <f>IF(NOT(ISNUMBER($S790)),"",COUNTIFS($G$7:$G$850,$G790,$S$7:$S$850,"&lt;"&amp;$S790)+COUNTIFS($G$7:$G790,$G790,$S$7:$S790,$S790))</f>
        <v/>
      </c>
      <c r="X790" s="17">
        <f>IF($V790="","",$G790&amp;"|"&amp;$V790)</f>
        <v/>
      </c>
      <c r="Y790" s="17">
        <f>IF($W790="","",$G790&amp;"|"&amp;$W790)</f>
        <v/>
      </c>
    </row>
    <row r="791">
      <c r="A791" s="7" t="n"/>
      <c r="B791" s="8">
        <f>IF($A791="","",PROPER(_xll.BDP($A791&amp;" Corp","NAME")))</f>
        <v/>
      </c>
      <c r="C791" s="8">
        <f>IF($A791="","",IFERROR(INDEX(Company_desc!$B$2:$B$1144,MATCH($A791,Company_desc!$A$2:$A$1144,0)),IFERROR(INDEX(SYZ_static!$Q$2:$Q$806,MATCH($A791,SYZ_static!$A$2:$A$806,0)),"")))</f>
        <v/>
      </c>
      <c r="D791" s="8">
        <f>IF($A791="","",IFERROR(INDEX(SYZ_static!$B$2:$B$806,MATCH($A791,SYZ_static!$A$2:$A$806,0)),""))</f>
        <v/>
      </c>
      <c r="E791" s="8">
        <f>IF($A791="","",_xll.BDP($A791&amp;" Corp","INDUSTRY_SECTOR"))</f>
        <v/>
      </c>
      <c r="F791" s="8">
        <f>IF($A791="","",PROPER(_xll.BDP($A791&amp;" Corp","COUNTRY_FULL_NAME")))</f>
        <v/>
      </c>
      <c r="G791" s="8">
        <f>IF($A791="","",_xll.BDP($A791&amp;" Corp","CRNCY"))</f>
        <v/>
      </c>
      <c r="H791" s="8">
        <f>IF($A791="","",IFERROR(INDEX(SYZ_static!$T$2:$T$806,MATCH($A791,SYZ_static!$A$2:$A$806,0)),_xll.BDP($A791&amp;" Corp","RTG_SP")))</f>
        <v/>
      </c>
      <c r="I791" s="8">
        <f>IF($A791="","",IFERROR(INDEX(SYZ_static!$S$2:$S$806,MATCH($A791,SYZ_static!$A$2:$A$806,0)),""))</f>
        <v/>
      </c>
      <c r="J791" s="8">
        <f>IF($A791="","",_xll.BDP($A791&amp;" Corp","PAYMENT_RANK"))</f>
        <v/>
      </c>
      <c r="K791" s="9">
        <f>IF($A791="","",_xll.BDP($A791&amp;" Corp","CPN"))</f>
        <v/>
      </c>
      <c r="L791" s="10">
        <f>IF($A791="","",_xll.BDP($A791&amp;" Corp","MATURITY"))</f>
        <v/>
      </c>
      <c r="M791" s="11">
        <f>IF($A791="","",IFERROR(_xll.BDP($A791&amp;" Corp","MIN_PIECE")/1000,""))</f>
        <v/>
      </c>
      <c r="N791" s="12">
        <f>IF($A791="","",_xll.BDP($A791&amp;" Corp","PX_LAST"))</f>
        <v/>
      </c>
      <c r="O791" s="12">
        <f>IF($A791="","",_xll.BDP($A791&amp;" Corp","YAS_BOND_YLD","YAS_YLD_FLAG=15"))</f>
        <v/>
      </c>
      <c r="P791" s="12">
        <f>IF($A791="","",_xll.BDP($A791&amp;" Corp","YAS_MOD_DUR"))</f>
        <v/>
      </c>
      <c r="Q791" s="13">
        <f>IF($A791="","",_xll.BDP($A791&amp;" Corp","YAS_OAS_SPRD"))</f>
        <v/>
      </c>
      <c r="R791" s="13">
        <f>IF($A791="","",_xll.BDP($A791&amp;" Corp","YAS_OAS_SPRD","SETTLE_DT",$B$2))</f>
        <v/>
      </c>
      <c r="S791" s="14">
        <f>IF($A791="","",IF(OR(NOT(ISNUMBER($Q791)),NOT(ISNUMBER($R791))),"",$Q791-$R791))</f>
        <v/>
      </c>
      <c r="T791" s="12">
        <f>IF($A791="","",_xll.BDP($A791&amp;" Corp","YAS_BOND_YLD","YAS_YLD_FLAG=15","SETTLE_DT",$B$2))</f>
        <v/>
      </c>
      <c r="U791" s="15">
        <f>IF($A791="","",IF(OR(NOT(ISNUMBER($O791)),NOT(ISNUMBER($T791))),"",$O791-$T791))</f>
        <v/>
      </c>
      <c r="V791" s="13">
        <f>IF(NOT(ISNUMBER($S791)),"",COUNTIFS($G$7:$G$850,$G791,$S$7:$S$850,"&gt;"&amp;$S791)+COUNTIFS($G$7:$G791,$G791,$S$7:$S791,$S791))</f>
        <v/>
      </c>
      <c r="W791" s="13">
        <f>IF(NOT(ISNUMBER($S791)),"",COUNTIFS($G$7:$G$850,$G791,$S$7:$S$850,"&lt;"&amp;$S791)+COUNTIFS($G$7:$G791,$G791,$S$7:$S791,$S791))</f>
        <v/>
      </c>
      <c r="X791" s="8">
        <f>IF($V791="","",$G791&amp;"|"&amp;$V791)</f>
        <v/>
      </c>
      <c r="Y791" s="8">
        <f>IF($W791="","",$G791&amp;"|"&amp;$W791)</f>
        <v/>
      </c>
    </row>
    <row r="792">
      <c r="A792" s="16" t="n"/>
      <c r="B792" s="17">
        <f>IF($A792="","",PROPER(_xll.BDP($A792&amp;" Corp","NAME")))</f>
        <v/>
      </c>
      <c r="C792" s="17">
        <f>IF($A792="","",IFERROR(INDEX(Company_desc!$B$2:$B$1144,MATCH($A792,Company_desc!$A$2:$A$1144,0)),IFERROR(INDEX(SYZ_static!$Q$2:$Q$806,MATCH($A792,SYZ_static!$A$2:$A$806,0)),"")))</f>
        <v/>
      </c>
      <c r="D792" s="17">
        <f>IF($A792="","",IFERROR(INDEX(SYZ_static!$B$2:$B$806,MATCH($A792,SYZ_static!$A$2:$A$806,0)),""))</f>
        <v/>
      </c>
      <c r="E792" s="17">
        <f>IF($A792="","",_xll.BDP($A792&amp;" Corp","INDUSTRY_SECTOR"))</f>
        <v/>
      </c>
      <c r="F792" s="17">
        <f>IF($A792="","",PROPER(_xll.BDP($A792&amp;" Corp","COUNTRY_FULL_NAME")))</f>
        <v/>
      </c>
      <c r="G792" s="17">
        <f>IF($A792="","",_xll.BDP($A792&amp;" Corp","CRNCY"))</f>
        <v/>
      </c>
      <c r="H792" s="17">
        <f>IF($A792="","",IFERROR(INDEX(SYZ_static!$T$2:$T$806,MATCH($A792,SYZ_static!$A$2:$A$806,0)),_xll.BDP($A792&amp;" Corp","RTG_SP")))</f>
        <v/>
      </c>
      <c r="I792" s="17">
        <f>IF($A792="","",IFERROR(INDEX(SYZ_static!$S$2:$S$806,MATCH($A792,SYZ_static!$A$2:$A$806,0)),""))</f>
        <v/>
      </c>
      <c r="J792" s="17">
        <f>IF($A792="","",_xll.BDP($A792&amp;" Corp","PAYMENT_RANK"))</f>
        <v/>
      </c>
      <c r="K792" s="18">
        <f>IF($A792="","",_xll.BDP($A792&amp;" Corp","CPN"))</f>
        <v/>
      </c>
      <c r="L792" s="19">
        <f>IF($A792="","",_xll.BDP($A792&amp;" Corp","MATURITY"))</f>
        <v/>
      </c>
      <c r="M792" s="20">
        <f>IF($A792="","",IFERROR(_xll.BDP($A792&amp;" Corp","MIN_PIECE")/1000,""))</f>
        <v/>
      </c>
      <c r="N792" s="21">
        <f>IF($A792="","",_xll.BDP($A792&amp;" Corp","PX_LAST"))</f>
        <v/>
      </c>
      <c r="O792" s="21">
        <f>IF($A792="","",_xll.BDP($A792&amp;" Corp","YAS_BOND_YLD","YAS_YLD_FLAG=15"))</f>
        <v/>
      </c>
      <c r="P792" s="21">
        <f>IF($A792="","",_xll.BDP($A792&amp;" Corp","YAS_MOD_DUR"))</f>
        <v/>
      </c>
      <c r="Q792" s="22">
        <f>IF($A792="","",_xll.BDP($A792&amp;" Corp","YAS_OAS_SPRD"))</f>
        <v/>
      </c>
      <c r="R792" s="22">
        <f>IF($A792="","",_xll.BDP($A792&amp;" Corp","YAS_OAS_SPRD","SETTLE_DT",$B$2))</f>
        <v/>
      </c>
      <c r="S792" s="23">
        <f>IF($A792="","",IF(OR(NOT(ISNUMBER($Q792)),NOT(ISNUMBER($R792))),"",$Q792-$R792))</f>
        <v/>
      </c>
      <c r="T792" s="21">
        <f>IF($A792="","",_xll.BDP($A792&amp;" Corp","YAS_BOND_YLD","YAS_YLD_FLAG=15","SETTLE_DT",$B$2))</f>
        <v/>
      </c>
      <c r="U792" s="24">
        <f>IF($A792="","",IF(OR(NOT(ISNUMBER($O792)),NOT(ISNUMBER($T792))),"",$O792-$T792))</f>
        <v/>
      </c>
      <c r="V792" s="22">
        <f>IF(NOT(ISNUMBER($S792)),"",COUNTIFS($G$7:$G$850,$G792,$S$7:$S$850,"&gt;"&amp;$S792)+COUNTIFS($G$7:$G792,$G792,$S$7:$S792,$S792))</f>
        <v/>
      </c>
      <c r="W792" s="22">
        <f>IF(NOT(ISNUMBER($S792)),"",COUNTIFS($G$7:$G$850,$G792,$S$7:$S$850,"&lt;"&amp;$S792)+COUNTIFS($G$7:$G792,$G792,$S$7:$S792,$S792))</f>
        <v/>
      </c>
      <c r="X792" s="17">
        <f>IF($V792="","",$G792&amp;"|"&amp;$V792)</f>
        <v/>
      </c>
      <c r="Y792" s="17">
        <f>IF($W792="","",$G792&amp;"|"&amp;$W792)</f>
        <v/>
      </c>
    </row>
    <row r="793">
      <c r="A793" s="7" t="n"/>
      <c r="B793" s="8">
        <f>IF($A793="","",PROPER(_xll.BDP($A793&amp;" Corp","NAME")))</f>
        <v/>
      </c>
      <c r="C793" s="8">
        <f>IF($A793="","",IFERROR(INDEX(Company_desc!$B$2:$B$1144,MATCH($A793,Company_desc!$A$2:$A$1144,0)),IFERROR(INDEX(SYZ_static!$Q$2:$Q$806,MATCH($A793,SYZ_static!$A$2:$A$806,0)),"")))</f>
        <v/>
      </c>
      <c r="D793" s="8">
        <f>IF($A793="","",IFERROR(INDEX(SYZ_static!$B$2:$B$806,MATCH($A793,SYZ_static!$A$2:$A$806,0)),""))</f>
        <v/>
      </c>
      <c r="E793" s="8">
        <f>IF($A793="","",_xll.BDP($A793&amp;" Corp","INDUSTRY_SECTOR"))</f>
        <v/>
      </c>
      <c r="F793" s="8">
        <f>IF($A793="","",PROPER(_xll.BDP($A793&amp;" Corp","COUNTRY_FULL_NAME")))</f>
        <v/>
      </c>
      <c r="G793" s="8">
        <f>IF($A793="","",_xll.BDP($A793&amp;" Corp","CRNCY"))</f>
        <v/>
      </c>
      <c r="H793" s="8">
        <f>IF($A793="","",IFERROR(INDEX(SYZ_static!$T$2:$T$806,MATCH($A793,SYZ_static!$A$2:$A$806,0)),_xll.BDP($A793&amp;" Corp","RTG_SP")))</f>
        <v/>
      </c>
      <c r="I793" s="8">
        <f>IF($A793="","",IFERROR(INDEX(SYZ_static!$S$2:$S$806,MATCH($A793,SYZ_static!$A$2:$A$806,0)),""))</f>
        <v/>
      </c>
      <c r="J793" s="8">
        <f>IF($A793="","",_xll.BDP($A793&amp;" Corp","PAYMENT_RANK"))</f>
        <v/>
      </c>
      <c r="K793" s="9">
        <f>IF($A793="","",_xll.BDP($A793&amp;" Corp","CPN"))</f>
        <v/>
      </c>
      <c r="L793" s="10">
        <f>IF($A793="","",_xll.BDP($A793&amp;" Corp","MATURITY"))</f>
        <v/>
      </c>
      <c r="M793" s="11">
        <f>IF($A793="","",IFERROR(_xll.BDP($A793&amp;" Corp","MIN_PIECE")/1000,""))</f>
        <v/>
      </c>
      <c r="N793" s="12">
        <f>IF($A793="","",_xll.BDP($A793&amp;" Corp","PX_LAST"))</f>
        <v/>
      </c>
      <c r="O793" s="12">
        <f>IF($A793="","",_xll.BDP($A793&amp;" Corp","YAS_BOND_YLD","YAS_YLD_FLAG=15"))</f>
        <v/>
      </c>
      <c r="P793" s="12">
        <f>IF($A793="","",_xll.BDP($A793&amp;" Corp","YAS_MOD_DUR"))</f>
        <v/>
      </c>
      <c r="Q793" s="13">
        <f>IF($A793="","",_xll.BDP($A793&amp;" Corp","YAS_OAS_SPRD"))</f>
        <v/>
      </c>
      <c r="R793" s="13">
        <f>IF($A793="","",_xll.BDP($A793&amp;" Corp","YAS_OAS_SPRD","SETTLE_DT",$B$2))</f>
        <v/>
      </c>
      <c r="S793" s="14">
        <f>IF($A793="","",IF(OR(NOT(ISNUMBER($Q793)),NOT(ISNUMBER($R793))),"",$Q793-$R793))</f>
        <v/>
      </c>
      <c r="T793" s="12">
        <f>IF($A793="","",_xll.BDP($A793&amp;" Corp","YAS_BOND_YLD","YAS_YLD_FLAG=15","SETTLE_DT",$B$2))</f>
        <v/>
      </c>
      <c r="U793" s="15">
        <f>IF($A793="","",IF(OR(NOT(ISNUMBER($O793)),NOT(ISNUMBER($T793))),"",$O793-$T793))</f>
        <v/>
      </c>
      <c r="V793" s="13">
        <f>IF(NOT(ISNUMBER($S793)),"",COUNTIFS($G$7:$G$850,$G793,$S$7:$S$850,"&gt;"&amp;$S793)+COUNTIFS($G$7:$G793,$G793,$S$7:$S793,$S793))</f>
        <v/>
      </c>
      <c r="W793" s="13">
        <f>IF(NOT(ISNUMBER($S793)),"",COUNTIFS($G$7:$G$850,$G793,$S$7:$S$850,"&lt;"&amp;$S793)+COUNTIFS($G$7:$G793,$G793,$S$7:$S793,$S793))</f>
        <v/>
      </c>
      <c r="X793" s="8">
        <f>IF($V793="","",$G793&amp;"|"&amp;$V793)</f>
        <v/>
      </c>
      <c r="Y793" s="8">
        <f>IF($W793="","",$G793&amp;"|"&amp;$W793)</f>
        <v/>
      </c>
    </row>
    <row r="794">
      <c r="A794" s="16" t="n"/>
      <c r="B794" s="17">
        <f>IF($A794="","",PROPER(_xll.BDP($A794&amp;" Corp","NAME")))</f>
        <v/>
      </c>
      <c r="C794" s="17">
        <f>IF($A794="","",IFERROR(INDEX(Company_desc!$B$2:$B$1144,MATCH($A794,Company_desc!$A$2:$A$1144,0)),IFERROR(INDEX(SYZ_static!$Q$2:$Q$806,MATCH($A794,SYZ_static!$A$2:$A$806,0)),"")))</f>
        <v/>
      </c>
      <c r="D794" s="17">
        <f>IF($A794="","",IFERROR(INDEX(SYZ_static!$B$2:$B$806,MATCH($A794,SYZ_static!$A$2:$A$806,0)),""))</f>
        <v/>
      </c>
      <c r="E794" s="17">
        <f>IF($A794="","",_xll.BDP($A794&amp;" Corp","INDUSTRY_SECTOR"))</f>
        <v/>
      </c>
      <c r="F794" s="17">
        <f>IF($A794="","",PROPER(_xll.BDP($A794&amp;" Corp","COUNTRY_FULL_NAME")))</f>
        <v/>
      </c>
      <c r="G794" s="17">
        <f>IF($A794="","",_xll.BDP($A794&amp;" Corp","CRNCY"))</f>
        <v/>
      </c>
      <c r="H794" s="17">
        <f>IF($A794="","",IFERROR(INDEX(SYZ_static!$T$2:$T$806,MATCH($A794,SYZ_static!$A$2:$A$806,0)),_xll.BDP($A794&amp;" Corp","RTG_SP")))</f>
        <v/>
      </c>
      <c r="I794" s="17">
        <f>IF($A794="","",IFERROR(INDEX(SYZ_static!$S$2:$S$806,MATCH($A794,SYZ_static!$A$2:$A$806,0)),""))</f>
        <v/>
      </c>
      <c r="J794" s="17">
        <f>IF($A794="","",_xll.BDP($A794&amp;" Corp","PAYMENT_RANK"))</f>
        <v/>
      </c>
      <c r="K794" s="18">
        <f>IF($A794="","",_xll.BDP($A794&amp;" Corp","CPN"))</f>
        <v/>
      </c>
      <c r="L794" s="19">
        <f>IF($A794="","",_xll.BDP($A794&amp;" Corp","MATURITY"))</f>
        <v/>
      </c>
      <c r="M794" s="20">
        <f>IF($A794="","",IFERROR(_xll.BDP($A794&amp;" Corp","MIN_PIECE")/1000,""))</f>
        <v/>
      </c>
      <c r="N794" s="21">
        <f>IF($A794="","",_xll.BDP($A794&amp;" Corp","PX_LAST"))</f>
        <v/>
      </c>
      <c r="O794" s="21">
        <f>IF($A794="","",_xll.BDP($A794&amp;" Corp","YAS_BOND_YLD","YAS_YLD_FLAG=15"))</f>
        <v/>
      </c>
      <c r="P794" s="21">
        <f>IF($A794="","",_xll.BDP($A794&amp;" Corp","YAS_MOD_DUR"))</f>
        <v/>
      </c>
      <c r="Q794" s="22">
        <f>IF($A794="","",_xll.BDP($A794&amp;" Corp","YAS_OAS_SPRD"))</f>
        <v/>
      </c>
      <c r="R794" s="22">
        <f>IF($A794="","",_xll.BDP($A794&amp;" Corp","YAS_OAS_SPRD","SETTLE_DT",$B$2))</f>
        <v/>
      </c>
      <c r="S794" s="23">
        <f>IF($A794="","",IF(OR(NOT(ISNUMBER($Q794)),NOT(ISNUMBER($R794))),"",$Q794-$R794))</f>
        <v/>
      </c>
      <c r="T794" s="21">
        <f>IF($A794="","",_xll.BDP($A794&amp;" Corp","YAS_BOND_YLD","YAS_YLD_FLAG=15","SETTLE_DT",$B$2))</f>
        <v/>
      </c>
      <c r="U794" s="24">
        <f>IF($A794="","",IF(OR(NOT(ISNUMBER($O794)),NOT(ISNUMBER($T794))),"",$O794-$T794))</f>
        <v/>
      </c>
      <c r="V794" s="22">
        <f>IF(NOT(ISNUMBER($S794)),"",COUNTIFS($G$7:$G$850,$G794,$S$7:$S$850,"&gt;"&amp;$S794)+COUNTIFS($G$7:$G794,$G794,$S$7:$S794,$S794))</f>
        <v/>
      </c>
      <c r="W794" s="22">
        <f>IF(NOT(ISNUMBER($S794)),"",COUNTIFS($G$7:$G$850,$G794,$S$7:$S$850,"&lt;"&amp;$S794)+COUNTIFS($G$7:$G794,$G794,$S$7:$S794,$S794))</f>
        <v/>
      </c>
      <c r="X794" s="17">
        <f>IF($V794="","",$G794&amp;"|"&amp;$V794)</f>
        <v/>
      </c>
      <c r="Y794" s="17">
        <f>IF($W794="","",$G794&amp;"|"&amp;$W794)</f>
        <v/>
      </c>
    </row>
    <row r="795">
      <c r="A795" s="7" t="n"/>
      <c r="B795" s="8">
        <f>IF($A795="","",PROPER(_xll.BDP($A795&amp;" Corp","NAME")))</f>
        <v/>
      </c>
      <c r="C795" s="8">
        <f>IF($A795="","",IFERROR(INDEX(Company_desc!$B$2:$B$1144,MATCH($A795,Company_desc!$A$2:$A$1144,0)),IFERROR(INDEX(SYZ_static!$Q$2:$Q$806,MATCH($A795,SYZ_static!$A$2:$A$806,0)),"")))</f>
        <v/>
      </c>
      <c r="D795" s="8">
        <f>IF($A795="","",IFERROR(INDEX(SYZ_static!$B$2:$B$806,MATCH($A795,SYZ_static!$A$2:$A$806,0)),""))</f>
        <v/>
      </c>
      <c r="E795" s="8">
        <f>IF($A795="","",_xll.BDP($A795&amp;" Corp","INDUSTRY_SECTOR"))</f>
        <v/>
      </c>
      <c r="F795" s="8">
        <f>IF($A795="","",PROPER(_xll.BDP($A795&amp;" Corp","COUNTRY_FULL_NAME")))</f>
        <v/>
      </c>
      <c r="G795" s="8">
        <f>IF($A795="","",_xll.BDP($A795&amp;" Corp","CRNCY"))</f>
        <v/>
      </c>
      <c r="H795" s="8">
        <f>IF($A795="","",IFERROR(INDEX(SYZ_static!$T$2:$T$806,MATCH($A795,SYZ_static!$A$2:$A$806,0)),_xll.BDP($A795&amp;" Corp","RTG_SP")))</f>
        <v/>
      </c>
      <c r="I795" s="8">
        <f>IF($A795="","",IFERROR(INDEX(SYZ_static!$S$2:$S$806,MATCH($A795,SYZ_static!$A$2:$A$806,0)),""))</f>
        <v/>
      </c>
      <c r="J795" s="8">
        <f>IF($A795="","",_xll.BDP($A795&amp;" Corp","PAYMENT_RANK"))</f>
        <v/>
      </c>
      <c r="K795" s="9">
        <f>IF($A795="","",_xll.BDP($A795&amp;" Corp","CPN"))</f>
        <v/>
      </c>
      <c r="L795" s="10">
        <f>IF($A795="","",_xll.BDP($A795&amp;" Corp","MATURITY"))</f>
        <v/>
      </c>
      <c r="M795" s="11">
        <f>IF($A795="","",IFERROR(_xll.BDP($A795&amp;" Corp","MIN_PIECE")/1000,""))</f>
        <v/>
      </c>
      <c r="N795" s="12">
        <f>IF($A795="","",_xll.BDP($A795&amp;" Corp","PX_LAST"))</f>
        <v/>
      </c>
      <c r="O795" s="12">
        <f>IF($A795="","",_xll.BDP($A795&amp;" Corp","YAS_BOND_YLD","YAS_YLD_FLAG=15"))</f>
        <v/>
      </c>
      <c r="P795" s="12">
        <f>IF($A795="","",_xll.BDP($A795&amp;" Corp","YAS_MOD_DUR"))</f>
        <v/>
      </c>
      <c r="Q795" s="13">
        <f>IF($A795="","",_xll.BDP($A795&amp;" Corp","YAS_OAS_SPRD"))</f>
        <v/>
      </c>
      <c r="R795" s="13">
        <f>IF($A795="","",_xll.BDP($A795&amp;" Corp","YAS_OAS_SPRD","SETTLE_DT",$B$2))</f>
        <v/>
      </c>
      <c r="S795" s="14">
        <f>IF($A795="","",IF(OR(NOT(ISNUMBER($Q795)),NOT(ISNUMBER($R795))),"",$Q795-$R795))</f>
        <v/>
      </c>
      <c r="T795" s="12">
        <f>IF($A795="","",_xll.BDP($A795&amp;" Corp","YAS_BOND_YLD","YAS_YLD_FLAG=15","SETTLE_DT",$B$2))</f>
        <v/>
      </c>
      <c r="U795" s="15">
        <f>IF($A795="","",IF(OR(NOT(ISNUMBER($O795)),NOT(ISNUMBER($T795))),"",$O795-$T795))</f>
        <v/>
      </c>
      <c r="V795" s="13">
        <f>IF(NOT(ISNUMBER($S795)),"",COUNTIFS($G$7:$G$850,$G795,$S$7:$S$850,"&gt;"&amp;$S795)+COUNTIFS($G$7:$G795,$G795,$S$7:$S795,$S795))</f>
        <v/>
      </c>
      <c r="W795" s="13">
        <f>IF(NOT(ISNUMBER($S795)),"",COUNTIFS($G$7:$G$850,$G795,$S$7:$S$850,"&lt;"&amp;$S795)+COUNTIFS($G$7:$G795,$G795,$S$7:$S795,$S795))</f>
        <v/>
      </c>
      <c r="X795" s="8">
        <f>IF($V795="","",$G795&amp;"|"&amp;$V795)</f>
        <v/>
      </c>
      <c r="Y795" s="8">
        <f>IF($W795="","",$G795&amp;"|"&amp;$W795)</f>
        <v/>
      </c>
    </row>
    <row r="796">
      <c r="A796" s="16" t="n"/>
      <c r="B796" s="17">
        <f>IF($A796="","",PROPER(_xll.BDP($A796&amp;" Corp","NAME")))</f>
        <v/>
      </c>
      <c r="C796" s="17">
        <f>IF($A796="","",IFERROR(INDEX(Company_desc!$B$2:$B$1144,MATCH($A796,Company_desc!$A$2:$A$1144,0)),IFERROR(INDEX(SYZ_static!$Q$2:$Q$806,MATCH($A796,SYZ_static!$A$2:$A$806,0)),"")))</f>
        <v/>
      </c>
      <c r="D796" s="17">
        <f>IF($A796="","",IFERROR(INDEX(SYZ_static!$B$2:$B$806,MATCH($A796,SYZ_static!$A$2:$A$806,0)),""))</f>
        <v/>
      </c>
      <c r="E796" s="17">
        <f>IF($A796="","",_xll.BDP($A796&amp;" Corp","INDUSTRY_SECTOR"))</f>
        <v/>
      </c>
      <c r="F796" s="17">
        <f>IF($A796="","",PROPER(_xll.BDP($A796&amp;" Corp","COUNTRY_FULL_NAME")))</f>
        <v/>
      </c>
      <c r="G796" s="17">
        <f>IF($A796="","",_xll.BDP($A796&amp;" Corp","CRNCY"))</f>
        <v/>
      </c>
      <c r="H796" s="17">
        <f>IF($A796="","",IFERROR(INDEX(SYZ_static!$T$2:$T$806,MATCH($A796,SYZ_static!$A$2:$A$806,0)),_xll.BDP($A796&amp;" Corp","RTG_SP")))</f>
        <v/>
      </c>
      <c r="I796" s="17">
        <f>IF($A796="","",IFERROR(INDEX(SYZ_static!$S$2:$S$806,MATCH($A796,SYZ_static!$A$2:$A$806,0)),""))</f>
        <v/>
      </c>
      <c r="J796" s="17">
        <f>IF($A796="","",_xll.BDP($A796&amp;" Corp","PAYMENT_RANK"))</f>
        <v/>
      </c>
      <c r="K796" s="18">
        <f>IF($A796="","",_xll.BDP($A796&amp;" Corp","CPN"))</f>
        <v/>
      </c>
      <c r="L796" s="19">
        <f>IF($A796="","",_xll.BDP($A796&amp;" Corp","MATURITY"))</f>
        <v/>
      </c>
      <c r="M796" s="20">
        <f>IF($A796="","",IFERROR(_xll.BDP($A796&amp;" Corp","MIN_PIECE")/1000,""))</f>
        <v/>
      </c>
      <c r="N796" s="21">
        <f>IF($A796="","",_xll.BDP($A796&amp;" Corp","PX_LAST"))</f>
        <v/>
      </c>
      <c r="O796" s="21">
        <f>IF($A796="","",_xll.BDP($A796&amp;" Corp","YAS_BOND_YLD","YAS_YLD_FLAG=15"))</f>
        <v/>
      </c>
      <c r="P796" s="21">
        <f>IF($A796="","",_xll.BDP($A796&amp;" Corp","YAS_MOD_DUR"))</f>
        <v/>
      </c>
      <c r="Q796" s="22">
        <f>IF($A796="","",_xll.BDP($A796&amp;" Corp","YAS_OAS_SPRD"))</f>
        <v/>
      </c>
      <c r="R796" s="22">
        <f>IF($A796="","",_xll.BDP($A796&amp;" Corp","YAS_OAS_SPRD","SETTLE_DT",$B$2))</f>
        <v/>
      </c>
      <c r="S796" s="23">
        <f>IF($A796="","",IF(OR(NOT(ISNUMBER($Q796)),NOT(ISNUMBER($R796))),"",$Q796-$R796))</f>
        <v/>
      </c>
      <c r="T796" s="21">
        <f>IF($A796="","",_xll.BDP($A796&amp;" Corp","YAS_BOND_YLD","YAS_YLD_FLAG=15","SETTLE_DT",$B$2))</f>
        <v/>
      </c>
      <c r="U796" s="24">
        <f>IF($A796="","",IF(OR(NOT(ISNUMBER($O796)),NOT(ISNUMBER($T796))),"",$O796-$T796))</f>
        <v/>
      </c>
      <c r="V796" s="22">
        <f>IF(NOT(ISNUMBER($S796)),"",COUNTIFS($G$7:$G$850,$G796,$S$7:$S$850,"&gt;"&amp;$S796)+COUNTIFS($G$7:$G796,$G796,$S$7:$S796,$S796))</f>
        <v/>
      </c>
      <c r="W796" s="22">
        <f>IF(NOT(ISNUMBER($S796)),"",COUNTIFS($G$7:$G$850,$G796,$S$7:$S$850,"&lt;"&amp;$S796)+COUNTIFS($G$7:$G796,$G796,$S$7:$S796,$S796))</f>
        <v/>
      </c>
      <c r="X796" s="17">
        <f>IF($V796="","",$G796&amp;"|"&amp;$V796)</f>
        <v/>
      </c>
      <c r="Y796" s="17">
        <f>IF($W796="","",$G796&amp;"|"&amp;$W796)</f>
        <v/>
      </c>
    </row>
    <row r="797">
      <c r="A797" s="7" t="n"/>
      <c r="B797" s="8">
        <f>IF($A797="","",PROPER(_xll.BDP($A797&amp;" Corp","NAME")))</f>
        <v/>
      </c>
      <c r="C797" s="8">
        <f>IF($A797="","",IFERROR(INDEX(Company_desc!$B$2:$B$1144,MATCH($A797,Company_desc!$A$2:$A$1144,0)),IFERROR(INDEX(SYZ_static!$Q$2:$Q$806,MATCH($A797,SYZ_static!$A$2:$A$806,0)),"")))</f>
        <v/>
      </c>
      <c r="D797" s="8">
        <f>IF($A797="","",IFERROR(INDEX(SYZ_static!$B$2:$B$806,MATCH($A797,SYZ_static!$A$2:$A$806,0)),""))</f>
        <v/>
      </c>
      <c r="E797" s="8">
        <f>IF($A797="","",_xll.BDP($A797&amp;" Corp","INDUSTRY_SECTOR"))</f>
        <v/>
      </c>
      <c r="F797" s="8">
        <f>IF($A797="","",PROPER(_xll.BDP($A797&amp;" Corp","COUNTRY_FULL_NAME")))</f>
        <v/>
      </c>
      <c r="G797" s="8">
        <f>IF($A797="","",_xll.BDP($A797&amp;" Corp","CRNCY"))</f>
        <v/>
      </c>
      <c r="H797" s="8">
        <f>IF($A797="","",IFERROR(INDEX(SYZ_static!$T$2:$T$806,MATCH($A797,SYZ_static!$A$2:$A$806,0)),_xll.BDP($A797&amp;" Corp","RTG_SP")))</f>
        <v/>
      </c>
      <c r="I797" s="8">
        <f>IF($A797="","",IFERROR(INDEX(SYZ_static!$S$2:$S$806,MATCH($A797,SYZ_static!$A$2:$A$806,0)),""))</f>
        <v/>
      </c>
      <c r="J797" s="8">
        <f>IF($A797="","",_xll.BDP($A797&amp;" Corp","PAYMENT_RANK"))</f>
        <v/>
      </c>
      <c r="K797" s="9">
        <f>IF($A797="","",_xll.BDP($A797&amp;" Corp","CPN"))</f>
        <v/>
      </c>
      <c r="L797" s="10">
        <f>IF($A797="","",_xll.BDP($A797&amp;" Corp","MATURITY"))</f>
        <v/>
      </c>
      <c r="M797" s="11">
        <f>IF($A797="","",IFERROR(_xll.BDP($A797&amp;" Corp","MIN_PIECE")/1000,""))</f>
        <v/>
      </c>
      <c r="N797" s="12">
        <f>IF($A797="","",_xll.BDP($A797&amp;" Corp","PX_LAST"))</f>
        <v/>
      </c>
      <c r="O797" s="12">
        <f>IF($A797="","",_xll.BDP($A797&amp;" Corp","YAS_BOND_YLD","YAS_YLD_FLAG=15"))</f>
        <v/>
      </c>
      <c r="P797" s="12">
        <f>IF($A797="","",_xll.BDP($A797&amp;" Corp","YAS_MOD_DUR"))</f>
        <v/>
      </c>
      <c r="Q797" s="13">
        <f>IF($A797="","",_xll.BDP($A797&amp;" Corp","YAS_OAS_SPRD"))</f>
        <v/>
      </c>
      <c r="R797" s="13">
        <f>IF($A797="","",_xll.BDP($A797&amp;" Corp","YAS_OAS_SPRD","SETTLE_DT",$B$2))</f>
        <v/>
      </c>
      <c r="S797" s="14">
        <f>IF($A797="","",IF(OR(NOT(ISNUMBER($Q797)),NOT(ISNUMBER($R797))),"",$Q797-$R797))</f>
        <v/>
      </c>
      <c r="T797" s="12">
        <f>IF($A797="","",_xll.BDP($A797&amp;" Corp","YAS_BOND_YLD","YAS_YLD_FLAG=15","SETTLE_DT",$B$2))</f>
        <v/>
      </c>
      <c r="U797" s="15">
        <f>IF($A797="","",IF(OR(NOT(ISNUMBER($O797)),NOT(ISNUMBER($T797))),"",$O797-$T797))</f>
        <v/>
      </c>
      <c r="V797" s="13">
        <f>IF(NOT(ISNUMBER($S797)),"",COUNTIFS($G$7:$G$850,$G797,$S$7:$S$850,"&gt;"&amp;$S797)+COUNTIFS($G$7:$G797,$G797,$S$7:$S797,$S797))</f>
        <v/>
      </c>
      <c r="W797" s="13">
        <f>IF(NOT(ISNUMBER($S797)),"",COUNTIFS($G$7:$G$850,$G797,$S$7:$S$850,"&lt;"&amp;$S797)+COUNTIFS($G$7:$G797,$G797,$S$7:$S797,$S797))</f>
        <v/>
      </c>
      <c r="X797" s="8">
        <f>IF($V797="","",$G797&amp;"|"&amp;$V797)</f>
        <v/>
      </c>
      <c r="Y797" s="8">
        <f>IF($W797="","",$G797&amp;"|"&amp;$W797)</f>
        <v/>
      </c>
    </row>
    <row r="798">
      <c r="A798" s="16" t="n"/>
      <c r="B798" s="17">
        <f>IF($A798="","",PROPER(_xll.BDP($A798&amp;" Corp","NAME")))</f>
        <v/>
      </c>
      <c r="C798" s="17">
        <f>IF($A798="","",IFERROR(INDEX(Company_desc!$B$2:$B$1144,MATCH($A798,Company_desc!$A$2:$A$1144,0)),IFERROR(INDEX(SYZ_static!$Q$2:$Q$806,MATCH($A798,SYZ_static!$A$2:$A$806,0)),"")))</f>
        <v/>
      </c>
      <c r="D798" s="17">
        <f>IF($A798="","",IFERROR(INDEX(SYZ_static!$B$2:$B$806,MATCH($A798,SYZ_static!$A$2:$A$806,0)),""))</f>
        <v/>
      </c>
      <c r="E798" s="17">
        <f>IF($A798="","",_xll.BDP($A798&amp;" Corp","INDUSTRY_SECTOR"))</f>
        <v/>
      </c>
      <c r="F798" s="17">
        <f>IF($A798="","",PROPER(_xll.BDP($A798&amp;" Corp","COUNTRY_FULL_NAME")))</f>
        <v/>
      </c>
      <c r="G798" s="17">
        <f>IF($A798="","",_xll.BDP($A798&amp;" Corp","CRNCY"))</f>
        <v/>
      </c>
      <c r="H798" s="17">
        <f>IF($A798="","",IFERROR(INDEX(SYZ_static!$T$2:$T$806,MATCH($A798,SYZ_static!$A$2:$A$806,0)),_xll.BDP($A798&amp;" Corp","RTG_SP")))</f>
        <v/>
      </c>
      <c r="I798" s="17">
        <f>IF($A798="","",IFERROR(INDEX(SYZ_static!$S$2:$S$806,MATCH($A798,SYZ_static!$A$2:$A$806,0)),""))</f>
        <v/>
      </c>
      <c r="J798" s="17">
        <f>IF($A798="","",_xll.BDP($A798&amp;" Corp","PAYMENT_RANK"))</f>
        <v/>
      </c>
      <c r="K798" s="18">
        <f>IF($A798="","",_xll.BDP($A798&amp;" Corp","CPN"))</f>
        <v/>
      </c>
      <c r="L798" s="19">
        <f>IF($A798="","",_xll.BDP($A798&amp;" Corp","MATURITY"))</f>
        <v/>
      </c>
      <c r="M798" s="20">
        <f>IF($A798="","",IFERROR(_xll.BDP($A798&amp;" Corp","MIN_PIECE")/1000,""))</f>
        <v/>
      </c>
      <c r="N798" s="21">
        <f>IF($A798="","",_xll.BDP($A798&amp;" Corp","PX_LAST"))</f>
        <v/>
      </c>
      <c r="O798" s="21">
        <f>IF($A798="","",_xll.BDP($A798&amp;" Corp","YAS_BOND_YLD","YAS_YLD_FLAG=15"))</f>
        <v/>
      </c>
      <c r="P798" s="21">
        <f>IF($A798="","",_xll.BDP($A798&amp;" Corp","YAS_MOD_DUR"))</f>
        <v/>
      </c>
      <c r="Q798" s="22">
        <f>IF($A798="","",_xll.BDP($A798&amp;" Corp","YAS_OAS_SPRD"))</f>
        <v/>
      </c>
      <c r="R798" s="22">
        <f>IF($A798="","",_xll.BDP($A798&amp;" Corp","YAS_OAS_SPRD","SETTLE_DT",$B$2))</f>
        <v/>
      </c>
      <c r="S798" s="23">
        <f>IF($A798="","",IF(OR(NOT(ISNUMBER($Q798)),NOT(ISNUMBER($R798))),"",$Q798-$R798))</f>
        <v/>
      </c>
      <c r="T798" s="21">
        <f>IF($A798="","",_xll.BDP($A798&amp;" Corp","YAS_BOND_YLD","YAS_YLD_FLAG=15","SETTLE_DT",$B$2))</f>
        <v/>
      </c>
      <c r="U798" s="24">
        <f>IF($A798="","",IF(OR(NOT(ISNUMBER($O798)),NOT(ISNUMBER($T798))),"",$O798-$T798))</f>
        <v/>
      </c>
      <c r="V798" s="22">
        <f>IF(NOT(ISNUMBER($S798)),"",COUNTIFS($G$7:$G$850,$G798,$S$7:$S$850,"&gt;"&amp;$S798)+COUNTIFS($G$7:$G798,$G798,$S$7:$S798,$S798))</f>
        <v/>
      </c>
      <c r="W798" s="22">
        <f>IF(NOT(ISNUMBER($S798)),"",COUNTIFS($G$7:$G$850,$G798,$S$7:$S$850,"&lt;"&amp;$S798)+COUNTIFS($G$7:$G798,$G798,$S$7:$S798,$S798))</f>
        <v/>
      </c>
      <c r="X798" s="17">
        <f>IF($V798="","",$G798&amp;"|"&amp;$V798)</f>
        <v/>
      </c>
      <c r="Y798" s="17">
        <f>IF($W798="","",$G798&amp;"|"&amp;$W798)</f>
        <v/>
      </c>
    </row>
    <row r="799">
      <c r="A799" s="7" t="n"/>
      <c r="B799" s="8">
        <f>IF($A799="","",PROPER(_xll.BDP($A799&amp;" Corp","NAME")))</f>
        <v/>
      </c>
      <c r="C799" s="8">
        <f>IF($A799="","",IFERROR(INDEX(Company_desc!$B$2:$B$1144,MATCH($A799,Company_desc!$A$2:$A$1144,0)),IFERROR(INDEX(SYZ_static!$Q$2:$Q$806,MATCH($A799,SYZ_static!$A$2:$A$806,0)),"")))</f>
        <v/>
      </c>
      <c r="D799" s="8">
        <f>IF($A799="","",IFERROR(INDEX(SYZ_static!$B$2:$B$806,MATCH($A799,SYZ_static!$A$2:$A$806,0)),""))</f>
        <v/>
      </c>
      <c r="E799" s="8">
        <f>IF($A799="","",_xll.BDP($A799&amp;" Corp","INDUSTRY_SECTOR"))</f>
        <v/>
      </c>
      <c r="F799" s="8">
        <f>IF($A799="","",PROPER(_xll.BDP($A799&amp;" Corp","COUNTRY_FULL_NAME")))</f>
        <v/>
      </c>
      <c r="G799" s="8">
        <f>IF($A799="","",_xll.BDP($A799&amp;" Corp","CRNCY"))</f>
        <v/>
      </c>
      <c r="H799" s="8">
        <f>IF($A799="","",IFERROR(INDEX(SYZ_static!$T$2:$T$806,MATCH($A799,SYZ_static!$A$2:$A$806,0)),_xll.BDP($A799&amp;" Corp","RTG_SP")))</f>
        <v/>
      </c>
      <c r="I799" s="8">
        <f>IF($A799="","",IFERROR(INDEX(SYZ_static!$S$2:$S$806,MATCH($A799,SYZ_static!$A$2:$A$806,0)),""))</f>
        <v/>
      </c>
      <c r="J799" s="8">
        <f>IF($A799="","",_xll.BDP($A799&amp;" Corp","PAYMENT_RANK"))</f>
        <v/>
      </c>
      <c r="K799" s="9">
        <f>IF($A799="","",_xll.BDP($A799&amp;" Corp","CPN"))</f>
        <v/>
      </c>
      <c r="L799" s="10">
        <f>IF($A799="","",_xll.BDP($A799&amp;" Corp","MATURITY"))</f>
        <v/>
      </c>
      <c r="M799" s="11">
        <f>IF($A799="","",IFERROR(_xll.BDP($A799&amp;" Corp","MIN_PIECE")/1000,""))</f>
        <v/>
      </c>
      <c r="N799" s="12">
        <f>IF($A799="","",_xll.BDP($A799&amp;" Corp","PX_LAST"))</f>
        <v/>
      </c>
      <c r="O799" s="12">
        <f>IF($A799="","",_xll.BDP($A799&amp;" Corp","YAS_BOND_YLD","YAS_YLD_FLAG=15"))</f>
        <v/>
      </c>
      <c r="P799" s="12">
        <f>IF($A799="","",_xll.BDP($A799&amp;" Corp","YAS_MOD_DUR"))</f>
        <v/>
      </c>
      <c r="Q799" s="13">
        <f>IF($A799="","",_xll.BDP($A799&amp;" Corp","YAS_OAS_SPRD"))</f>
        <v/>
      </c>
      <c r="R799" s="13">
        <f>IF($A799="","",_xll.BDP($A799&amp;" Corp","YAS_OAS_SPRD","SETTLE_DT",$B$2))</f>
        <v/>
      </c>
      <c r="S799" s="14">
        <f>IF($A799="","",IF(OR(NOT(ISNUMBER($Q799)),NOT(ISNUMBER($R799))),"",$Q799-$R799))</f>
        <v/>
      </c>
      <c r="T799" s="12">
        <f>IF($A799="","",_xll.BDP($A799&amp;" Corp","YAS_BOND_YLD","YAS_YLD_FLAG=15","SETTLE_DT",$B$2))</f>
        <v/>
      </c>
      <c r="U799" s="15">
        <f>IF($A799="","",IF(OR(NOT(ISNUMBER($O799)),NOT(ISNUMBER($T799))),"",$O799-$T799))</f>
        <v/>
      </c>
      <c r="V799" s="13">
        <f>IF(NOT(ISNUMBER($S799)),"",COUNTIFS($G$7:$G$850,$G799,$S$7:$S$850,"&gt;"&amp;$S799)+COUNTIFS($G$7:$G799,$G799,$S$7:$S799,$S799))</f>
        <v/>
      </c>
      <c r="W799" s="13">
        <f>IF(NOT(ISNUMBER($S799)),"",COUNTIFS($G$7:$G$850,$G799,$S$7:$S$850,"&lt;"&amp;$S799)+COUNTIFS($G$7:$G799,$G799,$S$7:$S799,$S799))</f>
        <v/>
      </c>
      <c r="X799" s="8">
        <f>IF($V799="","",$G799&amp;"|"&amp;$V799)</f>
        <v/>
      </c>
      <c r="Y799" s="8">
        <f>IF($W799="","",$G799&amp;"|"&amp;$W799)</f>
        <v/>
      </c>
    </row>
    <row r="800">
      <c r="A800" s="16" t="n"/>
      <c r="B800" s="17">
        <f>IF($A800="","",PROPER(_xll.BDP($A800&amp;" Corp","NAME")))</f>
        <v/>
      </c>
      <c r="C800" s="17">
        <f>IF($A800="","",IFERROR(INDEX(Company_desc!$B$2:$B$1144,MATCH($A800,Company_desc!$A$2:$A$1144,0)),IFERROR(INDEX(SYZ_static!$Q$2:$Q$806,MATCH($A800,SYZ_static!$A$2:$A$806,0)),"")))</f>
        <v/>
      </c>
      <c r="D800" s="17">
        <f>IF($A800="","",IFERROR(INDEX(SYZ_static!$B$2:$B$806,MATCH($A800,SYZ_static!$A$2:$A$806,0)),""))</f>
        <v/>
      </c>
      <c r="E800" s="17">
        <f>IF($A800="","",_xll.BDP($A800&amp;" Corp","INDUSTRY_SECTOR"))</f>
        <v/>
      </c>
      <c r="F800" s="17">
        <f>IF($A800="","",PROPER(_xll.BDP($A800&amp;" Corp","COUNTRY_FULL_NAME")))</f>
        <v/>
      </c>
      <c r="G800" s="17">
        <f>IF($A800="","",_xll.BDP($A800&amp;" Corp","CRNCY"))</f>
        <v/>
      </c>
      <c r="H800" s="17">
        <f>IF($A800="","",IFERROR(INDEX(SYZ_static!$T$2:$T$806,MATCH($A800,SYZ_static!$A$2:$A$806,0)),_xll.BDP($A800&amp;" Corp","RTG_SP")))</f>
        <v/>
      </c>
      <c r="I800" s="17">
        <f>IF($A800="","",IFERROR(INDEX(SYZ_static!$S$2:$S$806,MATCH($A800,SYZ_static!$A$2:$A$806,0)),""))</f>
        <v/>
      </c>
      <c r="J800" s="17">
        <f>IF($A800="","",_xll.BDP($A800&amp;" Corp","PAYMENT_RANK"))</f>
        <v/>
      </c>
      <c r="K800" s="18">
        <f>IF($A800="","",_xll.BDP($A800&amp;" Corp","CPN"))</f>
        <v/>
      </c>
      <c r="L800" s="19">
        <f>IF($A800="","",_xll.BDP($A800&amp;" Corp","MATURITY"))</f>
        <v/>
      </c>
      <c r="M800" s="20">
        <f>IF($A800="","",IFERROR(_xll.BDP($A800&amp;" Corp","MIN_PIECE")/1000,""))</f>
        <v/>
      </c>
      <c r="N800" s="21">
        <f>IF($A800="","",_xll.BDP($A800&amp;" Corp","PX_LAST"))</f>
        <v/>
      </c>
      <c r="O800" s="21">
        <f>IF($A800="","",_xll.BDP($A800&amp;" Corp","YAS_BOND_YLD","YAS_YLD_FLAG=15"))</f>
        <v/>
      </c>
      <c r="P800" s="21">
        <f>IF($A800="","",_xll.BDP($A800&amp;" Corp","YAS_MOD_DUR"))</f>
        <v/>
      </c>
      <c r="Q800" s="22">
        <f>IF($A800="","",_xll.BDP($A800&amp;" Corp","YAS_OAS_SPRD"))</f>
        <v/>
      </c>
      <c r="R800" s="22">
        <f>IF($A800="","",_xll.BDP($A800&amp;" Corp","YAS_OAS_SPRD","SETTLE_DT",$B$2))</f>
        <v/>
      </c>
      <c r="S800" s="23">
        <f>IF($A800="","",IF(OR(NOT(ISNUMBER($Q800)),NOT(ISNUMBER($R800))),"",$Q800-$R800))</f>
        <v/>
      </c>
      <c r="T800" s="21">
        <f>IF($A800="","",_xll.BDP($A800&amp;" Corp","YAS_BOND_YLD","YAS_YLD_FLAG=15","SETTLE_DT",$B$2))</f>
        <v/>
      </c>
      <c r="U800" s="24">
        <f>IF($A800="","",IF(OR(NOT(ISNUMBER($O800)),NOT(ISNUMBER($T800))),"",$O800-$T800))</f>
        <v/>
      </c>
      <c r="V800" s="22">
        <f>IF(NOT(ISNUMBER($S800)),"",COUNTIFS($G$7:$G$850,$G800,$S$7:$S$850,"&gt;"&amp;$S800)+COUNTIFS($G$7:$G800,$G800,$S$7:$S800,$S800))</f>
        <v/>
      </c>
      <c r="W800" s="22">
        <f>IF(NOT(ISNUMBER($S800)),"",COUNTIFS($G$7:$G$850,$G800,$S$7:$S$850,"&lt;"&amp;$S800)+COUNTIFS($G$7:$G800,$G800,$S$7:$S800,$S800))</f>
        <v/>
      </c>
      <c r="X800" s="17">
        <f>IF($V800="","",$G800&amp;"|"&amp;$V800)</f>
        <v/>
      </c>
      <c r="Y800" s="17">
        <f>IF($W800="","",$G800&amp;"|"&amp;$W800)</f>
        <v/>
      </c>
    </row>
    <row r="801">
      <c r="A801" s="7" t="n"/>
      <c r="B801" s="8">
        <f>IF($A801="","",PROPER(_xll.BDP($A801&amp;" Corp","NAME")))</f>
        <v/>
      </c>
      <c r="C801" s="8">
        <f>IF($A801="","",IFERROR(INDEX(Company_desc!$B$2:$B$1144,MATCH($A801,Company_desc!$A$2:$A$1144,0)),IFERROR(INDEX(SYZ_static!$Q$2:$Q$806,MATCH($A801,SYZ_static!$A$2:$A$806,0)),"")))</f>
        <v/>
      </c>
      <c r="D801" s="8">
        <f>IF($A801="","",IFERROR(INDEX(SYZ_static!$B$2:$B$806,MATCH($A801,SYZ_static!$A$2:$A$806,0)),""))</f>
        <v/>
      </c>
      <c r="E801" s="8">
        <f>IF($A801="","",_xll.BDP($A801&amp;" Corp","INDUSTRY_SECTOR"))</f>
        <v/>
      </c>
      <c r="F801" s="8">
        <f>IF($A801="","",PROPER(_xll.BDP($A801&amp;" Corp","COUNTRY_FULL_NAME")))</f>
        <v/>
      </c>
      <c r="G801" s="8">
        <f>IF($A801="","",_xll.BDP($A801&amp;" Corp","CRNCY"))</f>
        <v/>
      </c>
      <c r="H801" s="8">
        <f>IF($A801="","",IFERROR(INDEX(SYZ_static!$T$2:$T$806,MATCH($A801,SYZ_static!$A$2:$A$806,0)),_xll.BDP($A801&amp;" Corp","RTG_SP")))</f>
        <v/>
      </c>
      <c r="I801" s="8">
        <f>IF($A801="","",IFERROR(INDEX(SYZ_static!$S$2:$S$806,MATCH($A801,SYZ_static!$A$2:$A$806,0)),""))</f>
        <v/>
      </c>
      <c r="J801" s="8">
        <f>IF($A801="","",_xll.BDP($A801&amp;" Corp","PAYMENT_RANK"))</f>
        <v/>
      </c>
      <c r="K801" s="9">
        <f>IF($A801="","",_xll.BDP($A801&amp;" Corp","CPN"))</f>
        <v/>
      </c>
      <c r="L801" s="10">
        <f>IF($A801="","",_xll.BDP($A801&amp;" Corp","MATURITY"))</f>
        <v/>
      </c>
      <c r="M801" s="11">
        <f>IF($A801="","",IFERROR(_xll.BDP($A801&amp;" Corp","MIN_PIECE")/1000,""))</f>
        <v/>
      </c>
      <c r="N801" s="12">
        <f>IF($A801="","",_xll.BDP($A801&amp;" Corp","PX_LAST"))</f>
        <v/>
      </c>
      <c r="O801" s="12">
        <f>IF($A801="","",_xll.BDP($A801&amp;" Corp","YAS_BOND_YLD","YAS_YLD_FLAG=15"))</f>
        <v/>
      </c>
      <c r="P801" s="12">
        <f>IF($A801="","",_xll.BDP($A801&amp;" Corp","YAS_MOD_DUR"))</f>
        <v/>
      </c>
      <c r="Q801" s="13">
        <f>IF($A801="","",_xll.BDP($A801&amp;" Corp","YAS_OAS_SPRD"))</f>
        <v/>
      </c>
      <c r="R801" s="13">
        <f>IF($A801="","",_xll.BDP($A801&amp;" Corp","YAS_OAS_SPRD","SETTLE_DT",$B$2))</f>
        <v/>
      </c>
      <c r="S801" s="14">
        <f>IF($A801="","",IF(OR(NOT(ISNUMBER($Q801)),NOT(ISNUMBER($R801))),"",$Q801-$R801))</f>
        <v/>
      </c>
      <c r="T801" s="12">
        <f>IF($A801="","",_xll.BDP($A801&amp;" Corp","YAS_BOND_YLD","YAS_YLD_FLAG=15","SETTLE_DT",$B$2))</f>
        <v/>
      </c>
      <c r="U801" s="15">
        <f>IF($A801="","",IF(OR(NOT(ISNUMBER($O801)),NOT(ISNUMBER($T801))),"",$O801-$T801))</f>
        <v/>
      </c>
      <c r="V801" s="13">
        <f>IF(NOT(ISNUMBER($S801)),"",COUNTIFS($G$7:$G$850,$G801,$S$7:$S$850,"&gt;"&amp;$S801)+COUNTIFS($G$7:$G801,$G801,$S$7:$S801,$S801))</f>
        <v/>
      </c>
      <c r="W801" s="13">
        <f>IF(NOT(ISNUMBER($S801)),"",COUNTIFS($G$7:$G$850,$G801,$S$7:$S$850,"&lt;"&amp;$S801)+COUNTIFS($G$7:$G801,$G801,$S$7:$S801,$S801))</f>
        <v/>
      </c>
      <c r="X801" s="8">
        <f>IF($V801="","",$G801&amp;"|"&amp;$V801)</f>
        <v/>
      </c>
      <c r="Y801" s="8">
        <f>IF($W801="","",$G801&amp;"|"&amp;$W801)</f>
        <v/>
      </c>
    </row>
    <row r="802">
      <c r="A802" s="16" t="n"/>
      <c r="B802" s="17">
        <f>IF($A802="","",PROPER(_xll.BDP($A802&amp;" Corp","NAME")))</f>
        <v/>
      </c>
      <c r="C802" s="17">
        <f>IF($A802="","",IFERROR(INDEX(Company_desc!$B$2:$B$1144,MATCH($A802,Company_desc!$A$2:$A$1144,0)),IFERROR(INDEX(SYZ_static!$Q$2:$Q$806,MATCH($A802,SYZ_static!$A$2:$A$806,0)),"")))</f>
        <v/>
      </c>
      <c r="D802" s="17">
        <f>IF($A802="","",IFERROR(INDEX(SYZ_static!$B$2:$B$806,MATCH($A802,SYZ_static!$A$2:$A$806,0)),""))</f>
        <v/>
      </c>
      <c r="E802" s="17">
        <f>IF($A802="","",_xll.BDP($A802&amp;" Corp","INDUSTRY_SECTOR"))</f>
        <v/>
      </c>
      <c r="F802" s="17">
        <f>IF($A802="","",PROPER(_xll.BDP($A802&amp;" Corp","COUNTRY_FULL_NAME")))</f>
        <v/>
      </c>
      <c r="G802" s="17">
        <f>IF($A802="","",_xll.BDP($A802&amp;" Corp","CRNCY"))</f>
        <v/>
      </c>
      <c r="H802" s="17">
        <f>IF($A802="","",IFERROR(INDEX(SYZ_static!$T$2:$T$806,MATCH($A802,SYZ_static!$A$2:$A$806,0)),_xll.BDP($A802&amp;" Corp","RTG_SP")))</f>
        <v/>
      </c>
      <c r="I802" s="17">
        <f>IF($A802="","",IFERROR(INDEX(SYZ_static!$S$2:$S$806,MATCH($A802,SYZ_static!$A$2:$A$806,0)),""))</f>
        <v/>
      </c>
      <c r="J802" s="17">
        <f>IF($A802="","",_xll.BDP($A802&amp;" Corp","PAYMENT_RANK"))</f>
        <v/>
      </c>
      <c r="K802" s="18">
        <f>IF($A802="","",_xll.BDP($A802&amp;" Corp","CPN"))</f>
        <v/>
      </c>
      <c r="L802" s="19">
        <f>IF($A802="","",_xll.BDP($A802&amp;" Corp","MATURITY"))</f>
        <v/>
      </c>
      <c r="M802" s="20">
        <f>IF($A802="","",IFERROR(_xll.BDP($A802&amp;" Corp","MIN_PIECE")/1000,""))</f>
        <v/>
      </c>
      <c r="N802" s="21">
        <f>IF($A802="","",_xll.BDP($A802&amp;" Corp","PX_LAST"))</f>
        <v/>
      </c>
      <c r="O802" s="21">
        <f>IF($A802="","",_xll.BDP($A802&amp;" Corp","YAS_BOND_YLD","YAS_YLD_FLAG=15"))</f>
        <v/>
      </c>
      <c r="P802" s="21">
        <f>IF($A802="","",_xll.BDP($A802&amp;" Corp","YAS_MOD_DUR"))</f>
        <v/>
      </c>
      <c r="Q802" s="22">
        <f>IF($A802="","",_xll.BDP($A802&amp;" Corp","YAS_OAS_SPRD"))</f>
        <v/>
      </c>
      <c r="R802" s="22">
        <f>IF($A802="","",_xll.BDP($A802&amp;" Corp","YAS_OAS_SPRD","SETTLE_DT",$B$2))</f>
        <v/>
      </c>
      <c r="S802" s="23">
        <f>IF($A802="","",IF(OR(NOT(ISNUMBER($Q802)),NOT(ISNUMBER($R802))),"",$Q802-$R802))</f>
        <v/>
      </c>
      <c r="T802" s="21">
        <f>IF($A802="","",_xll.BDP($A802&amp;" Corp","YAS_BOND_YLD","YAS_YLD_FLAG=15","SETTLE_DT",$B$2))</f>
        <v/>
      </c>
      <c r="U802" s="24">
        <f>IF($A802="","",IF(OR(NOT(ISNUMBER($O802)),NOT(ISNUMBER($T802))),"",$O802-$T802))</f>
        <v/>
      </c>
      <c r="V802" s="22">
        <f>IF(NOT(ISNUMBER($S802)),"",COUNTIFS($G$7:$G$850,$G802,$S$7:$S$850,"&gt;"&amp;$S802)+COUNTIFS($G$7:$G802,$G802,$S$7:$S802,$S802))</f>
        <v/>
      </c>
      <c r="W802" s="22">
        <f>IF(NOT(ISNUMBER($S802)),"",COUNTIFS($G$7:$G$850,$G802,$S$7:$S$850,"&lt;"&amp;$S802)+COUNTIFS($G$7:$G802,$G802,$S$7:$S802,$S802))</f>
        <v/>
      </c>
      <c r="X802" s="17">
        <f>IF($V802="","",$G802&amp;"|"&amp;$V802)</f>
        <v/>
      </c>
      <c r="Y802" s="17">
        <f>IF($W802="","",$G802&amp;"|"&amp;$W802)</f>
        <v/>
      </c>
    </row>
    <row r="803">
      <c r="A803" s="7" t="n"/>
      <c r="B803" s="8">
        <f>IF($A803="","",PROPER(_xll.BDP($A803&amp;" Corp","NAME")))</f>
        <v/>
      </c>
      <c r="C803" s="8">
        <f>IF($A803="","",IFERROR(INDEX(Company_desc!$B$2:$B$1144,MATCH($A803,Company_desc!$A$2:$A$1144,0)),IFERROR(INDEX(SYZ_static!$Q$2:$Q$806,MATCH($A803,SYZ_static!$A$2:$A$806,0)),"")))</f>
        <v/>
      </c>
      <c r="D803" s="8">
        <f>IF($A803="","",IFERROR(INDEX(SYZ_static!$B$2:$B$806,MATCH($A803,SYZ_static!$A$2:$A$806,0)),""))</f>
        <v/>
      </c>
      <c r="E803" s="8">
        <f>IF($A803="","",_xll.BDP($A803&amp;" Corp","INDUSTRY_SECTOR"))</f>
        <v/>
      </c>
      <c r="F803" s="8">
        <f>IF($A803="","",PROPER(_xll.BDP($A803&amp;" Corp","COUNTRY_FULL_NAME")))</f>
        <v/>
      </c>
      <c r="G803" s="8">
        <f>IF($A803="","",_xll.BDP($A803&amp;" Corp","CRNCY"))</f>
        <v/>
      </c>
      <c r="H803" s="8">
        <f>IF($A803="","",IFERROR(INDEX(SYZ_static!$T$2:$T$806,MATCH($A803,SYZ_static!$A$2:$A$806,0)),_xll.BDP($A803&amp;" Corp","RTG_SP")))</f>
        <v/>
      </c>
      <c r="I803" s="8">
        <f>IF($A803="","",IFERROR(INDEX(SYZ_static!$S$2:$S$806,MATCH($A803,SYZ_static!$A$2:$A$806,0)),""))</f>
        <v/>
      </c>
      <c r="J803" s="8">
        <f>IF($A803="","",_xll.BDP($A803&amp;" Corp","PAYMENT_RANK"))</f>
        <v/>
      </c>
      <c r="K803" s="9">
        <f>IF($A803="","",_xll.BDP($A803&amp;" Corp","CPN"))</f>
        <v/>
      </c>
      <c r="L803" s="10">
        <f>IF($A803="","",_xll.BDP($A803&amp;" Corp","MATURITY"))</f>
        <v/>
      </c>
      <c r="M803" s="11">
        <f>IF($A803="","",IFERROR(_xll.BDP($A803&amp;" Corp","MIN_PIECE")/1000,""))</f>
        <v/>
      </c>
      <c r="N803" s="12">
        <f>IF($A803="","",_xll.BDP($A803&amp;" Corp","PX_LAST"))</f>
        <v/>
      </c>
      <c r="O803" s="12">
        <f>IF($A803="","",_xll.BDP($A803&amp;" Corp","YAS_BOND_YLD","YAS_YLD_FLAG=15"))</f>
        <v/>
      </c>
      <c r="P803" s="12">
        <f>IF($A803="","",_xll.BDP($A803&amp;" Corp","YAS_MOD_DUR"))</f>
        <v/>
      </c>
      <c r="Q803" s="13">
        <f>IF($A803="","",_xll.BDP($A803&amp;" Corp","YAS_OAS_SPRD"))</f>
        <v/>
      </c>
      <c r="R803" s="13">
        <f>IF($A803="","",_xll.BDP($A803&amp;" Corp","YAS_OAS_SPRD","SETTLE_DT",$B$2))</f>
        <v/>
      </c>
      <c r="S803" s="14">
        <f>IF($A803="","",IF(OR(NOT(ISNUMBER($Q803)),NOT(ISNUMBER($R803))),"",$Q803-$R803))</f>
        <v/>
      </c>
      <c r="T803" s="12">
        <f>IF($A803="","",_xll.BDP($A803&amp;" Corp","YAS_BOND_YLD","YAS_YLD_FLAG=15","SETTLE_DT",$B$2))</f>
        <v/>
      </c>
      <c r="U803" s="15">
        <f>IF($A803="","",IF(OR(NOT(ISNUMBER($O803)),NOT(ISNUMBER($T803))),"",$O803-$T803))</f>
        <v/>
      </c>
      <c r="V803" s="13">
        <f>IF(NOT(ISNUMBER($S803)),"",COUNTIFS($G$7:$G$850,$G803,$S$7:$S$850,"&gt;"&amp;$S803)+COUNTIFS($G$7:$G803,$G803,$S$7:$S803,$S803))</f>
        <v/>
      </c>
      <c r="W803" s="13">
        <f>IF(NOT(ISNUMBER($S803)),"",COUNTIFS($G$7:$G$850,$G803,$S$7:$S$850,"&lt;"&amp;$S803)+COUNTIFS($G$7:$G803,$G803,$S$7:$S803,$S803))</f>
        <v/>
      </c>
      <c r="X803" s="8">
        <f>IF($V803="","",$G803&amp;"|"&amp;$V803)</f>
        <v/>
      </c>
      <c r="Y803" s="8">
        <f>IF($W803="","",$G803&amp;"|"&amp;$W803)</f>
        <v/>
      </c>
    </row>
    <row r="804">
      <c r="A804" s="16" t="n"/>
      <c r="B804" s="17">
        <f>IF($A804="","",PROPER(_xll.BDP($A804&amp;" Corp","NAME")))</f>
        <v/>
      </c>
      <c r="C804" s="17">
        <f>IF($A804="","",IFERROR(INDEX(Company_desc!$B$2:$B$1144,MATCH($A804,Company_desc!$A$2:$A$1144,0)),IFERROR(INDEX(SYZ_static!$Q$2:$Q$806,MATCH($A804,SYZ_static!$A$2:$A$806,0)),"")))</f>
        <v/>
      </c>
      <c r="D804" s="17">
        <f>IF($A804="","",IFERROR(INDEX(SYZ_static!$B$2:$B$806,MATCH($A804,SYZ_static!$A$2:$A$806,0)),""))</f>
        <v/>
      </c>
      <c r="E804" s="17">
        <f>IF($A804="","",_xll.BDP($A804&amp;" Corp","INDUSTRY_SECTOR"))</f>
        <v/>
      </c>
      <c r="F804" s="17">
        <f>IF($A804="","",PROPER(_xll.BDP($A804&amp;" Corp","COUNTRY_FULL_NAME")))</f>
        <v/>
      </c>
      <c r="G804" s="17">
        <f>IF($A804="","",_xll.BDP($A804&amp;" Corp","CRNCY"))</f>
        <v/>
      </c>
      <c r="H804" s="17">
        <f>IF($A804="","",IFERROR(INDEX(SYZ_static!$T$2:$T$806,MATCH($A804,SYZ_static!$A$2:$A$806,0)),_xll.BDP($A804&amp;" Corp","RTG_SP")))</f>
        <v/>
      </c>
      <c r="I804" s="17">
        <f>IF($A804="","",IFERROR(INDEX(SYZ_static!$S$2:$S$806,MATCH($A804,SYZ_static!$A$2:$A$806,0)),""))</f>
        <v/>
      </c>
      <c r="J804" s="17">
        <f>IF($A804="","",_xll.BDP($A804&amp;" Corp","PAYMENT_RANK"))</f>
        <v/>
      </c>
      <c r="K804" s="18">
        <f>IF($A804="","",_xll.BDP($A804&amp;" Corp","CPN"))</f>
        <v/>
      </c>
      <c r="L804" s="19">
        <f>IF($A804="","",_xll.BDP($A804&amp;" Corp","MATURITY"))</f>
        <v/>
      </c>
      <c r="M804" s="20">
        <f>IF($A804="","",IFERROR(_xll.BDP($A804&amp;" Corp","MIN_PIECE")/1000,""))</f>
        <v/>
      </c>
      <c r="N804" s="21">
        <f>IF($A804="","",_xll.BDP($A804&amp;" Corp","PX_LAST"))</f>
        <v/>
      </c>
      <c r="O804" s="21">
        <f>IF($A804="","",_xll.BDP($A804&amp;" Corp","YAS_BOND_YLD","YAS_YLD_FLAG=15"))</f>
        <v/>
      </c>
      <c r="P804" s="21">
        <f>IF($A804="","",_xll.BDP($A804&amp;" Corp","YAS_MOD_DUR"))</f>
        <v/>
      </c>
      <c r="Q804" s="22">
        <f>IF($A804="","",_xll.BDP($A804&amp;" Corp","YAS_OAS_SPRD"))</f>
        <v/>
      </c>
      <c r="R804" s="22">
        <f>IF($A804="","",_xll.BDP($A804&amp;" Corp","YAS_OAS_SPRD","SETTLE_DT",$B$2))</f>
        <v/>
      </c>
      <c r="S804" s="23">
        <f>IF($A804="","",IF(OR(NOT(ISNUMBER($Q804)),NOT(ISNUMBER($R804))),"",$Q804-$R804))</f>
        <v/>
      </c>
      <c r="T804" s="21">
        <f>IF($A804="","",_xll.BDP($A804&amp;" Corp","YAS_BOND_YLD","YAS_YLD_FLAG=15","SETTLE_DT",$B$2))</f>
        <v/>
      </c>
      <c r="U804" s="24">
        <f>IF($A804="","",IF(OR(NOT(ISNUMBER($O804)),NOT(ISNUMBER($T804))),"",$O804-$T804))</f>
        <v/>
      </c>
      <c r="V804" s="22">
        <f>IF(NOT(ISNUMBER($S804)),"",COUNTIFS($G$7:$G$850,$G804,$S$7:$S$850,"&gt;"&amp;$S804)+COUNTIFS($G$7:$G804,$G804,$S$7:$S804,$S804))</f>
        <v/>
      </c>
      <c r="W804" s="22">
        <f>IF(NOT(ISNUMBER($S804)),"",COUNTIFS($G$7:$G$850,$G804,$S$7:$S$850,"&lt;"&amp;$S804)+COUNTIFS($G$7:$G804,$G804,$S$7:$S804,$S804))</f>
        <v/>
      </c>
      <c r="X804" s="17">
        <f>IF($V804="","",$G804&amp;"|"&amp;$V804)</f>
        <v/>
      </c>
      <c r="Y804" s="17">
        <f>IF($W804="","",$G804&amp;"|"&amp;$W804)</f>
        <v/>
      </c>
    </row>
    <row r="805">
      <c r="A805" s="7" t="n"/>
      <c r="B805" s="8">
        <f>IF($A805="","",PROPER(_xll.BDP($A805&amp;" Corp","NAME")))</f>
        <v/>
      </c>
      <c r="C805" s="8">
        <f>IF($A805="","",IFERROR(INDEX(Company_desc!$B$2:$B$1144,MATCH($A805,Company_desc!$A$2:$A$1144,0)),IFERROR(INDEX(SYZ_static!$Q$2:$Q$806,MATCH($A805,SYZ_static!$A$2:$A$806,0)),"")))</f>
        <v/>
      </c>
      <c r="D805" s="8">
        <f>IF($A805="","",IFERROR(INDEX(SYZ_static!$B$2:$B$806,MATCH($A805,SYZ_static!$A$2:$A$806,0)),""))</f>
        <v/>
      </c>
      <c r="E805" s="8">
        <f>IF($A805="","",_xll.BDP($A805&amp;" Corp","INDUSTRY_SECTOR"))</f>
        <v/>
      </c>
      <c r="F805" s="8">
        <f>IF($A805="","",PROPER(_xll.BDP($A805&amp;" Corp","COUNTRY_FULL_NAME")))</f>
        <v/>
      </c>
      <c r="G805" s="8">
        <f>IF($A805="","",_xll.BDP($A805&amp;" Corp","CRNCY"))</f>
        <v/>
      </c>
      <c r="H805" s="8">
        <f>IF($A805="","",IFERROR(INDEX(SYZ_static!$T$2:$T$806,MATCH($A805,SYZ_static!$A$2:$A$806,0)),_xll.BDP($A805&amp;" Corp","RTG_SP")))</f>
        <v/>
      </c>
      <c r="I805" s="8">
        <f>IF($A805="","",IFERROR(INDEX(SYZ_static!$S$2:$S$806,MATCH($A805,SYZ_static!$A$2:$A$806,0)),""))</f>
        <v/>
      </c>
      <c r="J805" s="8">
        <f>IF($A805="","",_xll.BDP($A805&amp;" Corp","PAYMENT_RANK"))</f>
        <v/>
      </c>
      <c r="K805" s="9">
        <f>IF($A805="","",_xll.BDP($A805&amp;" Corp","CPN"))</f>
        <v/>
      </c>
      <c r="L805" s="10">
        <f>IF($A805="","",_xll.BDP($A805&amp;" Corp","MATURITY"))</f>
        <v/>
      </c>
      <c r="M805" s="11">
        <f>IF($A805="","",IFERROR(_xll.BDP($A805&amp;" Corp","MIN_PIECE")/1000,""))</f>
        <v/>
      </c>
      <c r="N805" s="12">
        <f>IF($A805="","",_xll.BDP($A805&amp;" Corp","PX_LAST"))</f>
        <v/>
      </c>
      <c r="O805" s="12">
        <f>IF($A805="","",_xll.BDP($A805&amp;" Corp","YAS_BOND_YLD","YAS_YLD_FLAG=15"))</f>
        <v/>
      </c>
      <c r="P805" s="12">
        <f>IF($A805="","",_xll.BDP($A805&amp;" Corp","YAS_MOD_DUR"))</f>
        <v/>
      </c>
      <c r="Q805" s="13">
        <f>IF($A805="","",_xll.BDP($A805&amp;" Corp","YAS_OAS_SPRD"))</f>
        <v/>
      </c>
      <c r="R805" s="13">
        <f>IF($A805="","",_xll.BDP($A805&amp;" Corp","YAS_OAS_SPRD","SETTLE_DT",$B$2))</f>
        <v/>
      </c>
      <c r="S805" s="14">
        <f>IF($A805="","",IF(OR(NOT(ISNUMBER($Q805)),NOT(ISNUMBER($R805))),"",$Q805-$R805))</f>
        <v/>
      </c>
      <c r="T805" s="12">
        <f>IF($A805="","",_xll.BDP($A805&amp;" Corp","YAS_BOND_YLD","YAS_YLD_FLAG=15","SETTLE_DT",$B$2))</f>
        <v/>
      </c>
      <c r="U805" s="15">
        <f>IF($A805="","",IF(OR(NOT(ISNUMBER($O805)),NOT(ISNUMBER($T805))),"",$O805-$T805))</f>
        <v/>
      </c>
      <c r="V805" s="13">
        <f>IF(NOT(ISNUMBER($S805)),"",COUNTIFS($G$7:$G$850,$G805,$S$7:$S$850,"&gt;"&amp;$S805)+COUNTIFS($G$7:$G805,$G805,$S$7:$S805,$S805))</f>
        <v/>
      </c>
      <c r="W805" s="13">
        <f>IF(NOT(ISNUMBER($S805)),"",COUNTIFS($G$7:$G$850,$G805,$S$7:$S$850,"&lt;"&amp;$S805)+COUNTIFS($G$7:$G805,$G805,$S$7:$S805,$S805))</f>
        <v/>
      </c>
      <c r="X805" s="8">
        <f>IF($V805="","",$G805&amp;"|"&amp;$V805)</f>
        <v/>
      </c>
      <c r="Y805" s="8">
        <f>IF($W805="","",$G805&amp;"|"&amp;$W805)</f>
        <v/>
      </c>
    </row>
    <row r="806">
      <c r="A806" s="16" t="n"/>
      <c r="B806" s="17">
        <f>IF($A806="","",PROPER(_xll.BDP($A806&amp;" Corp","NAME")))</f>
        <v/>
      </c>
      <c r="C806" s="17">
        <f>IF($A806="","",IFERROR(INDEX(Company_desc!$B$2:$B$1144,MATCH($A806,Company_desc!$A$2:$A$1144,0)),IFERROR(INDEX(SYZ_static!$Q$2:$Q$806,MATCH($A806,SYZ_static!$A$2:$A$806,0)),"")))</f>
        <v/>
      </c>
      <c r="D806" s="17">
        <f>IF($A806="","",IFERROR(INDEX(SYZ_static!$B$2:$B$806,MATCH($A806,SYZ_static!$A$2:$A$806,0)),""))</f>
        <v/>
      </c>
      <c r="E806" s="17">
        <f>IF($A806="","",_xll.BDP($A806&amp;" Corp","INDUSTRY_SECTOR"))</f>
        <v/>
      </c>
      <c r="F806" s="17">
        <f>IF($A806="","",PROPER(_xll.BDP($A806&amp;" Corp","COUNTRY_FULL_NAME")))</f>
        <v/>
      </c>
      <c r="G806" s="17">
        <f>IF($A806="","",_xll.BDP($A806&amp;" Corp","CRNCY"))</f>
        <v/>
      </c>
      <c r="H806" s="17">
        <f>IF($A806="","",IFERROR(INDEX(SYZ_static!$T$2:$T$806,MATCH($A806,SYZ_static!$A$2:$A$806,0)),_xll.BDP($A806&amp;" Corp","RTG_SP")))</f>
        <v/>
      </c>
      <c r="I806" s="17">
        <f>IF($A806="","",IFERROR(INDEX(SYZ_static!$S$2:$S$806,MATCH($A806,SYZ_static!$A$2:$A$806,0)),""))</f>
        <v/>
      </c>
      <c r="J806" s="17">
        <f>IF($A806="","",_xll.BDP($A806&amp;" Corp","PAYMENT_RANK"))</f>
        <v/>
      </c>
      <c r="K806" s="18">
        <f>IF($A806="","",_xll.BDP($A806&amp;" Corp","CPN"))</f>
        <v/>
      </c>
      <c r="L806" s="19">
        <f>IF($A806="","",_xll.BDP($A806&amp;" Corp","MATURITY"))</f>
        <v/>
      </c>
      <c r="M806" s="20">
        <f>IF($A806="","",IFERROR(_xll.BDP($A806&amp;" Corp","MIN_PIECE")/1000,""))</f>
        <v/>
      </c>
      <c r="N806" s="21">
        <f>IF($A806="","",_xll.BDP($A806&amp;" Corp","PX_LAST"))</f>
        <v/>
      </c>
      <c r="O806" s="21">
        <f>IF($A806="","",_xll.BDP($A806&amp;" Corp","YAS_BOND_YLD","YAS_YLD_FLAG=15"))</f>
        <v/>
      </c>
      <c r="P806" s="21">
        <f>IF($A806="","",_xll.BDP($A806&amp;" Corp","YAS_MOD_DUR"))</f>
        <v/>
      </c>
      <c r="Q806" s="22">
        <f>IF($A806="","",_xll.BDP($A806&amp;" Corp","YAS_OAS_SPRD"))</f>
        <v/>
      </c>
      <c r="R806" s="22">
        <f>IF($A806="","",_xll.BDP($A806&amp;" Corp","YAS_OAS_SPRD","SETTLE_DT",$B$2))</f>
        <v/>
      </c>
      <c r="S806" s="23">
        <f>IF($A806="","",IF(OR(NOT(ISNUMBER($Q806)),NOT(ISNUMBER($R806))),"",$Q806-$R806))</f>
        <v/>
      </c>
      <c r="T806" s="21">
        <f>IF($A806="","",_xll.BDP($A806&amp;" Corp","YAS_BOND_YLD","YAS_YLD_FLAG=15","SETTLE_DT",$B$2))</f>
        <v/>
      </c>
      <c r="U806" s="24">
        <f>IF($A806="","",IF(OR(NOT(ISNUMBER($O806)),NOT(ISNUMBER($T806))),"",$O806-$T806))</f>
        <v/>
      </c>
      <c r="V806" s="22">
        <f>IF(NOT(ISNUMBER($S806)),"",COUNTIFS($G$7:$G$850,$G806,$S$7:$S$850,"&gt;"&amp;$S806)+COUNTIFS($G$7:$G806,$G806,$S$7:$S806,$S806))</f>
        <v/>
      </c>
      <c r="W806" s="22">
        <f>IF(NOT(ISNUMBER($S806)),"",COUNTIFS($G$7:$G$850,$G806,$S$7:$S$850,"&lt;"&amp;$S806)+COUNTIFS($G$7:$G806,$G806,$S$7:$S806,$S806))</f>
        <v/>
      </c>
      <c r="X806" s="17">
        <f>IF($V806="","",$G806&amp;"|"&amp;$V806)</f>
        <v/>
      </c>
      <c r="Y806" s="17">
        <f>IF($W806="","",$G806&amp;"|"&amp;$W806)</f>
        <v/>
      </c>
    </row>
    <row r="807">
      <c r="A807" s="7" t="n"/>
      <c r="B807" s="8">
        <f>IF($A807="","",PROPER(_xll.BDP($A807&amp;" Corp","NAME")))</f>
        <v/>
      </c>
      <c r="C807" s="8">
        <f>IF($A807="","",IFERROR(INDEX(Company_desc!$B$2:$B$1144,MATCH($A807,Company_desc!$A$2:$A$1144,0)),IFERROR(INDEX(SYZ_static!$Q$2:$Q$806,MATCH($A807,SYZ_static!$A$2:$A$806,0)),"")))</f>
        <v/>
      </c>
      <c r="D807" s="8">
        <f>IF($A807="","",IFERROR(INDEX(SYZ_static!$B$2:$B$806,MATCH($A807,SYZ_static!$A$2:$A$806,0)),""))</f>
        <v/>
      </c>
      <c r="E807" s="8">
        <f>IF($A807="","",_xll.BDP($A807&amp;" Corp","INDUSTRY_SECTOR"))</f>
        <v/>
      </c>
      <c r="F807" s="8">
        <f>IF($A807="","",PROPER(_xll.BDP($A807&amp;" Corp","COUNTRY_FULL_NAME")))</f>
        <v/>
      </c>
      <c r="G807" s="8">
        <f>IF($A807="","",_xll.BDP($A807&amp;" Corp","CRNCY"))</f>
        <v/>
      </c>
      <c r="H807" s="8">
        <f>IF($A807="","",IFERROR(INDEX(SYZ_static!$T$2:$T$806,MATCH($A807,SYZ_static!$A$2:$A$806,0)),_xll.BDP($A807&amp;" Corp","RTG_SP")))</f>
        <v/>
      </c>
      <c r="I807" s="8">
        <f>IF($A807="","",IFERROR(INDEX(SYZ_static!$S$2:$S$806,MATCH($A807,SYZ_static!$A$2:$A$806,0)),""))</f>
        <v/>
      </c>
      <c r="J807" s="8">
        <f>IF($A807="","",_xll.BDP($A807&amp;" Corp","PAYMENT_RANK"))</f>
        <v/>
      </c>
      <c r="K807" s="9">
        <f>IF($A807="","",_xll.BDP($A807&amp;" Corp","CPN"))</f>
        <v/>
      </c>
      <c r="L807" s="10">
        <f>IF($A807="","",_xll.BDP($A807&amp;" Corp","MATURITY"))</f>
        <v/>
      </c>
      <c r="M807" s="11">
        <f>IF($A807="","",IFERROR(_xll.BDP($A807&amp;" Corp","MIN_PIECE")/1000,""))</f>
        <v/>
      </c>
      <c r="N807" s="12">
        <f>IF($A807="","",_xll.BDP($A807&amp;" Corp","PX_LAST"))</f>
        <v/>
      </c>
      <c r="O807" s="12">
        <f>IF($A807="","",_xll.BDP($A807&amp;" Corp","YAS_BOND_YLD","YAS_YLD_FLAG=15"))</f>
        <v/>
      </c>
      <c r="P807" s="12">
        <f>IF($A807="","",_xll.BDP($A807&amp;" Corp","YAS_MOD_DUR"))</f>
        <v/>
      </c>
      <c r="Q807" s="13">
        <f>IF($A807="","",_xll.BDP($A807&amp;" Corp","YAS_OAS_SPRD"))</f>
        <v/>
      </c>
      <c r="R807" s="13">
        <f>IF($A807="","",_xll.BDP($A807&amp;" Corp","YAS_OAS_SPRD","SETTLE_DT",$B$2))</f>
        <v/>
      </c>
      <c r="S807" s="14">
        <f>IF($A807="","",IF(OR(NOT(ISNUMBER($Q807)),NOT(ISNUMBER($R807))),"",$Q807-$R807))</f>
        <v/>
      </c>
      <c r="T807" s="12">
        <f>IF($A807="","",_xll.BDP($A807&amp;" Corp","YAS_BOND_YLD","YAS_YLD_FLAG=15","SETTLE_DT",$B$2))</f>
        <v/>
      </c>
      <c r="U807" s="15">
        <f>IF($A807="","",IF(OR(NOT(ISNUMBER($O807)),NOT(ISNUMBER($T807))),"",$O807-$T807))</f>
        <v/>
      </c>
      <c r="V807" s="13">
        <f>IF(NOT(ISNUMBER($S807)),"",COUNTIFS($G$7:$G$850,$G807,$S$7:$S$850,"&gt;"&amp;$S807)+COUNTIFS($G$7:$G807,$G807,$S$7:$S807,$S807))</f>
        <v/>
      </c>
      <c r="W807" s="13">
        <f>IF(NOT(ISNUMBER($S807)),"",COUNTIFS($G$7:$G$850,$G807,$S$7:$S$850,"&lt;"&amp;$S807)+COUNTIFS($G$7:$G807,$G807,$S$7:$S807,$S807))</f>
        <v/>
      </c>
      <c r="X807" s="8">
        <f>IF($V807="","",$G807&amp;"|"&amp;$V807)</f>
        <v/>
      </c>
      <c r="Y807" s="8">
        <f>IF($W807="","",$G807&amp;"|"&amp;$W807)</f>
        <v/>
      </c>
    </row>
    <row r="808">
      <c r="A808" s="16" t="n"/>
      <c r="B808" s="17">
        <f>IF($A808="","",PROPER(_xll.BDP($A808&amp;" Corp","NAME")))</f>
        <v/>
      </c>
      <c r="C808" s="17">
        <f>IF($A808="","",IFERROR(INDEX(Company_desc!$B$2:$B$1144,MATCH($A808,Company_desc!$A$2:$A$1144,0)),IFERROR(INDEX(SYZ_static!$Q$2:$Q$806,MATCH($A808,SYZ_static!$A$2:$A$806,0)),"")))</f>
        <v/>
      </c>
      <c r="D808" s="17">
        <f>IF($A808="","",IFERROR(INDEX(SYZ_static!$B$2:$B$806,MATCH($A808,SYZ_static!$A$2:$A$806,0)),""))</f>
        <v/>
      </c>
      <c r="E808" s="17">
        <f>IF($A808="","",_xll.BDP($A808&amp;" Corp","INDUSTRY_SECTOR"))</f>
        <v/>
      </c>
      <c r="F808" s="17">
        <f>IF($A808="","",PROPER(_xll.BDP($A808&amp;" Corp","COUNTRY_FULL_NAME")))</f>
        <v/>
      </c>
      <c r="G808" s="17">
        <f>IF($A808="","",_xll.BDP($A808&amp;" Corp","CRNCY"))</f>
        <v/>
      </c>
      <c r="H808" s="17">
        <f>IF($A808="","",IFERROR(INDEX(SYZ_static!$T$2:$T$806,MATCH($A808,SYZ_static!$A$2:$A$806,0)),_xll.BDP($A808&amp;" Corp","RTG_SP")))</f>
        <v/>
      </c>
      <c r="I808" s="17">
        <f>IF($A808="","",IFERROR(INDEX(SYZ_static!$S$2:$S$806,MATCH($A808,SYZ_static!$A$2:$A$806,0)),""))</f>
        <v/>
      </c>
      <c r="J808" s="17">
        <f>IF($A808="","",_xll.BDP($A808&amp;" Corp","PAYMENT_RANK"))</f>
        <v/>
      </c>
      <c r="K808" s="18">
        <f>IF($A808="","",_xll.BDP($A808&amp;" Corp","CPN"))</f>
        <v/>
      </c>
      <c r="L808" s="19">
        <f>IF($A808="","",_xll.BDP($A808&amp;" Corp","MATURITY"))</f>
        <v/>
      </c>
      <c r="M808" s="20">
        <f>IF($A808="","",IFERROR(_xll.BDP($A808&amp;" Corp","MIN_PIECE")/1000,""))</f>
        <v/>
      </c>
      <c r="N808" s="21">
        <f>IF($A808="","",_xll.BDP($A808&amp;" Corp","PX_LAST"))</f>
        <v/>
      </c>
      <c r="O808" s="21">
        <f>IF($A808="","",_xll.BDP($A808&amp;" Corp","YAS_BOND_YLD","YAS_YLD_FLAG=15"))</f>
        <v/>
      </c>
      <c r="P808" s="21">
        <f>IF($A808="","",_xll.BDP($A808&amp;" Corp","YAS_MOD_DUR"))</f>
        <v/>
      </c>
      <c r="Q808" s="22">
        <f>IF($A808="","",_xll.BDP($A808&amp;" Corp","YAS_OAS_SPRD"))</f>
        <v/>
      </c>
      <c r="R808" s="22">
        <f>IF($A808="","",_xll.BDP($A808&amp;" Corp","YAS_OAS_SPRD","SETTLE_DT",$B$2))</f>
        <v/>
      </c>
      <c r="S808" s="23">
        <f>IF($A808="","",IF(OR(NOT(ISNUMBER($Q808)),NOT(ISNUMBER($R808))),"",$Q808-$R808))</f>
        <v/>
      </c>
      <c r="T808" s="21">
        <f>IF($A808="","",_xll.BDP($A808&amp;" Corp","YAS_BOND_YLD","YAS_YLD_FLAG=15","SETTLE_DT",$B$2))</f>
        <v/>
      </c>
      <c r="U808" s="24">
        <f>IF($A808="","",IF(OR(NOT(ISNUMBER($O808)),NOT(ISNUMBER($T808))),"",$O808-$T808))</f>
        <v/>
      </c>
      <c r="V808" s="22">
        <f>IF(NOT(ISNUMBER($S808)),"",COUNTIFS($G$7:$G$850,$G808,$S$7:$S$850,"&gt;"&amp;$S808)+COUNTIFS($G$7:$G808,$G808,$S$7:$S808,$S808))</f>
        <v/>
      </c>
      <c r="W808" s="22">
        <f>IF(NOT(ISNUMBER($S808)),"",COUNTIFS($G$7:$G$850,$G808,$S$7:$S$850,"&lt;"&amp;$S808)+COUNTIFS($G$7:$G808,$G808,$S$7:$S808,$S808))</f>
        <v/>
      </c>
      <c r="X808" s="17">
        <f>IF($V808="","",$G808&amp;"|"&amp;$V808)</f>
        <v/>
      </c>
      <c r="Y808" s="17">
        <f>IF($W808="","",$G808&amp;"|"&amp;$W808)</f>
        <v/>
      </c>
    </row>
    <row r="809">
      <c r="A809" s="7" t="n"/>
      <c r="B809" s="8">
        <f>IF($A809="","",PROPER(_xll.BDP($A809&amp;" Corp","NAME")))</f>
        <v/>
      </c>
      <c r="C809" s="8">
        <f>IF($A809="","",IFERROR(INDEX(Company_desc!$B$2:$B$1144,MATCH($A809,Company_desc!$A$2:$A$1144,0)),IFERROR(INDEX(SYZ_static!$Q$2:$Q$806,MATCH($A809,SYZ_static!$A$2:$A$806,0)),"")))</f>
        <v/>
      </c>
      <c r="D809" s="8">
        <f>IF($A809="","",IFERROR(INDEX(SYZ_static!$B$2:$B$806,MATCH($A809,SYZ_static!$A$2:$A$806,0)),""))</f>
        <v/>
      </c>
      <c r="E809" s="8">
        <f>IF($A809="","",_xll.BDP($A809&amp;" Corp","INDUSTRY_SECTOR"))</f>
        <v/>
      </c>
      <c r="F809" s="8">
        <f>IF($A809="","",PROPER(_xll.BDP($A809&amp;" Corp","COUNTRY_FULL_NAME")))</f>
        <v/>
      </c>
      <c r="G809" s="8">
        <f>IF($A809="","",_xll.BDP($A809&amp;" Corp","CRNCY"))</f>
        <v/>
      </c>
      <c r="H809" s="8">
        <f>IF($A809="","",IFERROR(INDEX(SYZ_static!$T$2:$T$806,MATCH($A809,SYZ_static!$A$2:$A$806,0)),_xll.BDP($A809&amp;" Corp","RTG_SP")))</f>
        <v/>
      </c>
      <c r="I809" s="8">
        <f>IF($A809="","",IFERROR(INDEX(SYZ_static!$S$2:$S$806,MATCH($A809,SYZ_static!$A$2:$A$806,0)),""))</f>
        <v/>
      </c>
      <c r="J809" s="8">
        <f>IF($A809="","",_xll.BDP($A809&amp;" Corp","PAYMENT_RANK"))</f>
        <v/>
      </c>
      <c r="K809" s="9">
        <f>IF($A809="","",_xll.BDP($A809&amp;" Corp","CPN"))</f>
        <v/>
      </c>
      <c r="L809" s="10">
        <f>IF($A809="","",_xll.BDP($A809&amp;" Corp","MATURITY"))</f>
        <v/>
      </c>
      <c r="M809" s="11">
        <f>IF($A809="","",IFERROR(_xll.BDP($A809&amp;" Corp","MIN_PIECE")/1000,""))</f>
        <v/>
      </c>
      <c r="N809" s="12">
        <f>IF($A809="","",_xll.BDP($A809&amp;" Corp","PX_LAST"))</f>
        <v/>
      </c>
      <c r="O809" s="12">
        <f>IF($A809="","",_xll.BDP($A809&amp;" Corp","YAS_BOND_YLD","YAS_YLD_FLAG=15"))</f>
        <v/>
      </c>
      <c r="P809" s="12">
        <f>IF($A809="","",_xll.BDP($A809&amp;" Corp","YAS_MOD_DUR"))</f>
        <v/>
      </c>
      <c r="Q809" s="13">
        <f>IF($A809="","",_xll.BDP($A809&amp;" Corp","YAS_OAS_SPRD"))</f>
        <v/>
      </c>
      <c r="R809" s="13">
        <f>IF($A809="","",_xll.BDP($A809&amp;" Corp","YAS_OAS_SPRD","SETTLE_DT",$B$2))</f>
        <v/>
      </c>
      <c r="S809" s="14">
        <f>IF($A809="","",IF(OR(NOT(ISNUMBER($Q809)),NOT(ISNUMBER($R809))),"",$Q809-$R809))</f>
        <v/>
      </c>
      <c r="T809" s="12">
        <f>IF($A809="","",_xll.BDP($A809&amp;" Corp","YAS_BOND_YLD","YAS_YLD_FLAG=15","SETTLE_DT",$B$2))</f>
        <v/>
      </c>
      <c r="U809" s="15">
        <f>IF($A809="","",IF(OR(NOT(ISNUMBER($O809)),NOT(ISNUMBER($T809))),"",$O809-$T809))</f>
        <v/>
      </c>
      <c r="V809" s="13">
        <f>IF(NOT(ISNUMBER($S809)),"",COUNTIFS($G$7:$G$850,$G809,$S$7:$S$850,"&gt;"&amp;$S809)+COUNTIFS($G$7:$G809,$G809,$S$7:$S809,$S809))</f>
        <v/>
      </c>
      <c r="W809" s="13">
        <f>IF(NOT(ISNUMBER($S809)),"",COUNTIFS($G$7:$G$850,$G809,$S$7:$S$850,"&lt;"&amp;$S809)+COUNTIFS($G$7:$G809,$G809,$S$7:$S809,$S809))</f>
        <v/>
      </c>
      <c r="X809" s="8">
        <f>IF($V809="","",$G809&amp;"|"&amp;$V809)</f>
        <v/>
      </c>
      <c r="Y809" s="8">
        <f>IF($W809="","",$G809&amp;"|"&amp;$W809)</f>
        <v/>
      </c>
    </row>
    <row r="810">
      <c r="A810" s="16" t="n"/>
      <c r="B810" s="17">
        <f>IF($A810="","",PROPER(_xll.BDP($A810&amp;" Corp","NAME")))</f>
        <v/>
      </c>
      <c r="C810" s="17">
        <f>IF($A810="","",IFERROR(INDEX(Company_desc!$B$2:$B$1144,MATCH($A810,Company_desc!$A$2:$A$1144,0)),IFERROR(INDEX(SYZ_static!$Q$2:$Q$806,MATCH($A810,SYZ_static!$A$2:$A$806,0)),"")))</f>
        <v/>
      </c>
      <c r="D810" s="17">
        <f>IF($A810="","",IFERROR(INDEX(SYZ_static!$B$2:$B$806,MATCH($A810,SYZ_static!$A$2:$A$806,0)),""))</f>
        <v/>
      </c>
      <c r="E810" s="17">
        <f>IF($A810="","",_xll.BDP($A810&amp;" Corp","INDUSTRY_SECTOR"))</f>
        <v/>
      </c>
      <c r="F810" s="17">
        <f>IF($A810="","",PROPER(_xll.BDP($A810&amp;" Corp","COUNTRY_FULL_NAME")))</f>
        <v/>
      </c>
      <c r="G810" s="17">
        <f>IF($A810="","",_xll.BDP($A810&amp;" Corp","CRNCY"))</f>
        <v/>
      </c>
      <c r="H810" s="17">
        <f>IF($A810="","",IFERROR(INDEX(SYZ_static!$T$2:$T$806,MATCH($A810,SYZ_static!$A$2:$A$806,0)),_xll.BDP($A810&amp;" Corp","RTG_SP")))</f>
        <v/>
      </c>
      <c r="I810" s="17">
        <f>IF($A810="","",IFERROR(INDEX(SYZ_static!$S$2:$S$806,MATCH($A810,SYZ_static!$A$2:$A$806,0)),""))</f>
        <v/>
      </c>
      <c r="J810" s="17">
        <f>IF($A810="","",_xll.BDP($A810&amp;" Corp","PAYMENT_RANK"))</f>
        <v/>
      </c>
      <c r="K810" s="18">
        <f>IF($A810="","",_xll.BDP($A810&amp;" Corp","CPN"))</f>
        <v/>
      </c>
      <c r="L810" s="19">
        <f>IF($A810="","",_xll.BDP($A810&amp;" Corp","MATURITY"))</f>
        <v/>
      </c>
      <c r="M810" s="20">
        <f>IF($A810="","",IFERROR(_xll.BDP($A810&amp;" Corp","MIN_PIECE")/1000,""))</f>
        <v/>
      </c>
      <c r="N810" s="21">
        <f>IF($A810="","",_xll.BDP($A810&amp;" Corp","PX_LAST"))</f>
        <v/>
      </c>
      <c r="O810" s="21">
        <f>IF($A810="","",_xll.BDP($A810&amp;" Corp","YAS_BOND_YLD","YAS_YLD_FLAG=15"))</f>
        <v/>
      </c>
      <c r="P810" s="21">
        <f>IF($A810="","",_xll.BDP($A810&amp;" Corp","YAS_MOD_DUR"))</f>
        <v/>
      </c>
      <c r="Q810" s="22">
        <f>IF($A810="","",_xll.BDP($A810&amp;" Corp","YAS_OAS_SPRD"))</f>
        <v/>
      </c>
      <c r="R810" s="22">
        <f>IF($A810="","",_xll.BDP($A810&amp;" Corp","YAS_OAS_SPRD","SETTLE_DT",$B$2))</f>
        <v/>
      </c>
      <c r="S810" s="23">
        <f>IF($A810="","",IF(OR(NOT(ISNUMBER($Q810)),NOT(ISNUMBER($R810))),"",$Q810-$R810))</f>
        <v/>
      </c>
      <c r="T810" s="21">
        <f>IF($A810="","",_xll.BDP($A810&amp;" Corp","YAS_BOND_YLD","YAS_YLD_FLAG=15","SETTLE_DT",$B$2))</f>
        <v/>
      </c>
      <c r="U810" s="24">
        <f>IF($A810="","",IF(OR(NOT(ISNUMBER($O810)),NOT(ISNUMBER($T810))),"",$O810-$T810))</f>
        <v/>
      </c>
      <c r="V810" s="22">
        <f>IF(NOT(ISNUMBER($S810)),"",COUNTIFS($G$7:$G$850,$G810,$S$7:$S$850,"&gt;"&amp;$S810)+COUNTIFS($G$7:$G810,$G810,$S$7:$S810,$S810))</f>
        <v/>
      </c>
      <c r="W810" s="22">
        <f>IF(NOT(ISNUMBER($S810)),"",COUNTIFS($G$7:$G$850,$G810,$S$7:$S$850,"&lt;"&amp;$S810)+COUNTIFS($G$7:$G810,$G810,$S$7:$S810,$S810))</f>
        <v/>
      </c>
      <c r="X810" s="17">
        <f>IF($V810="","",$G810&amp;"|"&amp;$V810)</f>
        <v/>
      </c>
      <c r="Y810" s="17">
        <f>IF($W810="","",$G810&amp;"|"&amp;$W810)</f>
        <v/>
      </c>
    </row>
    <row r="811">
      <c r="A811" s="7" t="n"/>
      <c r="B811" s="8">
        <f>IF($A811="","",PROPER(_xll.BDP($A811&amp;" Corp","NAME")))</f>
        <v/>
      </c>
      <c r="C811" s="8">
        <f>IF($A811="","",IFERROR(INDEX(Company_desc!$B$2:$B$1144,MATCH($A811,Company_desc!$A$2:$A$1144,0)),IFERROR(INDEX(SYZ_static!$Q$2:$Q$806,MATCH($A811,SYZ_static!$A$2:$A$806,0)),"")))</f>
        <v/>
      </c>
      <c r="D811" s="8">
        <f>IF($A811="","",IFERROR(INDEX(SYZ_static!$B$2:$B$806,MATCH($A811,SYZ_static!$A$2:$A$806,0)),""))</f>
        <v/>
      </c>
      <c r="E811" s="8">
        <f>IF($A811="","",_xll.BDP($A811&amp;" Corp","INDUSTRY_SECTOR"))</f>
        <v/>
      </c>
      <c r="F811" s="8">
        <f>IF($A811="","",PROPER(_xll.BDP($A811&amp;" Corp","COUNTRY_FULL_NAME")))</f>
        <v/>
      </c>
      <c r="G811" s="8">
        <f>IF($A811="","",_xll.BDP($A811&amp;" Corp","CRNCY"))</f>
        <v/>
      </c>
      <c r="H811" s="8">
        <f>IF($A811="","",IFERROR(INDEX(SYZ_static!$T$2:$T$806,MATCH($A811,SYZ_static!$A$2:$A$806,0)),_xll.BDP($A811&amp;" Corp","RTG_SP")))</f>
        <v/>
      </c>
      <c r="I811" s="8">
        <f>IF($A811="","",IFERROR(INDEX(SYZ_static!$S$2:$S$806,MATCH($A811,SYZ_static!$A$2:$A$806,0)),""))</f>
        <v/>
      </c>
      <c r="J811" s="8">
        <f>IF($A811="","",_xll.BDP($A811&amp;" Corp","PAYMENT_RANK"))</f>
        <v/>
      </c>
      <c r="K811" s="9">
        <f>IF($A811="","",_xll.BDP($A811&amp;" Corp","CPN"))</f>
        <v/>
      </c>
      <c r="L811" s="10">
        <f>IF($A811="","",_xll.BDP($A811&amp;" Corp","MATURITY"))</f>
        <v/>
      </c>
      <c r="M811" s="11">
        <f>IF($A811="","",IFERROR(_xll.BDP($A811&amp;" Corp","MIN_PIECE")/1000,""))</f>
        <v/>
      </c>
      <c r="N811" s="12">
        <f>IF($A811="","",_xll.BDP($A811&amp;" Corp","PX_LAST"))</f>
        <v/>
      </c>
      <c r="O811" s="12">
        <f>IF($A811="","",_xll.BDP($A811&amp;" Corp","YAS_BOND_YLD","YAS_YLD_FLAG=15"))</f>
        <v/>
      </c>
      <c r="P811" s="12">
        <f>IF($A811="","",_xll.BDP($A811&amp;" Corp","YAS_MOD_DUR"))</f>
        <v/>
      </c>
      <c r="Q811" s="13">
        <f>IF($A811="","",_xll.BDP($A811&amp;" Corp","YAS_OAS_SPRD"))</f>
        <v/>
      </c>
      <c r="R811" s="13">
        <f>IF($A811="","",_xll.BDP($A811&amp;" Corp","YAS_OAS_SPRD","SETTLE_DT",$B$2))</f>
        <v/>
      </c>
      <c r="S811" s="14">
        <f>IF($A811="","",IF(OR(NOT(ISNUMBER($Q811)),NOT(ISNUMBER($R811))),"",$Q811-$R811))</f>
        <v/>
      </c>
      <c r="T811" s="12">
        <f>IF($A811="","",_xll.BDP($A811&amp;" Corp","YAS_BOND_YLD","YAS_YLD_FLAG=15","SETTLE_DT",$B$2))</f>
        <v/>
      </c>
      <c r="U811" s="15">
        <f>IF($A811="","",IF(OR(NOT(ISNUMBER($O811)),NOT(ISNUMBER($T811))),"",$O811-$T811))</f>
        <v/>
      </c>
      <c r="V811" s="13">
        <f>IF(NOT(ISNUMBER($S811)),"",COUNTIFS($G$7:$G$850,$G811,$S$7:$S$850,"&gt;"&amp;$S811)+COUNTIFS($G$7:$G811,$G811,$S$7:$S811,$S811))</f>
        <v/>
      </c>
      <c r="W811" s="13">
        <f>IF(NOT(ISNUMBER($S811)),"",COUNTIFS($G$7:$G$850,$G811,$S$7:$S$850,"&lt;"&amp;$S811)+COUNTIFS($G$7:$G811,$G811,$S$7:$S811,$S811))</f>
        <v/>
      </c>
      <c r="X811" s="8">
        <f>IF($V811="","",$G811&amp;"|"&amp;$V811)</f>
        <v/>
      </c>
      <c r="Y811" s="8">
        <f>IF($W811="","",$G811&amp;"|"&amp;$W811)</f>
        <v/>
      </c>
    </row>
    <row r="812">
      <c r="A812" s="16" t="n"/>
      <c r="B812" s="17">
        <f>IF($A812="","",PROPER(_xll.BDP($A812&amp;" Corp","NAME")))</f>
        <v/>
      </c>
      <c r="C812" s="17">
        <f>IF($A812="","",IFERROR(INDEX(Company_desc!$B$2:$B$1144,MATCH($A812,Company_desc!$A$2:$A$1144,0)),IFERROR(INDEX(SYZ_static!$Q$2:$Q$806,MATCH($A812,SYZ_static!$A$2:$A$806,0)),"")))</f>
        <v/>
      </c>
      <c r="D812" s="17">
        <f>IF($A812="","",IFERROR(INDEX(SYZ_static!$B$2:$B$806,MATCH($A812,SYZ_static!$A$2:$A$806,0)),""))</f>
        <v/>
      </c>
      <c r="E812" s="17">
        <f>IF($A812="","",_xll.BDP($A812&amp;" Corp","INDUSTRY_SECTOR"))</f>
        <v/>
      </c>
      <c r="F812" s="17">
        <f>IF($A812="","",PROPER(_xll.BDP($A812&amp;" Corp","COUNTRY_FULL_NAME")))</f>
        <v/>
      </c>
      <c r="G812" s="17">
        <f>IF($A812="","",_xll.BDP($A812&amp;" Corp","CRNCY"))</f>
        <v/>
      </c>
      <c r="H812" s="17">
        <f>IF($A812="","",IFERROR(INDEX(SYZ_static!$T$2:$T$806,MATCH($A812,SYZ_static!$A$2:$A$806,0)),_xll.BDP($A812&amp;" Corp","RTG_SP")))</f>
        <v/>
      </c>
      <c r="I812" s="17">
        <f>IF($A812="","",IFERROR(INDEX(SYZ_static!$S$2:$S$806,MATCH($A812,SYZ_static!$A$2:$A$806,0)),""))</f>
        <v/>
      </c>
      <c r="J812" s="17">
        <f>IF($A812="","",_xll.BDP($A812&amp;" Corp","PAYMENT_RANK"))</f>
        <v/>
      </c>
      <c r="K812" s="18">
        <f>IF($A812="","",_xll.BDP($A812&amp;" Corp","CPN"))</f>
        <v/>
      </c>
      <c r="L812" s="19">
        <f>IF($A812="","",_xll.BDP($A812&amp;" Corp","MATURITY"))</f>
        <v/>
      </c>
      <c r="M812" s="20">
        <f>IF($A812="","",IFERROR(_xll.BDP($A812&amp;" Corp","MIN_PIECE")/1000,""))</f>
        <v/>
      </c>
      <c r="N812" s="21">
        <f>IF($A812="","",_xll.BDP($A812&amp;" Corp","PX_LAST"))</f>
        <v/>
      </c>
      <c r="O812" s="21">
        <f>IF($A812="","",_xll.BDP($A812&amp;" Corp","YAS_BOND_YLD","YAS_YLD_FLAG=15"))</f>
        <v/>
      </c>
      <c r="P812" s="21">
        <f>IF($A812="","",_xll.BDP($A812&amp;" Corp","YAS_MOD_DUR"))</f>
        <v/>
      </c>
      <c r="Q812" s="22">
        <f>IF($A812="","",_xll.BDP($A812&amp;" Corp","YAS_OAS_SPRD"))</f>
        <v/>
      </c>
      <c r="R812" s="22">
        <f>IF($A812="","",_xll.BDP($A812&amp;" Corp","YAS_OAS_SPRD","SETTLE_DT",$B$2))</f>
        <v/>
      </c>
      <c r="S812" s="23">
        <f>IF($A812="","",IF(OR(NOT(ISNUMBER($Q812)),NOT(ISNUMBER($R812))),"",$Q812-$R812))</f>
        <v/>
      </c>
      <c r="T812" s="21">
        <f>IF($A812="","",_xll.BDP($A812&amp;" Corp","YAS_BOND_YLD","YAS_YLD_FLAG=15","SETTLE_DT",$B$2))</f>
        <v/>
      </c>
      <c r="U812" s="24">
        <f>IF($A812="","",IF(OR(NOT(ISNUMBER($O812)),NOT(ISNUMBER($T812))),"",$O812-$T812))</f>
        <v/>
      </c>
      <c r="V812" s="22">
        <f>IF(NOT(ISNUMBER($S812)),"",COUNTIFS($G$7:$G$850,$G812,$S$7:$S$850,"&gt;"&amp;$S812)+COUNTIFS($G$7:$G812,$G812,$S$7:$S812,$S812))</f>
        <v/>
      </c>
      <c r="W812" s="22">
        <f>IF(NOT(ISNUMBER($S812)),"",COUNTIFS($G$7:$G$850,$G812,$S$7:$S$850,"&lt;"&amp;$S812)+COUNTIFS($G$7:$G812,$G812,$S$7:$S812,$S812))</f>
        <v/>
      </c>
      <c r="X812" s="17">
        <f>IF($V812="","",$G812&amp;"|"&amp;$V812)</f>
        <v/>
      </c>
      <c r="Y812" s="17">
        <f>IF($W812="","",$G812&amp;"|"&amp;$W812)</f>
        <v/>
      </c>
    </row>
    <row r="813">
      <c r="A813" s="7" t="n"/>
      <c r="B813" s="8">
        <f>IF($A813="","",PROPER(_xll.BDP($A813&amp;" Corp","NAME")))</f>
        <v/>
      </c>
      <c r="C813" s="8">
        <f>IF($A813="","",IFERROR(INDEX(Company_desc!$B$2:$B$1144,MATCH($A813,Company_desc!$A$2:$A$1144,0)),IFERROR(INDEX(SYZ_static!$Q$2:$Q$806,MATCH($A813,SYZ_static!$A$2:$A$806,0)),"")))</f>
        <v/>
      </c>
      <c r="D813" s="8">
        <f>IF($A813="","",IFERROR(INDEX(SYZ_static!$B$2:$B$806,MATCH($A813,SYZ_static!$A$2:$A$806,0)),""))</f>
        <v/>
      </c>
      <c r="E813" s="8">
        <f>IF($A813="","",_xll.BDP($A813&amp;" Corp","INDUSTRY_SECTOR"))</f>
        <v/>
      </c>
      <c r="F813" s="8">
        <f>IF($A813="","",PROPER(_xll.BDP($A813&amp;" Corp","COUNTRY_FULL_NAME")))</f>
        <v/>
      </c>
      <c r="G813" s="8">
        <f>IF($A813="","",_xll.BDP($A813&amp;" Corp","CRNCY"))</f>
        <v/>
      </c>
      <c r="H813" s="8">
        <f>IF($A813="","",IFERROR(INDEX(SYZ_static!$T$2:$T$806,MATCH($A813,SYZ_static!$A$2:$A$806,0)),_xll.BDP($A813&amp;" Corp","RTG_SP")))</f>
        <v/>
      </c>
      <c r="I813" s="8">
        <f>IF($A813="","",IFERROR(INDEX(SYZ_static!$S$2:$S$806,MATCH($A813,SYZ_static!$A$2:$A$806,0)),""))</f>
        <v/>
      </c>
      <c r="J813" s="8">
        <f>IF($A813="","",_xll.BDP($A813&amp;" Corp","PAYMENT_RANK"))</f>
        <v/>
      </c>
      <c r="K813" s="9">
        <f>IF($A813="","",_xll.BDP($A813&amp;" Corp","CPN"))</f>
        <v/>
      </c>
      <c r="L813" s="10">
        <f>IF($A813="","",_xll.BDP($A813&amp;" Corp","MATURITY"))</f>
        <v/>
      </c>
      <c r="M813" s="11">
        <f>IF($A813="","",IFERROR(_xll.BDP($A813&amp;" Corp","MIN_PIECE")/1000,""))</f>
        <v/>
      </c>
      <c r="N813" s="12">
        <f>IF($A813="","",_xll.BDP($A813&amp;" Corp","PX_LAST"))</f>
        <v/>
      </c>
      <c r="O813" s="12">
        <f>IF($A813="","",_xll.BDP($A813&amp;" Corp","YAS_BOND_YLD","YAS_YLD_FLAG=15"))</f>
        <v/>
      </c>
      <c r="P813" s="12">
        <f>IF($A813="","",_xll.BDP($A813&amp;" Corp","YAS_MOD_DUR"))</f>
        <v/>
      </c>
      <c r="Q813" s="13">
        <f>IF($A813="","",_xll.BDP($A813&amp;" Corp","YAS_OAS_SPRD"))</f>
        <v/>
      </c>
      <c r="R813" s="13">
        <f>IF($A813="","",_xll.BDP($A813&amp;" Corp","YAS_OAS_SPRD","SETTLE_DT",$B$2))</f>
        <v/>
      </c>
      <c r="S813" s="14">
        <f>IF($A813="","",IF(OR(NOT(ISNUMBER($Q813)),NOT(ISNUMBER($R813))),"",$Q813-$R813))</f>
        <v/>
      </c>
      <c r="T813" s="12">
        <f>IF($A813="","",_xll.BDP($A813&amp;" Corp","YAS_BOND_YLD","YAS_YLD_FLAG=15","SETTLE_DT",$B$2))</f>
        <v/>
      </c>
      <c r="U813" s="15">
        <f>IF($A813="","",IF(OR(NOT(ISNUMBER($O813)),NOT(ISNUMBER($T813))),"",$O813-$T813))</f>
        <v/>
      </c>
      <c r="V813" s="13">
        <f>IF(NOT(ISNUMBER($S813)),"",COUNTIFS($G$7:$G$850,$G813,$S$7:$S$850,"&gt;"&amp;$S813)+COUNTIFS($G$7:$G813,$G813,$S$7:$S813,$S813))</f>
        <v/>
      </c>
      <c r="W813" s="13">
        <f>IF(NOT(ISNUMBER($S813)),"",COUNTIFS($G$7:$G$850,$G813,$S$7:$S$850,"&lt;"&amp;$S813)+COUNTIFS($G$7:$G813,$G813,$S$7:$S813,$S813))</f>
        <v/>
      </c>
      <c r="X813" s="8">
        <f>IF($V813="","",$G813&amp;"|"&amp;$V813)</f>
        <v/>
      </c>
      <c r="Y813" s="8">
        <f>IF($W813="","",$G813&amp;"|"&amp;$W813)</f>
        <v/>
      </c>
    </row>
    <row r="814">
      <c r="A814" s="16" t="n"/>
      <c r="B814" s="17">
        <f>IF($A814="","",PROPER(_xll.BDP($A814&amp;" Corp","NAME")))</f>
        <v/>
      </c>
      <c r="C814" s="17">
        <f>IF($A814="","",IFERROR(INDEX(Company_desc!$B$2:$B$1144,MATCH($A814,Company_desc!$A$2:$A$1144,0)),IFERROR(INDEX(SYZ_static!$Q$2:$Q$806,MATCH($A814,SYZ_static!$A$2:$A$806,0)),"")))</f>
        <v/>
      </c>
      <c r="D814" s="17">
        <f>IF($A814="","",IFERROR(INDEX(SYZ_static!$B$2:$B$806,MATCH($A814,SYZ_static!$A$2:$A$806,0)),""))</f>
        <v/>
      </c>
      <c r="E814" s="17">
        <f>IF($A814="","",_xll.BDP($A814&amp;" Corp","INDUSTRY_SECTOR"))</f>
        <v/>
      </c>
      <c r="F814" s="17">
        <f>IF($A814="","",PROPER(_xll.BDP($A814&amp;" Corp","COUNTRY_FULL_NAME")))</f>
        <v/>
      </c>
      <c r="G814" s="17">
        <f>IF($A814="","",_xll.BDP($A814&amp;" Corp","CRNCY"))</f>
        <v/>
      </c>
      <c r="H814" s="17">
        <f>IF($A814="","",IFERROR(INDEX(SYZ_static!$T$2:$T$806,MATCH($A814,SYZ_static!$A$2:$A$806,0)),_xll.BDP($A814&amp;" Corp","RTG_SP")))</f>
        <v/>
      </c>
      <c r="I814" s="17">
        <f>IF($A814="","",IFERROR(INDEX(SYZ_static!$S$2:$S$806,MATCH($A814,SYZ_static!$A$2:$A$806,0)),""))</f>
        <v/>
      </c>
      <c r="J814" s="17">
        <f>IF($A814="","",_xll.BDP($A814&amp;" Corp","PAYMENT_RANK"))</f>
        <v/>
      </c>
      <c r="K814" s="18">
        <f>IF($A814="","",_xll.BDP($A814&amp;" Corp","CPN"))</f>
        <v/>
      </c>
      <c r="L814" s="19">
        <f>IF($A814="","",_xll.BDP($A814&amp;" Corp","MATURITY"))</f>
        <v/>
      </c>
      <c r="M814" s="20">
        <f>IF($A814="","",IFERROR(_xll.BDP($A814&amp;" Corp","MIN_PIECE")/1000,""))</f>
        <v/>
      </c>
      <c r="N814" s="21">
        <f>IF($A814="","",_xll.BDP($A814&amp;" Corp","PX_LAST"))</f>
        <v/>
      </c>
      <c r="O814" s="21">
        <f>IF($A814="","",_xll.BDP($A814&amp;" Corp","YAS_BOND_YLD","YAS_YLD_FLAG=15"))</f>
        <v/>
      </c>
      <c r="P814" s="21">
        <f>IF($A814="","",_xll.BDP($A814&amp;" Corp","YAS_MOD_DUR"))</f>
        <v/>
      </c>
      <c r="Q814" s="22">
        <f>IF($A814="","",_xll.BDP($A814&amp;" Corp","YAS_OAS_SPRD"))</f>
        <v/>
      </c>
      <c r="R814" s="22">
        <f>IF($A814="","",_xll.BDP($A814&amp;" Corp","YAS_OAS_SPRD","SETTLE_DT",$B$2))</f>
        <v/>
      </c>
      <c r="S814" s="23">
        <f>IF($A814="","",IF(OR(NOT(ISNUMBER($Q814)),NOT(ISNUMBER($R814))),"",$Q814-$R814))</f>
        <v/>
      </c>
      <c r="T814" s="21">
        <f>IF($A814="","",_xll.BDP($A814&amp;" Corp","YAS_BOND_YLD","YAS_YLD_FLAG=15","SETTLE_DT",$B$2))</f>
        <v/>
      </c>
      <c r="U814" s="24">
        <f>IF($A814="","",IF(OR(NOT(ISNUMBER($O814)),NOT(ISNUMBER($T814))),"",$O814-$T814))</f>
        <v/>
      </c>
      <c r="V814" s="22">
        <f>IF(NOT(ISNUMBER($S814)),"",COUNTIFS($G$7:$G$850,$G814,$S$7:$S$850,"&gt;"&amp;$S814)+COUNTIFS($G$7:$G814,$G814,$S$7:$S814,$S814))</f>
        <v/>
      </c>
      <c r="W814" s="22">
        <f>IF(NOT(ISNUMBER($S814)),"",COUNTIFS($G$7:$G$850,$G814,$S$7:$S$850,"&lt;"&amp;$S814)+COUNTIFS($G$7:$G814,$G814,$S$7:$S814,$S814))</f>
        <v/>
      </c>
      <c r="X814" s="17">
        <f>IF($V814="","",$G814&amp;"|"&amp;$V814)</f>
        <v/>
      </c>
      <c r="Y814" s="17">
        <f>IF($W814="","",$G814&amp;"|"&amp;$W814)</f>
        <v/>
      </c>
    </row>
    <row r="815">
      <c r="A815" s="7" t="n"/>
      <c r="B815" s="8">
        <f>IF($A815="","",PROPER(_xll.BDP($A815&amp;" Corp","NAME")))</f>
        <v/>
      </c>
      <c r="C815" s="8">
        <f>IF($A815="","",IFERROR(INDEX(Company_desc!$B$2:$B$1144,MATCH($A815,Company_desc!$A$2:$A$1144,0)),IFERROR(INDEX(SYZ_static!$Q$2:$Q$806,MATCH($A815,SYZ_static!$A$2:$A$806,0)),"")))</f>
        <v/>
      </c>
      <c r="D815" s="8">
        <f>IF($A815="","",IFERROR(INDEX(SYZ_static!$B$2:$B$806,MATCH($A815,SYZ_static!$A$2:$A$806,0)),""))</f>
        <v/>
      </c>
      <c r="E815" s="8">
        <f>IF($A815="","",_xll.BDP($A815&amp;" Corp","INDUSTRY_SECTOR"))</f>
        <v/>
      </c>
      <c r="F815" s="8">
        <f>IF($A815="","",PROPER(_xll.BDP($A815&amp;" Corp","COUNTRY_FULL_NAME")))</f>
        <v/>
      </c>
      <c r="G815" s="8">
        <f>IF($A815="","",_xll.BDP($A815&amp;" Corp","CRNCY"))</f>
        <v/>
      </c>
      <c r="H815" s="8">
        <f>IF($A815="","",IFERROR(INDEX(SYZ_static!$T$2:$T$806,MATCH($A815,SYZ_static!$A$2:$A$806,0)),_xll.BDP($A815&amp;" Corp","RTG_SP")))</f>
        <v/>
      </c>
      <c r="I815" s="8">
        <f>IF($A815="","",IFERROR(INDEX(SYZ_static!$S$2:$S$806,MATCH($A815,SYZ_static!$A$2:$A$806,0)),""))</f>
        <v/>
      </c>
      <c r="J815" s="8">
        <f>IF($A815="","",_xll.BDP($A815&amp;" Corp","PAYMENT_RANK"))</f>
        <v/>
      </c>
      <c r="K815" s="9">
        <f>IF($A815="","",_xll.BDP($A815&amp;" Corp","CPN"))</f>
        <v/>
      </c>
      <c r="L815" s="10">
        <f>IF($A815="","",_xll.BDP($A815&amp;" Corp","MATURITY"))</f>
        <v/>
      </c>
      <c r="M815" s="11">
        <f>IF($A815="","",IFERROR(_xll.BDP($A815&amp;" Corp","MIN_PIECE")/1000,""))</f>
        <v/>
      </c>
      <c r="N815" s="12">
        <f>IF($A815="","",_xll.BDP($A815&amp;" Corp","PX_LAST"))</f>
        <v/>
      </c>
      <c r="O815" s="12">
        <f>IF($A815="","",_xll.BDP($A815&amp;" Corp","YAS_BOND_YLD","YAS_YLD_FLAG=15"))</f>
        <v/>
      </c>
      <c r="P815" s="12">
        <f>IF($A815="","",_xll.BDP($A815&amp;" Corp","YAS_MOD_DUR"))</f>
        <v/>
      </c>
      <c r="Q815" s="13">
        <f>IF($A815="","",_xll.BDP($A815&amp;" Corp","YAS_OAS_SPRD"))</f>
        <v/>
      </c>
      <c r="R815" s="13">
        <f>IF($A815="","",_xll.BDP($A815&amp;" Corp","YAS_OAS_SPRD","SETTLE_DT",$B$2))</f>
        <v/>
      </c>
      <c r="S815" s="14">
        <f>IF($A815="","",IF(OR(NOT(ISNUMBER($Q815)),NOT(ISNUMBER($R815))),"",$Q815-$R815))</f>
        <v/>
      </c>
      <c r="T815" s="12">
        <f>IF($A815="","",_xll.BDP($A815&amp;" Corp","YAS_BOND_YLD","YAS_YLD_FLAG=15","SETTLE_DT",$B$2))</f>
        <v/>
      </c>
      <c r="U815" s="15">
        <f>IF($A815="","",IF(OR(NOT(ISNUMBER($O815)),NOT(ISNUMBER($T815))),"",$O815-$T815))</f>
        <v/>
      </c>
      <c r="V815" s="13">
        <f>IF(NOT(ISNUMBER($S815)),"",COUNTIFS($G$7:$G$850,$G815,$S$7:$S$850,"&gt;"&amp;$S815)+COUNTIFS($G$7:$G815,$G815,$S$7:$S815,$S815))</f>
        <v/>
      </c>
      <c r="W815" s="13">
        <f>IF(NOT(ISNUMBER($S815)),"",COUNTIFS($G$7:$G$850,$G815,$S$7:$S$850,"&lt;"&amp;$S815)+COUNTIFS($G$7:$G815,$G815,$S$7:$S815,$S815))</f>
        <v/>
      </c>
      <c r="X815" s="8">
        <f>IF($V815="","",$G815&amp;"|"&amp;$V815)</f>
        <v/>
      </c>
      <c r="Y815" s="8">
        <f>IF($W815="","",$G815&amp;"|"&amp;$W815)</f>
        <v/>
      </c>
    </row>
    <row r="816">
      <c r="A816" s="16" t="n"/>
      <c r="B816" s="17">
        <f>IF($A816="","",PROPER(_xll.BDP($A816&amp;" Corp","NAME")))</f>
        <v/>
      </c>
      <c r="C816" s="17">
        <f>IF($A816="","",IFERROR(INDEX(Company_desc!$B$2:$B$1144,MATCH($A816,Company_desc!$A$2:$A$1144,0)),IFERROR(INDEX(SYZ_static!$Q$2:$Q$806,MATCH($A816,SYZ_static!$A$2:$A$806,0)),"")))</f>
        <v/>
      </c>
      <c r="D816" s="17">
        <f>IF($A816="","",IFERROR(INDEX(SYZ_static!$B$2:$B$806,MATCH($A816,SYZ_static!$A$2:$A$806,0)),""))</f>
        <v/>
      </c>
      <c r="E816" s="17">
        <f>IF($A816="","",_xll.BDP($A816&amp;" Corp","INDUSTRY_SECTOR"))</f>
        <v/>
      </c>
      <c r="F816" s="17">
        <f>IF($A816="","",PROPER(_xll.BDP($A816&amp;" Corp","COUNTRY_FULL_NAME")))</f>
        <v/>
      </c>
      <c r="G816" s="17">
        <f>IF($A816="","",_xll.BDP($A816&amp;" Corp","CRNCY"))</f>
        <v/>
      </c>
      <c r="H816" s="17">
        <f>IF($A816="","",IFERROR(INDEX(SYZ_static!$T$2:$T$806,MATCH($A816,SYZ_static!$A$2:$A$806,0)),_xll.BDP($A816&amp;" Corp","RTG_SP")))</f>
        <v/>
      </c>
      <c r="I816" s="17">
        <f>IF($A816="","",IFERROR(INDEX(SYZ_static!$S$2:$S$806,MATCH($A816,SYZ_static!$A$2:$A$806,0)),""))</f>
        <v/>
      </c>
      <c r="J816" s="17">
        <f>IF($A816="","",_xll.BDP($A816&amp;" Corp","PAYMENT_RANK"))</f>
        <v/>
      </c>
      <c r="K816" s="18">
        <f>IF($A816="","",_xll.BDP($A816&amp;" Corp","CPN"))</f>
        <v/>
      </c>
      <c r="L816" s="19">
        <f>IF($A816="","",_xll.BDP($A816&amp;" Corp","MATURITY"))</f>
        <v/>
      </c>
      <c r="M816" s="20">
        <f>IF($A816="","",IFERROR(_xll.BDP($A816&amp;" Corp","MIN_PIECE")/1000,""))</f>
        <v/>
      </c>
      <c r="N816" s="21">
        <f>IF($A816="","",_xll.BDP($A816&amp;" Corp","PX_LAST"))</f>
        <v/>
      </c>
      <c r="O816" s="21">
        <f>IF($A816="","",_xll.BDP($A816&amp;" Corp","YAS_BOND_YLD","YAS_YLD_FLAG=15"))</f>
        <v/>
      </c>
      <c r="P816" s="21">
        <f>IF($A816="","",_xll.BDP($A816&amp;" Corp","YAS_MOD_DUR"))</f>
        <v/>
      </c>
      <c r="Q816" s="22">
        <f>IF($A816="","",_xll.BDP($A816&amp;" Corp","YAS_OAS_SPRD"))</f>
        <v/>
      </c>
      <c r="R816" s="22">
        <f>IF($A816="","",_xll.BDP($A816&amp;" Corp","YAS_OAS_SPRD","SETTLE_DT",$B$2))</f>
        <v/>
      </c>
      <c r="S816" s="23">
        <f>IF($A816="","",IF(OR(NOT(ISNUMBER($Q816)),NOT(ISNUMBER($R816))),"",$Q816-$R816))</f>
        <v/>
      </c>
      <c r="T816" s="21">
        <f>IF($A816="","",_xll.BDP($A816&amp;" Corp","YAS_BOND_YLD","YAS_YLD_FLAG=15","SETTLE_DT",$B$2))</f>
        <v/>
      </c>
      <c r="U816" s="24">
        <f>IF($A816="","",IF(OR(NOT(ISNUMBER($O816)),NOT(ISNUMBER($T816))),"",$O816-$T816))</f>
        <v/>
      </c>
      <c r="V816" s="22">
        <f>IF(NOT(ISNUMBER($S816)),"",COUNTIFS($G$7:$G$850,$G816,$S$7:$S$850,"&gt;"&amp;$S816)+COUNTIFS($G$7:$G816,$G816,$S$7:$S816,$S816))</f>
        <v/>
      </c>
      <c r="W816" s="22">
        <f>IF(NOT(ISNUMBER($S816)),"",COUNTIFS($G$7:$G$850,$G816,$S$7:$S$850,"&lt;"&amp;$S816)+COUNTIFS($G$7:$G816,$G816,$S$7:$S816,$S816))</f>
        <v/>
      </c>
      <c r="X816" s="17">
        <f>IF($V816="","",$G816&amp;"|"&amp;$V816)</f>
        <v/>
      </c>
      <c r="Y816" s="17">
        <f>IF($W816="","",$G816&amp;"|"&amp;$W816)</f>
        <v/>
      </c>
    </row>
    <row r="817">
      <c r="A817" s="7" t="n"/>
      <c r="B817" s="8">
        <f>IF($A817="","",PROPER(_xll.BDP($A817&amp;" Corp","NAME")))</f>
        <v/>
      </c>
      <c r="C817" s="8">
        <f>IF($A817="","",IFERROR(INDEX(Company_desc!$B$2:$B$1144,MATCH($A817,Company_desc!$A$2:$A$1144,0)),IFERROR(INDEX(SYZ_static!$Q$2:$Q$806,MATCH($A817,SYZ_static!$A$2:$A$806,0)),"")))</f>
        <v/>
      </c>
      <c r="D817" s="8">
        <f>IF($A817="","",IFERROR(INDEX(SYZ_static!$B$2:$B$806,MATCH($A817,SYZ_static!$A$2:$A$806,0)),""))</f>
        <v/>
      </c>
      <c r="E817" s="8">
        <f>IF($A817="","",_xll.BDP($A817&amp;" Corp","INDUSTRY_SECTOR"))</f>
        <v/>
      </c>
      <c r="F817" s="8">
        <f>IF($A817="","",PROPER(_xll.BDP($A817&amp;" Corp","COUNTRY_FULL_NAME")))</f>
        <v/>
      </c>
      <c r="G817" s="8">
        <f>IF($A817="","",_xll.BDP($A817&amp;" Corp","CRNCY"))</f>
        <v/>
      </c>
      <c r="H817" s="8">
        <f>IF($A817="","",IFERROR(INDEX(SYZ_static!$T$2:$T$806,MATCH($A817,SYZ_static!$A$2:$A$806,0)),_xll.BDP($A817&amp;" Corp","RTG_SP")))</f>
        <v/>
      </c>
      <c r="I817" s="8">
        <f>IF($A817="","",IFERROR(INDEX(SYZ_static!$S$2:$S$806,MATCH($A817,SYZ_static!$A$2:$A$806,0)),""))</f>
        <v/>
      </c>
      <c r="J817" s="8">
        <f>IF($A817="","",_xll.BDP($A817&amp;" Corp","PAYMENT_RANK"))</f>
        <v/>
      </c>
      <c r="K817" s="9">
        <f>IF($A817="","",_xll.BDP($A817&amp;" Corp","CPN"))</f>
        <v/>
      </c>
      <c r="L817" s="10">
        <f>IF($A817="","",_xll.BDP($A817&amp;" Corp","MATURITY"))</f>
        <v/>
      </c>
      <c r="M817" s="11">
        <f>IF($A817="","",IFERROR(_xll.BDP($A817&amp;" Corp","MIN_PIECE")/1000,""))</f>
        <v/>
      </c>
      <c r="N817" s="12">
        <f>IF($A817="","",_xll.BDP($A817&amp;" Corp","PX_LAST"))</f>
        <v/>
      </c>
      <c r="O817" s="12">
        <f>IF($A817="","",_xll.BDP($A817&amp;" Corp","YAS_BOND_YLD","YAS_YLD_FLAG=15"))</f>
        <v/>
      </c>
      <c r="P817" s="12">
        <f>IF($A817="","",_xll.BDP($A817&amp;" Corp","YAS_MOD_DUR"))</f>
        <v/>
      </c>
      <c r="Q817" s="13">
        <f>IF($A817="","",_xll.BDP($A817&amp;" Corp","YAS_OAS_SPRD"))</f>
        <v/>
      </c>
      <c r="R817" s="13">
        <f>IF($A817="","",_xll.BDP($A817&amp;" Corp","YAS_OAS_SPRD","SETTLE_DT",$B$2))</f>
        <v/>
      </c>
      <c r="S817" s="14">
        <f>IF($A817="","",IF(OR(NOT(ISNUMBER($Q817)),NOT(ISNUMBER($R817))),"",$Q817-$R817))</f>
        <v/>
      </c>
      <c r="T817" s="12">
        <f>IF($A817="","",_xll.BDP($A817&amp;" Corp","YAS_BOND_YLD","YAS_YLD_FLAG=15","SETTLE_DT",$B$2))</f>
        <v/>
      </c>
      <c r="U817" s="15">
        <f>IF($A817="","",IF(OR(NOT(ISNUMBER($O817)),NOT(ISNUMBER($T817))),"",$O817-$T817))</f>
        <v/>
      </c>
      <c r="V817" s="13">
        <f>IF(NOT(ISNUMBER($S817)),"",COUNTIFS($G$7:$G$850,$G817,$S$7:$S$850,"&gt;"&amp;$S817)+COUNTIFS($G$7:$G817,$G817,$S$7:$S817,$S817))</f>
        <v/>
      </c>
      <c r="W817" s="13">
        <f>IF(NOT(ISNUMBER($S817)),"",COUNTIFS($G$7:$G$850,$G817,$S$7:$S$850,"&lt;"&amp;$S817)+COUNTIFS($G$7:$G817,$G817,$S$7:$S817,$S817))</f>
        <v/>
      </c>
      <c r="X817" s="8">
        <f>IF($V817="","",$G817&amp;"|"&amp;$V817)</f>
        <v/>
      </c>
      <c r="Y817" s="8">
        <f>IF($W817="","",$G817&amp;"|"&amp;$W817)</f>
        <v/>
      </c>
    </row>
    <row r="818">
      <c r="A818" s="16" t="n"/>
      <c r="B818" s="17">
        <f>IF($A818="","",PROPER(_xll.BDP($A818&amp;" Corp","NAME")))</f>
        <v/>
      </c>
      <c r="C818" s="17">
        <f>IF($A818="","",IFERROR(INDEX(Company_desc!$B$2:$B$1144,MATCH($A818,Company_desc!$A$2:$A$1144,0)),IFERROR(INDEX(SYZ_static!$Q$2:$Q$806,MATCH($A818,SYZ_static!$A$2:$A$806,0)),"")))</f>
        <v/>
      </c>
      <c r="D818" s="17">
        <f>IF($A818="","",IFERROR(INDEX(SYZ_static!$B$2:$B$806,MATCH($A818,SYZ_static!$A$2:$A$806,0)),""))</f>
        <v/>
      </c>
      <c r="E818" s="17">
        <f>IF($A818="","",_xll.BDP($A818&amp;" Corp","INDUSTRY_SECTOR"))</f>
        <v/>
      </c>
      <c r="F818" s="17">
        <f>IF($A818="","",PROPER(_xll.BDP($A818&amp;" Corp","COUNTRY_FULL_NAME")))</f>
        <v/>
      </c>
      <c r="G818" s="17">
        <f>IF($A818="","",_xll.BDP($A818&amp;" Corp","CRNCY"))</f>
        <v/>
      </c>
      <c r="H818" s="17">
        <f>IF($A818="","",IFERROR(INDEX(SYZ_static!$T$2:$T$806,MATCH($A818,SYZ_static!$A$2:$A$806,0)),_xll.BDP($A818&amp;" Corp","RTG_SP")))</f>
        <v/>
      </c>
      <c r="I818" s="17">
        <f>IF($A818="","",IFERROR(INDEX(SYZ_static!$S$2:$S$806,MATCH($A818,SYZ_static!$A$2:$A$806,0)),""))</f>
        <v/>
      </c>
      <c r="J818" s="17">
        <f>IF($A818="","",_xll.BDP($A818&amp;" Corp","PAYMENT_RANK"))</f>
        <v/>
      </c>
      <c r="K818" s="18">
        <f>IF($A818="","",_xll.BDP($A818&amp;" Corp","CPN"))</f>
        <v/>
      </c>
      <c r="L818" s="19">
        <f>IF($A818="","",_xll.BDP($A818&amp;" Corp","MATURITY"))</f>
        <v/>
      </c>
      <c r="M818" s="20">
        <f>IF($A818="","",IFERROR(_xll.BDP($A818&amp;" Corp","MIN_PIECE")/1000,""))</f>
        <v/>
      </c>
      <c r="N818" s="21">
        <f>IF($A818="","",_xll.BDP($A818&amp;" Corp","PX_LAST"))</f>
        <v/>
      </c>
      <c r="O818" s="21">
        <f>IF($A818="","",_xll.BDP($A818&amp;" Corp","YAS_BOND_YLD","YAS_YLD_FLAG=15"))</f>
        <v/>
      </c>
      <c r="P818" s="21">
        <f>IF($A818="","",_xll.BDP($A818&amp;" Corp","YAS_MOD_DUR"))</f>
        <v/>
      </c>
      <c r="Q818" s="22">
        <f>IF($A818="","",_xll.BDP($A818&amp;" Corp","YAS_OAS_SPRD"))</f>
        <v/>
      </c>
      <c r="R818" s="22">
        <f>IF($A818="","",_xll.BDP($A818&amp;" Corp","YAS_OAS_SPRD","SETTLE_DT",$B$2))</f>
        <v/>
      </c>
      <c r="S818" s="23">
        <f>IF($A818="","",IF(OR(NOT(ISNUMBER($Q818)),NOT(ISNUMBER($R818))),"",$Q818-$R818))</f>
        <v/>
      </c>
      <c r="T818" s="21">
        <f>IF($A818="","",_xll.BDP($A818&amp;" Corp","YAS_BOND_YLD","YAS_YLD_FLAG=15","SETTLE_DT",$B$2))</f>
        <v/>
      </c>
      <c r="U818" s="24">
        <f>IF($A818="","",IF(OR(NOT(ISNUMBER($O818)),NOT(ISNUMBER($T818))),"",$O818-$T818))</f>
        <v/>
      </c>
      <c r="V818" s="22">
        <f>IF(NOT(ISNUMBER($S818)),"",COUNTIFS($G$7:$G$850,$G818,$S$7:$S$850,"&gt;"&amp;$S818)+COUNTIFS($G$7:$G818,$G818,$S$7:$S818,$S818))</f>
        <v/>
      </c>
      <c r="W818" s="22">
        <f>IF(NOT(ISNUMBER($S818)),"",COUNTIFS($G$7:$G$850,$G818,$S$7:$S$850,"&lt;"&amp;$S818)+COUNTIFS($G$7:$G818,$G818,$S$7:$S818,$S818))</f>
        <v/>
      </c>
      <c r="X818" s="17">
        <f>IF($V818="","",$G818&amp;"|"&amp;$V818)</f>
        <v/>
      </c>
      <c r="Y818" s="17">
        <f>IF($W818="","",$G818&amp;"|"&amp;$W818)</f>
        <v/>
      </c>
    </row>
    <row r="819">
      <c r="A819" s="7" t="n"/>
      <c r="B819" s="8">
        <f>IF($A819="","",PROPER(_xll.BDP($A819&amp;" Corp","NAME")))</f>
        <v/>
      </c>
      <c r="C819" s="8">
        <f>IF($A819="","",IFERROR(INDEX(Company_desc!$B$2:$B$1144,MATCH($A819,Company_desc!$A$2:$A$1144,0)),IFERROR(INDEX(SYZ_static!$Q$2:$Q$806,MATCH($A819,SYZ_static!$A$2:$A$806,0)),"")))</f>
        <v/>
      </c>
      <c r="D819" s="8">
        <f>IF($A819="","",IFERROR(INDEX(SYZ_static!$B$2:$B$806,MATCH($A819,SYZ_static!$A$2:$A$806,0)),""))</f>
        <v/>
      </c>
      <c r="E819" s="8">
        <f>IF($A819="","",_xll.BDP($A819&amp;" Corp","INDUSTRY_SECTOR"))</f>
        <v/>
      </c>
      <c r="F819" s="8">
        <f>IF($A819="","",PROPER(_xll.BDP($A819&amp;" Corp","COUNTRY_FULL_NAME")))</f>
        <v/>
      </c>
      <c r="G819" s="8">
        <f>IF($A819="","",_xll.BDP($A819&amp;" Corp","CRNCY"))</f>
        <v/>
      </c>
      <c r="H819" s="8">
        <f>IF($A819="","",IFERROR(INDEX(SYZ_static!$T$2:$T$806,MATCH($A819,SYZ_static!$A$2:$A$806,0)),_xll.BDP($A819&amp;" Corp","RTG_SP")))</f>
        <v/>
      </c>
      <c r="I819" s="8">
        <f>IF($A819="","",IFERROR(INDEX(SYZ_static!$S$2:$S$806,MATCH($A819,SYZ_static!$A$2:$A$806,0)),""))</f>
        <v/>
      </c>
      <c r="J819" s="8">
        <f>IF($A819="","",_xll.BDP($A819&amp;" Corp","PAYMENT_RANK"))</f>
        <v/>
      </c>
      <c r="K819" s="9">
        <f>IF($A819="","",_xll.BDP($A819&amp;" Corp","CPN"))</f>
        <v/>
      </c>
      <c r="L819" s="10">
        <f>IF($A819="","",_xll.BDP($A819&amp;" Corp","MATURITY"))</f>
        <v/>
      </c>
      <c r="M819" s="11">
        <f>IF($A819="","",IFERROR(_xll.BDP($A819&amp;" Corp","MIN_PIECE")/1000,""))</f>
        <v/>
      </c>
      <c r="N819" s="12">
        <f>IF($A819="","",_xll.BDP($A819&amp;" Corp","PX_LAST"))</f>
        <v/>
      </c>
      <c r="O819" s="12">
        <f>IF($A819="","",_xll.BDP($A819&amp;" Corp","YAS_BOND_YLD","YAS_YLD_FLAG=15"))</f>
        <v/>
      </c>
      <c r="P819" s="12">
        <f>IF($A819="","",_xll.BDP($A819&amp;" Corp","YAS_MOD_DUR"))</f>
        <v/>
      </c>
      <c r="Q819" s="13">
        <f>IF($A819="","",_xll.BDP($A819&amp;" Corp","YAS_OAS_SPRD"))</f>
        <v/>
      </c>
      <c r="R819" s="13">
        <f>IF($A819="","",_xll.BDP($A819&amp;" Corp","YAS_OAS_SPRD","SETTLE_DT",$B$2))</f>
        <v/>
      </c>
      <c r="S819" s="14">
        <f>IF($A819="","",IF(OR(NOT(ISNUMBER($Q819)),NOT(ISNUMBER($R819))),"",$Q819-$R819))</f>
        <v/>
      </c>
      <c r="T819" s="12">
        <f>IF($A819="","",_xll.BDP($A819&amp;" Corp","YAS_BOND_YLD","YAS_YLD_FLAG=15","SETTLE_DT",$B$2))</f>
        <v/>
      </c>
      <c r="U819" s="15">
        <f>IF($A819="","",IF(OR(NOT(ISNUMBER($O819)),NOT(ISNUMBER($T819))),"",$O819-$T819))</f>
        <v/>
      </c>
      <c r="V819" s="13">
        <f>IF(NOT(ISNUMBER($S819)),"",COUNTIFS($G$7:$G$850,$G819,$S$7:$S$850,"&gt;"&amp;$S819)+COUNTIFS($G$7:$G819,$G819,$S$7:$S819,$S819))</f>
        <v/>
      </c>
      <c r="W819" s="13">
        <f>IF(NOT(ISNUMBER($S819)),"",COUNTIFS($G$7:$G$850,$G819,$S$7:$S$850,"&lt;"&amp;$S819)+COUNTIFS($G$7:$G819,$G819,$S$7:$S819,$S819))</f>
        <v/>
      </c>
      <c r="X819" s="8">
        <f>IF($V819="","",$G819&amp;"|"&amp;$V819)</f>
        <v/>
      </c>
      <c r="Y819" s="8">
        <f>IF($W819="","",$G819&amp;"|"&amp;$W819)</f>
        <v/>
      </c>
    </row>
    <row r="820">
      <c r="A820" s="16" t="n"/>
      <c r="B820" s="17">
        <f>IF($A820="","",PROPER(_xll.BDP($A820&amp;" Corp","NAME")))</f>
        <v/>
      </c>
      <c r="C820" s="17">
        <f>IF($A820="","",IFERROR(INDEX(Company_desc!$B$2:$B$1144,MATCH($A820,Company_desc!$A$2:$A$1144,0)),IFERROR(INDEX(SYZ_static!$Q$2:$Q$806,MATCH($A820,SYZ_static!$A$2:$A$806,0)),"")))</f>
        <v/>
      </c>
      <c r="D820" s="17">
        <f>IF($A820="","",IFERROR(INDEX(SYZ_static!$B$2:$B$806,MATCH($A820,SYZ_static!$A$2:$A$806,0)),""))</f>
        <v/>
      </c>
      <c r="E820" s="17">
        <f>IF($A820="","",_xll.BDP($A820&amp;" Corp","INDUSTRY_SECTOR"))</f>
        <v/>
      </c>
      <c r="F820" s="17">
        <f>IF($A820="","",PROPER(_xll.BDP($A820&amp;" Corp","COUNTRY_FULL_NAME")))</f>
        <v/>
      </c>
      <c r="G820" s="17">
        <f>IF($A820="","",_xll.BDP($A820&amp;" Corp","CRNCY"))</f>
        <v/>
      </c>
      <c r="H820" s="17">
        <f>IF($A820="","",IFERROR(INDEX(SYZ_static!$T$2:$T$806,MATCH($A820,SYZ_static!$A$2:$A$806,0)),_xll.BDP($A820&amp;" Corp","RTG_SP")))</f>
        <v/>
      </c>
      <c r="I820" s="17">
        <f>IF($A820="","",IFERROR(INDEX(SYZ_static!$S$2:$S$806,MATCH($A820,SYZ_static!$A$2:$A$806,0)),""))</f>
        <v/>
      </c>
      <c r="J820" s="17">
        <f>IF($A820="","",_xll.BDP($A820&amp;" Corp","PAYMENT_RANK"))</f>
        <v/>
      </c>
      <c r="K820" s="18">
        <f>IF($A820="","",_xll.BDP($A820&amp;" Corp","CPN"))</f>
        <v/>
      </c>
      <c r="L820" s="19">
        <f>IF($A820="","",_xll.BDP($A820&amp;" Corp","MATURITY"))</f>
        <v/>
      </c>
      <c r="M820" s="20">
        <f>IF($A820="","",IFERROR(_xll.BDP($A820&amp;" Corp","MIN_PIECE")/1000,""))</f>
        <v/>
      </c>
      <c r="N820" s="21">
        <f>IF($A820="","",_xll.BDP($A820&amp;" Corp","PX_LAST"))</f>
        <v/>
      </c>
      <c r="O820" s="21">
        <f>IF($A820="","",_xll.BDP($A820&amp;" Corp","YAS_BOND_YLD","YAS_YLD_FLAG=15"))</f>
        <v/>
      </c>
      <c r="P820" s="21">
        <f>IF($A820="","",_xll.BDP($A820&amp;" Corp","YAS_MOD_DUR"))</f>
        <v/>
      </c>
      <c r="Q820" s="22">
        <f>IF($A820="","",_xll.BDP($A820&amp;" Corp","YAS_OAS_SPRD"))</f>
        <v/>
      </c>
      <c r="R820" s="22">
        <f>IF($A820="","",_xll.BDP($A820&amp;" Corp","YAS_OAS_SPRD","SETTLE_DT",$B$2))</f>
        <v/>
      </c>
      <c r="S820" s="23">
        <f>IF($A820="","",IF(OR(NOT(ISNUMBER($Q820)),NOT(ISNUMBER($R820))),"",$Q820-$R820))</f>
        <v/>
      </c>
      <c r="T820" s="21">
        <f>IF($A820="","",_xll.BDP($A820&amp;" Corp","YAS_BOND_YLD","YAS_YLD_FLAG=15","SETTLE_DT",$B$2))</f>
        <v/>
      </c>
      <c r="U820" s="24">
        <f>IF($A820="","",IF(OR(NOT(ISNUMBER($O820)),NOT(ISNUMBER($T820))),"",$O820-$T820))</f>
        <v/>
      </c>
      <c r="V820" s="22">
        <f>IF(NOT(ISNUMBER($S820)),"",COUNTIFS($G$7:$G$850,$G820,$S$7:$S$850,"&gt;"&amp;$S820)+COUNTIFS($G$7:$G820,$G820,$S$7:$S820,$S820))</f>
        <v/>
      </c>
      <c r="W820" s="22">
        <f>IF(NOT(ISNUMBER($S820)),"",COUNTIFS($G$7:$G$850,$G820,$S$7:$S$850,"&lt;"&amp;$S820)+COUNTIFS($G$7:$G820,$G820,$S$7:$S820,$S820))</f>
        <v/>
      </c>
      <c r="X820" s="17">
        <f>IF($V820="","",$G820&amp;"|"&amp;$V820)</f>
        <v/>
      </c>
      <c r="Y820" s="17">
        <f>IF($W820="","",$G820&amp;"|"&amp;$W820)</f>
        <v/>
      </c>
    </row>
    <row r="821">
      <c r="A821" s="7" t="n"/>
      <c r="B821" s="8">
        <f>IF($A821="","",PROPER(_xll.BDP($A821&amp;" Corp","NAME")))</f>
        <v/>
      </c>
      <c r="C821" s="8">
        <f>IF($A821="","",IFERROR(INDEX(Company_desc!$B$2:$B$1144,MATCH($A821,Company_desc!$A$2:$A$1144,0)),IFERROR(INDEX(SYZ_static!$Q$2:$Q$806,MATCH($A821,SYZ_static!$A$2:$A$806,0)),"")))</f>
        <v/>
      </c>
      <c r="D821" s="8">
        <f>IF($A821="","",IFERROR(INDEX(SYZ_static!$B$2:$B$806,MATCH($A821,SYZ_static!$A$2:$A$806,0)),""))</f>
        <v/>
      </c>
      <c r="E821" s="8">
        <f>IF($A821="","",_xll.BDP($A821&amp;" Corp","INDUSTRY_SECTOR"))</f>
        <v/>
      </c>
      <c r="F821" s="8">
        <f>IF($A821="","",PROPER(_xll.BDP($A821&amp;" Corp","COUNTRY_FULL_NAME")))</f>
        <v/>
      </c>
      <c r="G821" s="8">
        <f>IF($A821="","",_xll.BDP($A821&amp;" Corp","CRNCY"))</f>
        <v/>
      </c>
      <c r="H821" s="8">
        <f>IF($A821="","",IFERROR(INDEX(SYZ_static!$T$2:$T$806,MATCH($A821,SYZ_static!$A$2:$A$806,0)),_xll.BDP($A821&amp;" Corp","RTG_SP")))</f>
        <v/>
      </c>
      <c r="I821" s="8">
        <f>IF($A821="","",IFERROR(INDEX(SYZ_static!$S$2:$S$806,MATCH($A821,SYZ_static!$A$2:$A$806,0)),""))</f>
        <v/>
      </c>
      <c r="J821" s="8">
        <f>IF($A821="","",_xll.BDP($A821&amp;" Corp","PAYMENT_RANK"))</f>
        <v/>
      </c>
      <c r="K821" s="9">
        <f>IF($A821="","",_xll.BDP($A821&amp;" Corp","CPN"))</f>
        <v/>
      </c>
      <c r="L821" s="10">
        <f>IF($A821="","",_xll.BDP($A821&amp;" Corp","MATURITY"))</f>
        <v/>
      </c>
      <c r="M821" s="11">
        <f>IF($A821="","",IFERROR(_xll.BDP($A821&amp;" Corp","MIN_PIECE")/1000,""))</f>
        <v/>
      </c>
      <c r="N821" s="12">
        <f>IF($A821="","",_xll.BDP($A821&amp;" Corp","PX_LAST"))</f>
        <v/>
      </c>
      <c r="O821" s="12">
        <f>IF($A821="","",_xll.BDP($A821&amp;" Corp","YAS_BOND_YLD","YAS_YLD_FLAG=15"))</f>
        <v/>
      </c>
      <c r="P821" s="12">
        <f>IF($A821="","",_xll.BDP($A821&amp;" Corp","YAS_MOD_DUR"))</f>
        <v/>
      </c>
      <c r="Q821" s="13">
        <f>IF($A821="","",_xll.BDP($A821&amp;" Corp","YAS_OAS_SPRD"))</f>
        <v/>
      </c>
      <c r="R821" s="13">
        <f>IF($A821="","",_xll.BDP($A821&amp;" Corp","YAS_OAS_SPRD","SETTLE_DT",$B$2))</f>
        <v/>
      </c>
      <c r="S821" s="14">
        <f>IF($A821="","",IF(OR(NOT(ISNUMBER($Q821)),NOT(ISNUMBER($R821))),"",$Q821-$R821))</f>
        <v/>
      </c>
      <c r="T821" s="12">
        <f>IF($A821="","",_xll.BDP($A821&amp;" Corp","YAS_BOND_YLD","YAS_YLD_FLAG=15","SETTLE_DT",$B$2))</f>
        <v/>
      </c>
      <c r="U821" s="15">
        <f>IF($A821="","",IF(OR(NOT(ISNUMBER($O821)),NOT(ISNUMBER($T821))),"",$O821-$T821))</f>
        <v/>
      </c>
      <c r="V821" s="13">
        <f>IF(NOT(ISNUMBER($S821)),"",COUNTIFS($G$7:$G$850,$G821,$S$7:$S$850,"&gt;"&amp;$S821)+COUNTIFS($G$7:$G821,$G821,$S$7:$S821,$S821))</f>
        <v/>
      </c>
      <c r="W821" s="13">
        <f>IF(NOT(ISNUMBER($S821)),"",COUNTIFS($G$7:$G$850,$G821,$S$7:$S$850,"&lt;"&amp;$S821)+COUNTIFS($G$7:$G821,$G821,$S$7:$S821,$S821))</f>
        <v/>
      </c>
      <c r="X821" s="8">
        <f>IF($V821="","",$G821&amp;"|"&amp;$V821)</f>
        <v/>
      </c>
      <c r="Y821" s="8">
        <f>IF($W821="","",$G821&amp;"|"&amp;$W821)</f>
        <v/>
      </c>
    </row>
    <row r="822">
      <c r="A822" s="16" t="n"/>
      <c r="B822" s="17">
        <f>IF($A822="","",PROPER(_xll.BDP($A822&amp;" Corp","NAME")))</f>
        <v/>
      </c>
      <c r="C822" s="17">
        <f>IF($A822="","",IFERROR(INDEX(Company_desc!$B$2:$B$1144,MATCH($A822,Company_desc!$A$2:$A$1144,0)),IFERROR(INDEX(SYZ_static!$Q$2:$Q$806,MATCH($A822,SYZ_static!$A$2:$A$806,0)),"")))</f>
        <v/>
      </c>
      <c r="D822" s="17">
        <f>IF($A822="","",IFERROR(INDEX(SYZ_static!$B$2:$B$806,MATCH($A822,SYZ_static!$A$2:$A$806,0)),""))</f>
        <v/>
      </c>
      <c r="E822" s="17">
        <f>IF($A822="","",_xll.BDP($A822&amp;" Corp","INDUSTRY_SECTOR"))</f>
        <v/>
      </c>
      <c r="F822" s="17">
        <f>IF($A822="","",PROPER(_xll.BDP($A822&amp;" Corp","COUNTRY_FULL_NAME")))</f>
        <v/>
      </c>
      <c r="G822" s="17">
        <f>IF($A822="","",_xll.BDP($A822&amp;" Corp","CRNCY"))</f>
        <v/>
      </c>
      <c r="H822" s="17">
        <f>IF($A822="","",IFERROR(INDEX(SYZ_static!$T$2:$T$806,MATCH($A822,SYZ_static!$A$2:$A$806,0)),_xll.BDP($A822&amp;" Corp","RTG_SP")))</f>
        <v/>
      </c>
      <c r="I822" s="17">
        <f>IF($A822="","",IFERROR(INDEX(SYZ_static!$S$2:$S$806,MATCH($A822,SYZ_static!$A$2:$A$806,0)),""))</f>
        <v/>
      </c>
      <c r="J822" s="17">
        <f>IF($A822="","",_xll.BDP($A822&amp;" Corp","PAYMENT_RANK"))</f>
        <v/>
      </c>
      <c r="K822" s="18">
        <f>IF($A822="","",_xll.BDP($A822&amp;" Corp","CPN"))</f>
        <v/>
      </c>
      <c r="L822" s="19">
        <f>IF($A822="","",_xll.BDP($A822&amp;" Corp","MATURITY"))</f>
        <v/>
      </c>
      <c r="M822" s="20">
        <f>IF($A822="","",IFERROR(_xll.BDP($A822&amp;" Corp","MIN_PIECE")/1000,""))</f>
        <v/>
      </c>
      <c r="N822" s="21">
        <f>IF($A822="","",_xll.BDP($A822&amp;" Corp","PX_LAST"))</f>
        <v/>
      </c>
      <c r="O822" s="21">
        <f>IF($A822="","",_xll.BDP($A822&amp;" Corp","YAS_BOND_YLD","YAS_YLD_FLAG=15"))</f>
        <v/>
      </c>
      <c r="P822" s="21">
        <f>IF($A822="","",_xll.BDP($A822&amp;" Corp","YAS_MOD_DUR"))</f>
        <v/>
      </c>
      <c r="Q822" s="22">
        <f>IF($A822="","",_xll.BDP($A822&amp;" Corp","YAS_OAS_SPRD"))</f>
        <v/>
      </c>
      <c r="R822" s="22">
        <f>IF($A822="","",_xll.BDP($A822&amp;" Corp","YAS_OAS_SPRD","SETTLE_DT",$B$2))</f>
        <v/>
      </c>
      <c r="S822" s="23">
        <f>IF($A822="","",IF(OR(NOT(ISNUMBER($Q822)),NOT(ISNUMBER($R822))),"",$Q822-$R822))</f>
        <v/>
      </c>
      <c r="T822" s="21">
        <f>IF($A822="","",_xll.BDP($A822&amp;" Corp","YAS_BOND_YLD","YAS_YLD_FLAG=15","SETTLE_DT",$B$2))</f>
        <v/>
      </c>
      <c r="U822" s="24">
        <f>IF($A822="","",IF(OR(NOT(ISNUMBER($O822)),NOT(ISNUMBER($T822))),"",$O822-$T822))</f>
        <v/>
      </c>
      <c r="V822" s="22">
        <f>IF(NOT(ISNUMBER($S822)),"",COUNTIFS($G$7:$G$850,$G822,$S$7:$S$850,"&gt;"&amp;$S822)+COUNTIFS($G$7:$G822,$G822,$S$7:$S822,$S822))</f>
        <v/>
      </c>
      <c r="W822" s="22">
        <f>IF(NOT(ISNUMBER($S822)),"",COUNTIFS($G$7:$G$850,$G822,$S$7:$S$850,"&lt;"&amp;$S822)+COUNTIFS($G$7:$G822,$G822,$S$7:$S822,$S822))</f>
        <v/>
      </c>
      <c r="X822" s="17">
        <f>IF($V822="","",$G822&amp;"|"&amp;$V822)</f>
        <v/>
      </c>
      <c r="Y822" s="17">
        <f>IF($W822="","",$G822&amp;"|"&amp;$W822)</f>
        <v/>
      </c>
    </row>
    <row r="823">
      <c r="A823" s="7" t="n"/>
      <c r="B823" s="8">
        <f>IF($A823="","",PROPER(_xll.BDP($A823&amp;" Corp","NAME")))</f>
        <v/>
      </c>
      <c r="C823" s="8">
        <f>IF($A823="","",IFERROR(INDEX(Company_desc!$B$2:$B$1144,MATCH($A823,Company_desc!$A$2:$A$1144,0)),IFERROR(INDEX(SYZ_static!$Q$2:$Q$806,MATCH($A823,SYZ_static!$A$2:$A$806,0)),"")))</f>
        <v/>
      </c>
      <c r="D823" s="8">
        <f>IF($A823="","",IFERROR(INDEX(SYZ_static!$B$2:$B$806,MATCH($A823,SYZ_static!$A$2:$A$806,0)),""))</f>
        <v/>
      </c>
      <c r="E823" s="8">
        <f>IF($A823="","",_xll.BDP($A823&amp;" Corp","INDUSTRY_SECTOR"))</f>
        <v/>
      </c>
      <c r="F823" s="8">
        <f>IF($A823="","",PROPER(_xll.BDP($A823&amp;" Corp","COUNTRY_FULL_NAME")))</f>
        <v/>
      </c>
      <c r="G823" s="8">
        <f>IF($A823="","",_xll.BDP($A823&amp;" Corp","CRNCY"))</f>
        <v/>
      </c>
      <c r="H823" s="8">
        <f>IF($A823="","",IFERROR(INDEX(SYZ_static!$T$2:$T$806,MATCH($A823,SYZ_static!$A$2:$A$806,0)),_xll.BDP($A823&amp;" Corp","RTG_SP")))</f>
        <v/>
      </c>
      <c r="I823" s="8">
        <f>IF($A823="","",IFERROR(INDEX(SYZ_static!$S$2:$S$806,MATCH($A823,SYZ_static!$A$2:$A$806,0)),""))</f>
        <v/>
      </c>
      <c r="J823" s="8">
        <f>IF($A823="","",_xll.BDP($A823&amp;" Corp","PAYMENT_RANK"))</f>
        <v/>
      </c>
      <c r="K823" s="9">
        <f>IF($A823="","",_xll.BDP($A823&amp;" Corp","CPN"))</f>
        <v/>
      </c>
      <c r="L823" s="10">
        <f>IF($A823="","",_xll.BDP($A823&amp;" Corp","MATURITY"))</f>
        <v/>
      </c>
      <c r="M823" s="11">
        <f>IF($A823="","",IFERROR(_xll.BDP($A823&amp;" Corp","MIN_PIECE")/1000,""))</f>
        <v/>
      </c>
      <c r="N823" s="12">
        <f>IF($A823="","",_xll.BDP($A823&amp;" Corp","PX_LAST"))</f>
        <v/>
      </c>
      <c r="O823" s="12">
        <f>IF($A823="","",_xll.BDP($A823&amp;" Corp","YAS_BOND_YLD","YAS_YLD_FLAG=15"))</f>
        <v/>
      </c>
      <c r="P823" s="12">
        <f>IF($A823="","",_xll.BDP($A823&amp;" Corp","YAS_MOD_DUR"))</f>
        <v/>
      </c>
      <c r="Q823" s="13">
        <f>IF($A823="","",_xll.BDP($A823&amp;" Corp","YAS_OAS_SPRD"))</f>
        <v/>
      </c>
      <c r="R823" s="13">
        <f>IF($A823="","",_xll.BDP($A823&amp;" Corp","YAS_OAS_SPRD","SETTLE_DT",$B$2))</f>
        <v/>
      </c>
      <c r="S823" s="14">
        <f>IF($A823="","",IF(OR(NOT(ISNUMBER($Q823)),NOT(ISNUMBER($R823))),"",$Q823-$R823))</f>
        <v/>
      </c>
      <c r="T823" s="12">
        <f>IF($A823="","",_xll.BDP($A823&amp;" Corp","YAS_BOND_YLD","YAS_YLD_FLAG=15","SETTLE_DT",$B$2))</f>
        <v/>
      </c>
      <c r="U823" s="15">
        <f>IF($A823="","",IF(OR(NOT(ISNUMBER($O823)),NOT(ISNUMBER($T823))),"",$O823-$T823))</f>
        <v/>
      </c>
      <c r="V823" s="13">
        <f>IF(NOT(ISNUMBER($S823)),"",COUNTIFS($G$7:$G$850,$G823,$S$7:$S$850,"&gt;"&amp;$S823)+COUNTIFS($G$7:$G823,$G823,$S$7:$S823,$S823))</f>
        <v/>
      </c>
      <c r="W823" s="13">
        <f>IF(NOT(ISNUMBER($S823)),"",COUNTIFS($G$7:$G$850,$G823,$S$7:$S$850,"&lt;"&amp;$S823)+COUNTIFS($G$7:$G823,$G823,$S$7:$S823,$S823))</f>
        <v/>
      </c>
      <c r="X823" s="8">
        <f>IF($V823="","",$G823&amp;"|"&amp;$V823)</f>
        <v/>
      </c>
      <c r="Y823" s="8">
        <f>IF($W823="","",$G823&amp;"|"&amp;$W823)</f>
        <v/>
      </c>
    </row>
    <row r="824">
      <c r="A824" s="16" t="n"/>
      <c r="B824" s="17">
        <f>IF($A824="","",PROPER(_xll.BDP($A824&amp;" Corp","NAME")))</f>
        <v/>
      </c>
      <c r="C824" s="17">
        <f>IF($A824="","",IFERROR(INDEX(Company_desc!$B$2:$B$1144,MATCH($A824,Company_desc!$A$2:$A$1144,0)),IFERROR(INDEX(SYZ_static!$Q$2:$Q$806,MATCH($A824,SYZ_static!$A$2:$A$806,0)),"")))</f>
        <v/>
      </c>
      <c r="D824" s="17">
        <f>IF($A824="","",IFERROR(INDEX(SYZ_static!$B$2:$B$806,MATCH($A824,SYZ_static!$A$2:$A$806,0)),""))</f>
        <v/>
      </c>
      <c r="E824" s="17">
        <f>IF($A824="","",_xll.BDP($A824&amp;" Corp","INDUSTRY_SECTOR"))</f>
        <v/>
      </c>
      <c r="F824" s="17">
        <f>IF($A824="","",PROPER(_xll.BDP($A824&amp;" Corp","COUNTRY_FULL_NAME")))</f>
        <v/>
      </c>
      <c r="G824" s="17">
        <f>IF($A824="","",_xll.BDP($A824&amp;" Corp","CRNCY"))</f>
        <v/>
      </c>
      <c r="H824" s="17">
        <f>IF($A824="","",IFERROR(INDEX(SYZ_static!$T$2:$T$806,MATCH($A824,SYZ_static!$A$2:$A$806,0)),_xll.BDP($A824&amp;" Corp","RTG_SP")))</f>
        <v/>
      </c>
      <c r="I824" s="17">
        <f>IF($A824="","",IFERROR(INDEX(SYZ_static!$S$2:$S$806,MATCH($A824,SYZ_static!$A$2:$A$806,0)),""))</f>
        <v/>
      </c>
      <c r="J824" s="17">
        <f>IF($A824="","",_xll.BDP($A824&amp;" Corp","PAYMENT_RANK"))</f>
        <v/>
      </c>
      <c r="K824" s="18">
        <f>IF($A824="","",_xll.BDP($A824&amp;" Corp","CPN"))</f>
        <v/>
      </c>
      <c r="L824" s="19">
        <f>IF($A824="","",_xll.BDP($A824&amp;" Corp","MATURITY"))</f>
        <v/>
      </c>
      <c r="M824" s="20">
        <f>IF($A824="","",IFERROR(_xll.BDP($A824&amp;" Corp","MIN_PIECE")/1000,""))</f>
        <v/>
      </c>
      <c r="N824" s="21">
        <f>IF($A824="","",_xll.BDP($A824&amp;" Corp","PX_LAST"))</f>
        <v/>
      </c>
      <c r="O824" s="21">
        <f>IF($A824="","",_xll.BDP($A824&amp;" Corp","YAS_BOND_YLD","YAS_YLD_FLAG=15"))</f>
        <v/>
      </c>
      <c r="P824" s="21">
        <f>IF($A824="","",_xll.BDP($A824&amp;" Corp","YAS_MOD_DUR"))</f>
        <v/>
      </c>
      <c r="Q824" s="22">
        <f>IF($A824="","",_xll.BDP($A824&amp;" Corp","YAS_OAS_SPRD"))</f>
        <v/>
      </c>
      <c r="R824" s="22">
        <f>IF($A824="","",_xll.BDP($A824&amp;" Corp","YAS_OAS_SPRD","SETTLE_DT",$B$2))</f>
        <v/>
      </c>
      <c r="S824" s="23">
        <f>IF($A824="","",IF(OR(NOT(ISNUMBER($Q824)),NOT(ISNUMBER($R824))),"",$Q824-$R824))</f>
        <v/>
      </c>
      <c r="T824" s="21">
        <f>IF($A824="","",_xll.BDP($A824&amp;" Corp","YAS_BOND_YLD","YAS_YLD_FLAG=15","SETTLE_DT",$B$2))</f>
        <v/>
      </c>
      <c r="U824" s="24">
        <f>IF($A824="","",IF(OR(NOT(ISNUMBER($O824)),NOT(ISNUMBER($T824))),"",$O824-$T824))</f>
        <v/>
      </c>
      <c r="V824" s="22">
        <f>IF(NOT(ISNUMBER($S824)),"",COUNTIFS($G$7:$G$850,$G824,$S$7:$S$850,"&gt;"&amp;$S824)+COUNTIFS($G$7:$G824,$G824,$S$7:$S824,$S824))</f>
        <v/>
      </c>
      <c r="W824" s="22">
        <f>IF(NOT(ISNUMBER($S824)),"",COUNTIFS($G$7:$G$850,$G824,$S$7:$S$850,"&lt;"&amp;$S824)+COUNTIFS($G$7:$G824,$G824,$S$7:$S824,$S824))</f>
        <v/>
      </c>
      <c r="X824" s="17">
        <f>IF($V824="","",$G824&amp;"|"&amp;$V824)</f>
        <v/>
      </c>
      <c r="Y824" s="17">
        <f>IF($W824="","",$G824&amp;"|"&amp;$W824)</f>
        <v/>
      </c>
    </row>
    <row r="825">
      <c r="A825" s="7" t="n"/>
      <c r="B825" s="8">
        <f>IF($A825="","",PROPER(_xll.BDP($A825&amp;" Corp","NAME")))</f>
        <v/>
      </c>
      <c r="C825" s="8">
        <f>IF($A825="","",IFERROR(INDEX(Company_desc!$B$2:$B$1144,MATCH($A825,Company_desc!$A$2:$A$1144,0)),IFERROR(INDEX(SYZ_static!$Q$2:$Q$806,MATCH($A825,SYZ_static!$A$2:$A$806,0)),"")))</f>
        <v/>
      </c>
      <c r="D825" s="8">
        <f>IF($A825="","",IFERROR(INDEX(SYZ_static!$B$2:$B$806,MATCH($A825,SYZ_static!$A$2:$A$806,0)),""))</f>
        <v/>
      </c>
      <c r="E825" s="8">
        <f>IF($A825="","",_xll.BDP($A825&amp;" Corp","INDUSTRY_SECTOR"))</f>
        <v/>
      </c>
      <c r="F825" s="8">
        <f>IF($A825="","",PROPER(_xll.BDP($A825&amp;" Corp","COUNTRY_FULL_NAME")))</f>
        <v/>
      </c>
      <c r="G825" s="8">
        <f>IF($A825="","",_xll.BDP($A825&amp;" Corp","CRNCY"))</f>
        <v/>
      </c>
      <c r="H825" s="8">
        <f>IF($A825="","",IFERROR(INDEX(SYZ_static!$T$2:$T$806,MATCH($A825,SYZ_static!$A$2:$A$806,0)),_xll.BDP($A825&amp;" Corp","RTG_SP")))</f>
        <v/>
      </c>
      <c r="I825" s="8">
        <f>IF($A825="","",IFERROR(INDEX(SYZ_static!$S$2:$S$806,MATCH($A825,SYZ_static!$A$2:$A$806,0)),""))</f>
        <v/>
      </c>
      <c r="J825" s="8">
        <f>IF($A825="","",_xll.BDP($A825&amp;" Corp","PAYMENT_RANK"))</f>
        <v/>
      </c>
      <c r="K825" s="9">
        <f>IF($A825="","",_xll.BDP($A825&amp;" Corp","CPN"))</f>
        <v/>
      </c>
      <c r="L825" s="10">
        <f>IF($A825="","",_xll.BDP($A825&amp;" Corp","MATURITY"))</f>
        <v/>
      </c>
      <c r="M825" s="11">
        <f>IF($A825="","",IFERROR(_xll.BDP($A825&amp;" Corp","MIN_PIECE")/1000,""))</f>
        <v/>
      </c>
      <c r="N825" s="12">
        <f>IF($A825="","",_xll.BDP($A825&amp;" Corp","PX_LAST"))</f>
        <v/>
      </c>
      <c r="O825" s="12">
        <f>IF($A825="","",_xll.BDP($A825&amp;" Corp","YAS_BOND_YLD","YAS_YLD_FLAG=15"))</f>
        <v/>
      </c>
      <c r="P825" s="12">
        <f>IF($A825="","",_xll.BDP($A825&amp;" Corp","YAS_MOD_DUR"))</f>
        <v/>
      </c>
      <c r="Q825" s="13">
        <f>IF($A825="","",_xll.BDP($A825&amp;" Corp","YAS_OAS_SPRD"))</f>
        <v/>
      </c>
      <c r="R825" s="13">
        <f>IF($A825="","",_xll.BDP($A825&amp;" Corp","YAS_OAS_SPRD","SETTLE_DT",$B$2))</f>
        <v/>
      </c>
      <c r="S825" s="14">
        <f>IF($A825="","",IF(OR(NOT(ISNUMBER($Q825)),NOT(ISNUMBER($R825))),"",$Q825-$R825))</f>
        <v/>
      </c>
      <c r="T825" s="12">
        <f>IF($A825="","",_xll.BDP($A825&amp;" Corp","YAS_BOND_YLD","YAS_YLD_FLAG=15","SETTLE_DT",$B$2))</f>
        <v/>
      </c>
      <c r="U825" s="15">
        <f>IF($A825="","",IF(OR(NOT(ISNUMBER($O825)),NOT(ISNUMBER($T825))),"",$O825-$T825))</f>
        <v/>
      </c>
      <c r="V825" s="13">
        <f>IF(NOT(ISNUMBER($S825)),"",COUNTIFS($G$7:$G$850,$G825,$S$7:$S$850,"&gt;"&amp;$S825)+COUNTIFS($G$7:$G825,$G825,$S$7:$S825,$S825))</f>
        <v/>
      </c>
      <c r="W825" s="13">
        <f>IF(NOT(ISNUMBER($S825)),"",COUNTIFS($G$7:$G$850,$G825,$S$7:$S$850,"&lt;"&amp;$S825)+COUNTIFS($G$7:$G825,$G825,$S$7:$S825,$S825))</f>
        <v/>
      </c>
      <c r="X825" s="8">
        <f>IF($V825="","",$G825&amp;"|"&amp;$V825)</f>
        <v/>
      </c>
      <c r="Y825" s="8">
        <f>IF($W825="","",$G825&amp;"|"&amp;$W825)</f>
        <v/>
      </c>
    </row>
    <row r="826">
      <c r="A826" s="16" t="n"/>
      <c r="B826" s="17">
        <f>IF($A826="","",PROPER(_xll.BDP($A826&amp;" Corp","NAME")))</f>
        <v/>
      </c>
      <c r="C826" s="17">
        <f>IF($A826="","",IFERROR(INDEX(Company_desc!$B$2:$B$1144,MATCH($A826,Company_desc!$A$2:$A$1144,0)),IFERROR(INDEX(SYZ_static!$Q$2:$Q$806,MATCH($A826,SYZ_static!$A$2:$A$806,0)),"")))</f>
        <v/>
      </c>
      <c r="D826" s="17">
        <f>IF($A826="","",IFERROR(INDEX(SYZ_static!$B$2:$B$806,MATCH($A826,SYZ_static!$A$2:$A$806,0)),""))</f>
        <v/>
      </c>
      <c r="E826" s="17">
        <f>IF($A826="","",_xll.BDP($A826&amp;" Corp","INDUSTRY_SECTOR"))</f>
        <v/>
      </c>
      <c r="F826" s="17">
        <f>IF($A826="","",PROPER(_xll.BDP($A826&amp;" Corp","COUNTRY_FULL_NAME")))</f>
        <v/>
      </c>
      <c r="G826" s="17">
        <f>IF($A826="","",_xll.BDP($A826&amp;" Corp","CRNCY"))</f>
        <v/>
      </c>
      <c r="H826" s="17">
        <f>IF($A826="","",IFERROR(INDEX(SYZ_static!$T$2:$T$806,MATCH($A826,SYZ_static!$A$2:$A$806,0)),_xll.BDP($A826&amp;" Corp","RTG_SP")))</f>
        <v/>
      </c>
      <c r="I826" s="17">
        <f>IF($A826="","",IFERROR(INDEX(SYZ_static!$S$2:$S$806,MATCH($A826,SYZ_static!$A$2:$A$806,0)),""))</f>
        <v/>
      </c>
      <c r="J826" s="17">
        <f>IF($A826="","",_xll.BDP($A826&amp;" Corp","PAYMENT_RANK"))</f>
        <v/>
      </c>
      <c r="K826" s="18">
        <f>IF($A826="","",_xll.BDP($A826&amp;" Corp","CPN"))</f>
        <v/>
      </c>
      <c r="L826" s="19">
        <f>IF($A826="","",_xll.BDP($A826&amp;" Corp","MATURITY"))</f>
        <v/>
      </c>
      <c r="M826" s="20">
        <f>IF($A826="","",IFERROR(_xll.BDP($A826&amp;" Corp","MIN_PIECE")/1000,""))</f>
        <v/>
      </c>
      <c r="N826" s="21">
        <f>IF($A826="","",_xll.BDP($A826&amp;" Corp","PX_LAST"))</f>
        <v/>
      </c>
      <c r="O826" s="21">
        <f>IF($A826="","",_xll.BDP($A826&amp;" Corp","YAS_BOND_YLD","YAS_YLD_FLAG=15"))</f>
        <v/>
      </c>
      <c r="P826" s="21">
        <f>IF($A826="","",_xll.BDP($A826&amp;" Corp","YAS_MOD_DUR"))</f>
        <v/>
      </c>
      <c r="Q826" s="22">
        <f>IF($A826="","",_xll.BDP($A826&amp;" Corp","YAS_OAS_SPRD"))</f>
        <v/>
      </c>
      <c r="R826" s="22">
        <f>IF($A826="","",_xll.BDP($A826&amp;" Corp","YAS_OAS_SPRD","SETTLE_DT",$B$2))</f>
        <v/>
      </c>
      <c r="S826" s="23">
        <f>IF($A826="","",IF(OR(NOT(ISNUMBER($Q826)),NOT(ISNUMBER($R826))),"",$Q826-$R826))</f>
        <v/>
      </c>
      <c r="T826" s="21">
        <f>IF($A826="","",_xll.BDP($A826&amp;" Corp","YAS_BOND_YLD","YAS_YLD_FLAG=15","SETTLE_DT",$B$2))</f>
        <v/>
      </c>
      <c r="U826" s="24">
        <f>IF($A826="","",IF(OR(NOT(ISNUMBER($O826)),NOT(ISNUMBER($T826))),"",$O826-$T826))</f>
        <v/>
      </c>
      <c r="V826" s="22">
        <f>IF(NOT(ISNUMBER($S826)),"",COUNTIFS($G$7:$G$850,$G826,$S$7:$S$850,"&gt;"&amp;$S826)+COUNTIFS($G$7:$G826,$G826,$S$7:$S826,$S826))</f>
        <v/>
      </c>
      <c r="W826" s="22">
        <f>IF(NOT(ISNUMBER($S826)),"",COUNTIFS($G$7:$G$850,$G826,$S$7:$S$850,"&lt;"&amp;$S826)+COUNTIFS($G$7:$G826,$G826,$S$7:$S826,$S826))</f>
        <v/>
      </c>
      <c r="X826" s="17">
        <f>IF($V826="","",$G826&amp;"|"&amp;$V826)</f>
        <v/>
      </c>
      <c r="Y826" s="17">
        <f>IF($W826="","",$G826&amp;"|"&amp;$W826)</f>
        <v/>
      </c>
    </row>
    <row r="827">
      <c r="A827" s="7" t="n"/>
      <c r="B827" s="8">
        <f>IF($A827="","",PROPER(_xll.BDP($A827&amp;" Corp","NAME")))</f>
        <v/>
      </c>
      <c r="C827" s="8">
        <f>IF($A827="","",IFERROR(INDEX(Company_desc!$B$2:$B$1144,MATCH($A827,Company_desc!$A$2:$A$1144,0)),IFERROR(INDEX(SYZ_static!$Q$2:$Q$806,MATCH($A827,SYZ_static!$A$2:$A$806,0)),"")))</f>
        <v/>
      </c>
      <c r="D827" s="8">
        <f>IF($A827="","",IFERROR(INDEX(SYZ_static!$B$2:$B$806,MATCH($A827,SYZ_static!$A$2:$A$806,0)),""))</f>
        <v/>
      </c>
      <c r="E827" s="8">
        <f>IF($A827="","",_xll.BDP($A827&amp;" Corp","INDUSTRY_SECTOR"))</f>
        <v/>
      </c>
      <c r="F827" s="8">
        <f>IF($A827="","",PROPER(_xll.BDP($A827&amp;" Corp","COUNTRY_FULL_NAME")))</f>
        <v/>
      </c>
      <c r="G827" s="8">
        <f>IF($A827="","",_xll.BDP($A827&amp;" Corp","CRNCY"))</f>
        <v/>
      </c>
      <c r="H827" s="8">
        <f>IF($A827="","",IFERROR(INDEX(SYZ_static!$T$2:$T$806,MATCH($A827,SYZ_static!$A$2:$A$806,0)),_xll.BDP($A827&amp;" Corp","RTG_SP")))</f>
        <v/>
      </c>
      <c r="I827" s="8">
        <f>IF($A827="","",IFERROR(INDEX(SYZ_static!$S$2:$S$806,MATCH($A827,SYZ_static!$A$2:$A$806,0)),""))</f>
        <v/>
      </c>
      <c r="J827" s="8">
        <f>IF($A827="","",_xll.BDP($A827&amp;" Corp","PAYMENT_RANK"))</f>
        <v/>
      </c>
      <c r="K827" s="9">
        <f>IF($A827="","",_xll.BDP($A827&amp;" Corp","CPN"))</f>
        <v/>
      </c>
      <c r="L827" s="10">
        <f>IF($A827="","",_xll.BDP($A827&amp;" Corp","MATURITY"))</f>
        <v/>
      </c>
      <c r="M827" s="11">
        <f>IF($A827="","",IFERROR(_xll.BDP($A827&amp;" Corp","MIN_PIECE")/1000,""))</f>
        <v/>
      </c>
      <c r="N827" s="12">
        <f>IF($A827="","",_xll.BDP($A827&amp;" Corp","PX_LAST"))</f>
        <v/>
      </c>
      <c r="O827" s="12">
        <f>IF($A827="","",_xll.BDP($A827&amp;" Corp","YAS_BOND_YLD","YAS_YLD_FLAG=15"))</f>
        <v/>
      </c>
      <c r="P827" s="12">
        <f>IF($A827="","",_xll.BDP($A827&amp;" Corp","YAS_MOD_DUR"))</f>
        <v/>
      </c>
      <c r="Q827" s="13">
        <f>IF($A827="","",_xll.BDP($A827&amp;" Corp","YAS_OAS_SPRD"))</f>
        <v/>
      </c>
      <c r="R827" s="13">
        <f>IF($A827="","",_xll.BDP($A827&amp;" Corp","YAS_OAS_SPRD","SETTLE_DT",$B$2))</f>
        <v/>
      </c>
      <c r="S827" s="14">
        <f>IF($A827="","",IF(OR(NOT(ISNUMBER($Q827)),NOT(ISNUMBER($R827))),"",$Q827-$R827))</f>
        <v/>
      </c>
      <c r="T827" s="12">
        <f>IF($A827="","",_xll.BDP($A827&amp;" Corp","YAS_BOND_YLD","YAS_YLD_FLAG=15","SETTLE_DT",$B$2))</f>
        <v/>
      </c>
      <c r="U827" s="15">
        <f>IF($A827="","",IF(OR(NOT(ISNUMBER($O827)),NOT(ISNUMBER($T827))),"",$O827-$T827))</f>
        <v/>
      </c>
      <c r="V827" s="13">
        <f>IF(NOT(ISNUMBER($S827)),"",COUNTIFS($G$7:$G$850,$G827,$S$7:$S$850,"&gt;"&amp;$S827)+COUNTIFS($G$7:$G827,$G827,$S$7:$S827,$S827))</f>
        <v/>
      </c>
      <c r="W827" s="13">
        <f>IF(NOT(ISNUMBER($S827)),"",COUNTIFS($G$7:$G$850,$G827,$S$7:$S$850,"&lt;"&amp;$S827)+COUNTIFS($G$7:$G827,$G827,$S$7:$S827,$S827))</f>
        <v/>
      </c>
      <c r="X827" s="8">
        <f>IF($V827="","",$G827&amp;"|"&amp;$V827)</f>
        <v/>
      </c>
      <c r="Y827" s="8">
        <f>IF($W827="","",$G827&amp;"|"&amp;$W827)</f>
        <v/>
      </c>
    </row>
    <row r="828">
      <c r="A828" s="16" t="n"/>
      <c r="B828" s="17">
        <f>IF($A828="","",PROPER(_xll.BDP($A828&amp;" Corp","NAME")))</f>
        <v/>
      </c>
      <c r="C828" s="17">
        <f>IF($A828="","",IFERROR(INDEX(Company_desc!$B$2:$B$1144,MATCH($A828,Company_desc!$A$2:$A$1144,0)),IFERROR(INDEX(SYZ_static!$Q$2:$Q$806,MATCH($A828,SYZ_static!$A$2:$A$806,0)),"")))</f>
        <v/>
      </c>
      <c r="D828" s="17">
        <f>IF($A828="","",IFERROR(INDEX(SYZ_static!$B$2:$B$806,MATCH($A828,SYZ_static!$A$2:$A$806,0)),""))</f>
        <v/>
      </c>
      <c r="E828" s="17">
        <f>IF($A828="","",_xll.BDP($A828&amp;" Corp","INDUSTRY_SECTOR"))</f>
        <v/>
      </c>
      <c r="F828" s="17">
        <f>IF($A828="","",PROPER(_xll.BDP($A828&amp;" Corp","COUNTRY_FULL_NAME")))</f>
        <v/>
      </c>
      <c r="G828" s="17">
        <f>IF($A828="","",_xll.BDP($A828&amp;" Corp","CRNCY"))</f>
        <v/>
      </c>
      <c r="H828" s="17">
        <f>IF($A828="","",IFERROR(INDEX(SYZ_static!$T$2:$T$806,MATCH($A828,SYZ_static!$A$2:$A$806,0)),_xll.BDP($A828&amp;" Corp","RTG_SP")))</f>
        <v/>
      </c>
      <c r="I828" s="17">
        <f>IF($A828="","",IFERROR(INDEX(SYZ_static!$S$2:$S$806,MATCH($A828,SYZ_static!$A$2:$A$806,0)),""))</f>
        <v/>
      </c>
      <c r="J828" s="17">
        <f>IF($A828="","",_xll.BDP($A828&amp;" Corp","PAYMENT_RANK"))</f>
        <v/>
      </c>
      <c r="K828" s="18">
        <f>IF($A828="","",_xll.BDP($A828&amp;" Corp","CPN"))</f>
        <v/>
      </c>
      <c r="L828" s="19">
        <f>IF($A828="","",_xll.BDP($A828&amp;" Corp","MATURITY"))</f>
        <v/>
      </c>
      <c r="M828" s="20">
        <f>IF($A828="","",IFERROR(_xll.BDP($A828&amp;" Corp","MIN_PIECE")/1000,""))</f>
        <v/>
      </c>
      <c r="N828" s="21">
        <f>IF($A828="","",_xll.BDP($A828&amp;" Corp","PX_LAST"))</f>
        <v/>
      </c>
      <c r="O828" s="21">
        <f>IF($A828="","",_xll.BDP($A828&amp;" Corp","YAS_BOND_YLD","YAS_YLD_FLAG=15"))</f>
        <v/>
      </c>
      <c r="P828" s="21">
        <f>IF($A828="","",_xll.BDP($A828&amp;" Corp","YAS_MOD_DUR"))</f>
        <v/>
      </c>
      <c r="Q828" s="22">
        <f>IF($A828="","",_xll.BDP($A828&amp;" Corp","YAS_OAS_SPRD"))</f>
        <v/>
      </c>
      <c r="R828" s="22">
        <f>IF($A828="","",_xll.BDP($A828&amp;" Corp","YAS_OAS_SPRD","SETTLE_DT",$B$2))</f>
        <v/>
      </c>
      <c r="S828" s="23">
        <f>IF($A828="","",IF(OR(NOT(ISNUMBER($Q828)),NOT(ISNUMBER($R828))),"",$Q828-$R828))</f>
        <v/>
      </c>
      <c r="T828" s="21">
        <f>IF($A828="","",_xll.BDP($A828&amp;" Corp","YAS_BOND_YLD","YAS_YLD_FLAG=15","SETTLE_DT",$B$2))</f>
        <v/>
      </c>
      <c r="U828" s="24">
        <f>IF($A828="","",IF(OR(NOT(ISNUMBER($O828)),NOT(ISNUMBER($T828))),"",$O828-$T828))</f>
        <v/>
      </c>
      <c r="V828" s="22">
        <f>IF(NOT(ISNUMBER($S828)),"",COUNTIFS($G$7:$G$850,$G828,$S$7:$S$850,"&gt;"&amp;$S828)+COUNTIFS($G$7:$G828,$G828,$S$7:$S828,$S828))</f>
        <v/>
      </c>
      <c r="W828" s="22">
        <f>IF(NOT(ISNUMBER($S828)),"",COUNTIFS($G$7:$G$850,$G828,$S$7:$S$850,"&lt;"&amp;$S828)+COUNTIFS($G$7:$G828,$G828,$S$7:$S828,$S828))</f>
        <v/>
      </c>
      <c r="X828" s="17">
        <f>IF($V828="","",$G828&amp;"|"&amp;$V828)</f>
        <v/>
      </c>
      <c r="Y828" s="17">
        <f>IF($W828="","",$G828&amp;"|"&amp;$W828)</f>
        <v/>
      </c>
    </row>
    <row r="829">
      <c r="A829" s="7" t="n"/>
      <c r="B829" s="8">
        <f>IF($A829="","",PROPER(_xll.BDP($A829&amp;" Corp","NAME")))</f>
        <v/>
      </c>
      <c r="C829" s="8">
        <f>IF($A829="","",IFERROR(INDEX(Company_desc!$B$2:$B$1144,MATCH($A829,Company_desc!$A$2:$A$1144,0)),IFERROR(INDEX(SYZ_static!$Q$2:$Q$806,MATCH($A829,SYZ_static!$A$2:$A$806,0)),"")))</f>
        <v/>
      </c>
      <c r="D829" s="8">
        <f>IF($A829="","",IFERROR(INDEX(SYZ_static!$B$2:$B$806,MATCH($A829,SYZ_static!$A$2:$A$806,0)),""))</f>
        <v/>
      </c>
      <c r="E829" s="8">
        <f>IF($A829="","",_xll.BDP($A829&amp;" Corp","INDUSTRY_SECTOR"))</f>
        <v/>
      </c>
      <c r="F829" s="8">
        <f>IF($A829="","",PROPER(_xll.BDP($A829&amp;" Corp","COUNTRY_FULL_NAME")))</f>
        <v/>
      </c>
      <c r="G829" s="8">
        <f>IF($A829="","",_xll.BDP($A829&amp;" Corp","CRNCY"))</f>
        <v/>
      </c>
      <c r="H829" s="8">
        <f>IF($A829="","",IFERROR(INDEX(SYZ_static!$T$2:$T$806,MATCH($A829,SYZ_static!$A$2:$A$806,0)),_xll.BDP($A829&amp;" Corp","RTG_SP")))</f>
        <v/>
      </c>
      <c r="I829" s="8">
        <f>IF($A829="","",IFERROR(INDEX(SYZ_static!$S$2:$S$806,MATCH($A829,SYZ_static!$A$2:$A$806,0)),""))</f>
        <v/>
      </c>
      <c r="J829" s="8">
        <f>IF($A829="","",_xll.BDP($A829&amp;" Corp","PAYMENT_RANK"))</f>
        <v/>
      </c>
      <c r="K829" s="9">
        <f>IF($A829="","",_xll.BDP($A829&amp;" Corp","CPN"))</f>
        <v/>
      </c>
      <c r="L829" s="10">
        <f>IF($A829="","",_xll.BDP($A829&amp;" Corp","MATURITY"))</f>
        <v/>
      </c>
      <c r="M829" s="11">
        <f>IF($A829="","",IFERROR(_xll.BDP($A829&amp;" Corp","MIN_PIECE")/1000,""))</f>
        <v/>
      </c>
      <c r="N829" s="12">
        <f>IF($A829="","",_xll.BDP($A829&amp;" Corp","PX_LAST"))</f>
        <v/>
      </c>
      <c r="O829" s="12">
        <f>IF($A829="","",_xll.BDP($A829&amp;" Corp","YAS_BOND_YLD","YAS_YLD_FLAG=15"))</f>
        <v/>
      </c>
      <c r="P829" s="12">
        <f>IF($A829="","",_xll.BDP($A829&amp;" Corp","YAS_MOD_DUR"))</f>
        <v/>
      </c>
      <c r="Q829" s="13">
        <f>IF($A829="","",_xll.BDP($A829&amp;" Corp","YAS_OAS_SPRD"))</f>
        <v/>
      </c>
      <c r="R829" s="13">
        <f>IF($A829="","",_xll.BDP($A829&amp;" Corp","YAS_OAS_SPRD","SETTLE_DT",$B$2))</f>
        <v/>
      </c>
      <c r="S829" s="14">
        <f>IF($A829="","",IF(OR(NOT(ISNUMBER($Q829)),NOT(ISNUMBER($R829))),"",$Q829-$R829))</f>
        <v/>
      </c>
      <c r="T829" s="12">
        <f>IF($A829="","",_xll.BDP($A829&amp;" Corp","YAS_BOND_YLD","YAS_YLD_FLAG=15","SETTLE_DT",$B$2))</f>
        <v/>
      </c>
      <c r="U829" s="15">
        <f>IF($A829="","",IF(OR(NOT(ISNUMBER($O829)),NOT(ISNUMBER($T829))),"",$O829-$T829))</f>
        <v/>
      </c>
      <c r="V829" s="13">
        <f>IF(NOT(ISNUMBER($S829)),"",COUNTIFS($G$7:$G$850,$G829,$S$7:$S$850,"&gt;"&amp;$S829)+COUNTIFS($G$7:$G829,$G829,$S$7:$S829,$S829))</f>
        <v/>
      </c>
      <c r="W829" s="13">
        <f>IF(NOT(ISNUMBER($S829)),"",COUNTIFS($G$7:$G$850,$G829,$S$7:$S$850,"&lt;"&amp;$S829)+COUNTIFS($G$7:$G829,$G829,$S$7:$S829,$S829))</f>
        <v/>
      </c>
      <c r="X829" s="8">
        <f>IF($V829="","",$G829&amp;"|"&amp;$V829)</f>
        <v/>
      </c>
      <c r="Y829" s="8">
        <f>IF($W829="","",$G829&amp;"|"&amp;$W829)</f>
        <v/>
      </c>
    </row>
    <row r="830">
      <c r="A830" s="16" t="n"/>
      <c r="B830" s="17">
        <f>IF($A830="","",PROPER(_xll.BDP($A830&amp;" Corp","NAME")))</f>
        <v/>
      </c>
      <c r="C830" s="17">
        <f>IF($A830="","",IFERROR(INDEX(Company_desc!$B$2:$B$1144,MATCH($A830,Company_desc!$A$2:$A$1144,0)),IFERROR(INDEX(SYZ_static!$Q$2:$Q$806,MATCH($A830,SYZ_static!$A$2:$A$806,0)),"")))</f>
        <v/>
      </c>
      <c r="D830" s="17">
        <f>IF($A830="","",IFERROR(INDEX(SYZ_static!$B$2:$B$806,MATCH($A830,SYZ_static!$A$2:$A$806,0)),""))</f>
        <v/>
      </c>
      <c r="E830" s="17">
        <f>IF($A830="","",_xll.BDP($A830&amp;" Corp","INDUSTRY_SECTOR"))</f>
        <v/>
      </c>
      <c r="F830" s="17">
        <f>IF($A830="","",PROPER(_xll.BDP($A830&amp;" Corp","COUNTRY_FULL_NAME")))</f>
        <v/>
      </c>
      <c r="G830" s="17">
        <f>IF($A830="","",_xll.BDP($A830&amp;" Corp","CRNCY"))</f>
        <v/>
      </c>
      <c r="H830" s="17">
        <f>IF($A830="","",IFERROR(INDEX(SYZ_static!$T$2:$T$806,MATCH($A830,SYZ_static!$A$2:$A$806,0)),_xll.BDP($A830&amp;" Corp","RTG_SP")))</f>
        <v/>
      </c>
      <c r="I830" s="17">
        <f>IF($A830="","",IFERROR(INDEX(SYZ_static!$S$2:$S$806,MATCH($A830,SYZ_static!$A$2:$A$806,0)),""))</f>
        <v/>
      </c>
      <c r="J830" s="17">
        <f>IF($A830="","",_xll.BDP($A830&amp;" Corp","PAYMENT_RANK"))</f>
        <v/>
      </c>
      <c r="K830" s="18">
        <f>IF($A830="","",_xll.BDP($A830&amp;" Corp","CPN"))</f>
        <v/>
      </c>
      <c r="L830" s="19">
        <f>IF($A830="","",_xll.BDP($A830&amp;" Corp","MATURITY"))</f>
        <v/>
      </c>
      <c r="M830" s="20">
        <f>IF($A830="","",IFERROR(_xll.BDP($A830&amp;" Corp","MIN_PIECE")/1000,""))</f>
        <v/>
      </c>
      <c r="N830" s="21">
        <f>IF($A830="","",_xll.BDP($A830&amp;" Corp","PX_LAST"))</f>
        <v/>
      </c>
      <c r="O830" s="21">
        <f>IF($A830="","",_xll.BDP($A830&amp;" Corp","YAS_BOND_YLD","YAS_YLD_FLAG=15"))</f>
        <v/>
      </c>
      <c r="P830" s="21">
        <f>IF($A830="","",_xll.BDP($A830&amp;" Corp","YAS_MOD_DUR"))</f>
        <v/>
      </c>
      <c r="Q830" s="22">
        <f>IF($A830="","",_xll.BDP($A830&amp;" Corp","YAS_OAS_SPRD"))</f>
        <v/>
      </c>
      <c r="R830" s="22">
        <f>IF($A830="","",_xll.BDP($A830&amp;" Corp","YAS_OAS_SPRD","SETTLE_DT",$B$2))</f>
        <v/>
      </c>
      <c r="S830" s="23">
        <f>IF($A830="","",IF(OR(NOT(ISNUMBER($Q830)),NOT(ISNUMBER($R830))),"",$Q830-$R830))</f>
        <v/>
      </c>
      <c r="T830" s="21">
        <f>IF($A830="","",_xll.BDP($A830&amp;" Corp","YAS_BOND_YLD","YAS_YLD_FLAG=15","SETTLE_DT",$B$2))</f>
        <v/>
      </c>
      <c r="U830" s="24">
        <f>IF($A830="","",IF(OR(NOT(ISNUMBER($O830)),NOT(ISNUMBER($T830))),"",$O830-$T830))</f>
        <v/>
      </c>
      <c r="V830" s="22">
        <f>IF(NOT(ISNUMBER($S830)),"",COUNTIFS($G$7:$G$850,$G830,$S$7:$S$850,"&gt;"&amp;$S830)+COUNTIFS($G$7:$G830,$G830,$S$7:$S830,$S830))</f>
        <v/>
      </c>
      <c r="W830" s="22">
        <f>IF(NOT(ISNUMBER($S830)),"",COUNTIFS($G$7:$G$850,$G830,$S$7:$S$850,"&lt;"&amp;$S830)+COUNTIFS($G$7:$G830,$G830,$S$7:$S830,$S830))</f>
        <v/>
      </c>
      <c r="X830" s="17">
        <f>IF($V830="","",$G830&amp;"|"&amp;$V830)</f>
        <v/>
      </c>
      <c r="Y830" s="17">
        <f>IF($W830="","",$G830&amp;"|"&amp;$W830)</f>
        <v/>
      </c>
    </row>
    <row r="831">
      <c r="A831" s="7" t="n"/>
      <c r="B831" s="8">
        <f>IF($A831="","",PROPER(_xll.BDP($A831&amp;" Corp","NAME")))</f>
        <v/>
      </c>
      <c r="C831" s="8">
        <f>IF($A831="","",IFERROR(INDEX(Company_desc!$B$2:$B$1144,MATCH($A831,Company_desc!$A$2:$A$1144,0)),IFERROR(INDEX(SYZ_static!$Q$2:$Q$806,MATCH($A831,SYZ_static!$A$2:$A$806,0)),"")))</f>
        <v/>
      </c>
      <c r="D831" s="8">
        <f>IF($A831="","",IFERROR(INDEX(SYZ_static!$B$2:$B$806,MATCH($A831,SYZ_static!$A$2:$A$806,0)),""))</f>
        <v/>
      </c>
      <c r="E831" s="8">
        <f>IF($A831="","",_xll.BDP($A831&amp;" Corp","INDUSTRY_SECTOR"))</f>
        <v/>
      </c>
      <c r="F831" s="8">
        <f>IF($A831="","",PROPER(_xll.BDP($A831&amp;" Corp","COUNTRY_FULL_NAME")))</f>
        <v/>
      </c>
      <c r="G831" s="8">
        <f>IF($A831="","",_xll.BDP($A831&amp;" Corp","CRNCY"))</f>
        <v/>
      </c>
      <c r="H831" s="8">
        <f>IF($A831="","",IFERROR(INDEX(SYZ_static!$T$2:$T$806,MATCH($A831,SYZ_static!$A$2:$A$806,0)),_xll.BDP($A831&amp;" Corp","RTG_SP")))</f>
        <v/>
      </c>
      <c r="I831" s="8">
        <f>IF($A831="","",IFERROR(INDEX(SYZ_static!$S$2:$S$806,MATCH($A831,SYZ_static!$A$2:$A$806,0)),""))</f>
        <v/>
      </c>
      <c r="J831" s="8">
        <f>IF($A831="","",_xll.BDP($A831&amp;" Corp","PAYMENT_RANK"))</f>
        <v/>
      </c>
      <c r="K831" s="9">
        <f>IF($A831="","",_xll.BDP($A831&amp;" Corp","CPN"))</f>
        <v/>
      </c>
      <c r="L831" s="10">
        <f>IF($A831="","",_xll.BDP($A831&amp;" Corp","MATURITY"))</f>
        <v/>
      </c>
      <c r="M831" s="11">
        <f>IF($A831="","",IFERROR(_xll.BDP($A831&amp;" Corp","MIN_PIECE")/1000,""))</f>
        <v/>
      </c>
      <c r="N831" s="12">
        <f>IF($A831="","",_xll.BDP($A831&amp;" Corp","PX_LAST"))</f>
        <v/>
      </c>
      <c r="O831" s="12">
        <f>IF($A831="","",_xll.BDP($A831&amp;" Corp","YAS_BOND_YLD","YAS_YLD_FLAG=15"))</f>
        <v/>
      </c>
      <c r="P831" s="12">
        <f>IF($A831="","",_xll.BDP($A831&amp;" Corp","YAS_MOD_DUR"))</f>
        <v/>
      </c>
      <c r="Q831" s="13">
        <f>IF($A831="","",_xll.BDP($A831&amp;" Corp","YAS_OAS_SPRD"))</f>
        <v/>
      </c>
      <c r="R831" s="13">
        <f>IF($A831="","",_xll.BDP($A831&amp;" Corp","YAS_OAS_SPRD","SETTLE_DT",$B$2))</f>
        <v/>
      </c>
      <c r="S831" s="14">
        <f>IF($A831="","",IF(OR(NOT(ISNUMBER($Q831)),NOT(ISNUMBER($R831))),"",$Q831-$R831))</f>
        <v/>
      </c>
      <c r="T831" s="12">
        <f>IF($A831="","",_xll.BDP($A831&amp;" Corp","YAS_BOND_YLD","YAS_YLD_FLAG=15","SETTLE_DT",$B$2))</f>
        <v/>
      </c>
      <c r="U831" s="15">
        <f>IF($A831="","",IF(OR(NOT(ISNUMBER($O831)),NOT(ISNUMBER($T831))),"",$O831-$T831))</f>
        <v/>
      </c>
      <c r="V831" s="13">
        <f>IF(NOT(ISNUMBER($S831)),"",COUNTIFS($G$7:$G$850,$G831,$S$7:$S$850,"&gt;"&amp;$S831)+COUNTIFS($G$7:$G831,$G831,$S$7:$S831,$S831))</f>
        <v/>
      </c>
      <c r="W831" s="13">
        <f>IF(NOT(ISNUMBER($S831)),"",COUNTIFS($G$7:$G$850,$G831,$S$7:$S$850,"&lt;"&amp;$S831)+COUNTIFS($G$7:$G831,$G831,$S$7:$S831,$S831))</f>
        <v/>
      </c>
      <c r="X831" s="8">
        <f>IF($V831="","",$G831&amp;"|"&amp;$V831)</f>
        <v/>
      </c>
      <c r="Y831" s="8">
        <f>IF($W831="","",$G831&amp;"|"&amp;$W831)</f>
        <v/>
      </c>
    </row>
    <row r="832">
      <c r="A832" s="16" t="n"/>
      <c r="B832" s="17">
        <f>IF($A832="","",PROPER(_xll.BDP($A832&amp;" Corp","NAME")))</f>
        <v/>
      </c>
      <c r="C832" s="17">
        <f>IF($A832="","",IFERROR(INDEX(Company_desc!$B$2:$B$1144,MATCH($A832,Company_desc!$A$2:$A$1144,0)),IFERROR(INDEX(SYZ_static!$Q$2:$Q$806,MATCH($A832,SYZ_static!$A$2:$A$806,0)),"")))</f>
        <v/>
      </c>
      <c r="D832" s="17">
        <f>IF($A832="","",IFERROR(INDEX(SYZ_static!$B$2:$B$806,MATCH($A832,SYZ_static!$A$2:$A$806,0)),""))</f>
        <v/>
      </c>
      <c r="E832" s="17">
        <f>IF($A832="","",_xll.BDP($A832&amp;" Corp","INDUSTRY_SECTOR"))</f>
        <v/>
      </c>
      <c r="F832" s="17">
        <f>IF($A832="","",PROPER(_xll.BDP($A832&amp;" Corp","COUNTRY_FULL_NAME")))</f>
        <v/>
      </c>
      <c r="G832" s="17">
        <f>IF($A832="","",_xll.BDP($A832&amp;" Corp","CRNCY"))</f>
        <v/>
      </c>
      <c r="H832" s="17">
        <f>IF($A832="","",IFERROR(INDEX(SYZ_static!$T$2:$T$806,MATCH($A832,SYZ_static!$A$2:$A$806,0)),_xll.BDP($A832&amp;" Corp","RTG_SP")))</f>
        <v/>
      </c>
      <c r="I832" s="17">
        <f>IF($A832="","",IFERROR(INDEX(SYZ_static!$S$2:$S$806,MATCH($A832,SYZ_static!$A$2:$A$806,0)),""))</f>
        <v/>
      </c>
      <c r="J832" s="17">
        <f>IF($A832="","",_xll.BDP($A832&amp;" Corp","PAYMENT_RANK"))</f>
        <v/>
      </c>
      <c r="K832" s="18">
        <f>IF($A832="","",_xll.BDP($A832&amp;" Corp","CPN"))</f>
        <v/>
      </c>
      <c r="L832" s="19">
        <f>IF($A832="","",_xll.BDP($A832&amp;" Corp","MATURITY"))</f>
        <v/>
      </c>
      <c r="M832" s="20">
        <f>IF($A832="","",IFERROR(_xll.BDP($A832&amp;" Corp","MIN_PIECE")/1000,""))</f>
        <v/>
      </c>
      <c r="N832" s="21">
        <f>IF($A832="","",_xll.BDP($A832&amp;" Corp","PX_LAST"))</f>
        <v/>
      </c>
      <c r="O832" s="21">
        <f>IF($A832="","",_xll.BDP($A832&amp;" Corp","YAS_BOND_YLD","YAS_YLD_FLAG=15"))</f>
        <v/>
      </c>
      <c r="P832" s="21">
        <f>IF($A832="","",_xll.BDP($A832&amp;" Corp","YAS_MOD_DUR"))</f>
        <v/>
      </c>
      <c r="Q832" s="22">
        <f>IF($A832="","",_xll.BDP($A832&amp;" Corp","YAS_OAS_SPRD"))</f>
        <v/>
      </c>
      <c r="R832" s="22">
        <f>IF($A832="","",_xll.BDP($A832&amp;" Corp","YAS_OAS_SPRD","SETTLE_DT",$B$2))</f>
        <v/>
      </c>
      <c r="S832" s="23">
        <f>IF($A832="","",IF(OR(NOT(ISNUMBER($Q832)),NOT(ISNUMBER($R832))),"",$Q832-$R832))</f>
        <v/>
      </c>
      <c r="T832" s="21">
        <f>IF($A832="","",_xll.BDP($A832&amp;" Corp","YAS_BOND_YLD","YAS_YLD_FLAG=15","SETTLE_DT",$B$2))</f>
        <v/>
      </c>
      <c r="U832" s="24">
        <f>IF($A832="","",IF(OR(NOT(ISNUMBER($O832)),NOT(ISNUMBER($T832))),"",$O832-$T832))</f>
        <v/>
      </c>
      <c r="V832" s="22">
        <f>IF(NOT(ISNUMBER($S832)),"",COUNTIFS($G$7:$G$850,$G832,$S$7:$S$850,"&gt;"&amp;$S832)+COUNTIFS($G$7:$G832,$G832,$S$7:$S832,$S832))</f>
        <v/>
      </c>
      <c r="W832" s="22">
        <f>IF(NOT(ISNUMBER($S832)),"",COUNTIFS($G$7:$G$850,$G832,$S$7:$S$850,"&lt;"&amp;$S832)+COUNTIFS($G$7:$G832,$G832,$S$7:$S832,$S832))</f>
        <v/>
      </c>
      <c r="X832" s="17">
        <f>IF($V832="","",$G832&amp;"|"&amp;$V832)</f>
        <v/>
      </c>
      <c r="Y832" s="17">
        <f>IF($W832="","",$G832&amp;"|"&amp;$W832)</f>
        <v/>
      </c>
    </row>
    <row r="833">
      <c r="A833" s="7" t="n"/>
      <c r="B833" s="8">
        <f>IF($A833="","",PROPER(_xll.BDP($A833&amp;" Corp","NAME")))</f>
        <v/>
      </c>
      <c r="C833" s="8">
        <f>IF($A833="","",IFERROR(INDEX(Company_desc!$B$2:$B$1144,MATCH($A833,Company_desc!$A$2:$A$1144,0)),IFERROR(INDEX(SYZ_static!$Q$2:$Q$806,MATCH($A833,SYZ_static!$A$2:$A$806,0)),"")))</f>
        <v/>
      </c>
      <c r="D833" s="8">
        <f>IF($A833="","",IFERROR(INDEX(SYZ_static!$B$2:$B$806,MATCH($A833,SYZ_static!$A$2:$A$806,0)),""))</f>
        <v/>
      </c>
      <c r="E833" s="8">
        <f>IF($A833="","",_xll.BDP($A833&amp;" Corp","INDUSTRY_SECTOR"))</f>
        <v/>
      </c>
      <c r="F833" s="8">
        <f>IF($A833="","",PROPER(_xll.BDP($A833&amp;" Corp","COUNTRY_FULL_NAME")))</f>
        <v/>
      </c>
      <c r="G833" s="8">
        <f>IF($A833="","",_xll.BDP($A833&amp;" Corp","CRNCY"))</f>
        <v/>
      </c>
      <c r="H833" s="8">
        <f>IF($A833="","",IFERROR(INDEX(SYZ_static!$T$2:$T$806,MATCH($A833,SYZ_static!$A$2:$A$806,0)),_xll.BDP($A833&amp;" Corp","RTG_SP")))</f>
        <v/>
      </c>
      <c r="I833" s="8">
        <f>IF($A833="","",IFERROR(INDEX(SYZ_static!$S$2:$S$806,MATCH($A833,SYZ_static!$A$2:$A$806,0)),""))</f>
        <v/>
      </c>
      <c r="J833" s="8">
        <f>IF($A833="","",_xll.BDP($A833&amp;" Corp","PAYMENT_RANK"))</f>
        <v/>
      </c>
      <c r="K833" s="9">
        <f>IF($A833="","",_xll.BDP($A833&amp;" Corp","CPN"))</f>
        <v/>
      </c>
      <c r="L833" s="10">
        <f>IF($A833="","",_xll.BDP($A833&amp;" Corp","MATURITY"))</f>
        <v/>
      </c>
      <c r="M833" s="11">
        <f>IF($A833="","",IFERROR(_xll.BDP($A833&amp;" Corp","MIN_PIECE")/1000,""))</f>
        <v/>
      </c>
      <c r="N833" s="12">
        <f>IF($A833="","",_xll.BDP($A833&amp;" Corp","PX_LAST"))</f>
        <v/>
      </c>
      <c r="O833" s="12">
        <f>IF($A833="","",_xll.BDP($A833&amp;" Corp","YAS_BOND_YLD","YAS_YLD_FLAG=15"))</f>
        <v/>
      </c>
      <c r="P833" s="12">
        <f>IF($A833="","",_xll.BDP($A833&amp;" Corp","YAS_MOD_DUR"))</f>
        <v/>
      </c>
      <c r="Q833" s="13">
        <f>IF($A833="","",_xll.BDP($A833&amp;" Corp","YAS_OAS_SPRD"))</f>
        <v/>
      </c>
      <c r="R833" s="13">
        <f>IF($A833="","",_xll.BDP($A833&amp;" Corp","YAS_OAS_SPRD","SETTLE_DT",$B$2))</f>
        <v/>
      </c>
      <c r="S833" s="14">
        <f>IF($A833="","",IF(OR(NOT(ISNUMBER($Q833)),NOT(ISNUMBER($R833))),"",$Q833-$R833))</f>
        <v/>
      </c>
      <c r="T833" s="12">
        <f>IF($A833="","",_xll.BDP($A833&amp;" Corp","YAS_BOND_YLD","YAS_YLD_FLAG=15","SETTLE_DT",$B$2))</f>
        <v/>
      </c>
      <c r="U833" s="15">
        <f>IF($A833="","",IF(OR(NOT(ISNUMBER($O833)),NOT(ISNUMBER($T833))),"",$O833-$T833))</f>
        <v/>
      </c>
      <c r="V833" s="13">
        <f>IF(NOT(ISNUMBER($S833)),"",COUNTIFS($G$7:$G$850,$G833,$S$7:$S$850,"&gt;"&amp;$S833)+COUNTIFS($G$7:$G833,$G833,$S$7:$S833,$S833))</f>
        <v/>
      </c>
      <c r="W833" s="13">
        <f>IF(NOT(ISNUMBER($S833)),"",COUNTIFS($G$7:$G$850,$G833,$S$7:$S$850,"&lt;"&amp;$S833)+COUNTIFS($G$7:$G833,$G833,$S$7:$S833,$S833))</f>
        <v/>
      </c>
      <c r="X833" s="8">
        <f>IF($V833="","",$G833&amp;"|"&amp;$V833)</f>
        <v/>
      </c>
      <c r="Y833" s="8">
        <f>IF($W833="","",$G833&amp;"|"&amp;$W833)</f>
        <v/>
      </c>
    </row>
    <row r="834">
      <c r="A834" s="16" t="n"/>
      <c r="B834" s="17">
        <f>IF($A834="","",PROPER(_xll.BDP($A834&amp;" Corp","NAME")))</f>
        <v/>
      </c>
      <c r="C834" s="17">
        <f>IF($A834="","",IFERROR(INDEX(Company_desc!$B$2:$B$1144,MATCH($A834,Company_desc!$A$2:$A$1144,0)),IFERROR(INDEX(SYZ_static!$Q$2:$Q$806,MATCH($A834,SYZ_static!$A$2:$A$806,0)),"")))</f>
        <v/>
      </c>
      <c r="D834" s="17">
        <f>IF($A834="","",IFERROR(INDEX(SYZ_static!$B$2:$B$806,MATCH($A834,SYZ_static!$A$2:$A$806,0)),""))</f>
        <v/>
      </c>
      <c r="E834" s="17">
        <f>IF($A834="","",_xll.BDP($A834&amp;" Corp","INDUSTRY_SECTOR"))</f>
        <v/>
      </c>
      <c r="F834" s="17">
        <f>IF($A834="","",PROPER(_xll.BDP($A834&amp;" Corp","COUNTRY_FULL_NAME")))</f>
        <v/>
      </c>
      <c r="G834" s="17">
        <f>IF($A834="","",_xll.BDP($A834&amp;" Corp","CRNCY"))</f>
        <v/>
      </c>
      <c r="H834" s="17">
        <f>IF($A834="","",IFERROR(INDEX(SYZ_static!$T$2:$T$806,MATCH($A834,SYZ_static!$A$2:$A$806,0)),_xll.BDP($A834&amp;" Corp","RTG_SP")))</f>
        <v/>
      </c>
      <c r="I834" s="17">
        <f>IF($A834="","",IFERROR(INDEX(SYZ_static!$S$2:$S$806,MATCH($A834,SYZ_static!$A$2:$A$806,0)),""))</f>
        <v/>
      </c>
      <c r="J834" s="17">
        <f>IF($A834="","",_xll.BDP($A834&amp;" Corp","PAYMENT_RANK"))</f>
        <v/>
      </c>
      <c r="K834" s="18">
        <f>IF($A834="","",_xll.BDP($A834&amp;" Corp","CPN"))</f>
        <v/>
      </c>
      <c r="L834" s="19">
        <f>IF($A834="","",_xll.BDP($A834&amp;" Corp","MATURITY"))</f>
        <v/>
      </c>
      <c r="M834" s="20">
        <f>IF($A834="","",IFERROR(_xll.BDP($A834&amp;" Corp","MIN_PIECE")/1000,""))</f>
        <v/>
      </c>
      <c r="N834" s="21">
        <f>IF($A834="","",_xll.BDP($A834&amp;" Corp","PX_LAST"))</f>
        <v/>
      </c>
      <c r="O834" s="21">
        <f>IF($A834="","",_xll.BDP($A834&amp;" Corp","YAS_BOND_YLD","YAS_YLD_FLAG=15"))</f>
        <v/>
      </c>
      <c r="P834" s="21">
        <f>IF($A834="","",_xll.BDP($A834&amp;" Corp","YAS_MOD_DUR"))</f>
        <v/>
      </c>
      <c r="Q834" s="22">
        <f>IF($A834="","",_xll.BDP($A834&amp;" Corp","YAS_OAS_SPRD"))</f>
        <v/>
      </c>
      <c r="R834" s="22">
        <f>IF($A834="","",_xll.BDP($A834&amp;" Corp","YAS_OAS_SPRD","SETTLE_DT",$B$2))</f>
        <v/>
      </c>
      <c r="S834" s="23">
        <f>IF($A834="","",IF(OR(NOT(ISNUMBER($Q834)),NOT(ISNUMBER($R834))),"",$Q834-$R834))</f>
        <v/>
      </c>
      <c r="T834" s="21">
        <f>IF($A834="","",_xll.BDP($A834&amp;" Corp","YAS_BOND_YLD","YAS_YLD_FLAG=15","SETTLE_DT",$B$2))</f>
        <v/>
      </c>
      <c r="U834" s="24">
        <f>IF($A834="","",IF(OR(NOT(ISNUMBER($O834)),NOT(ISNUMBER($T834))),"",$O834-$T834))</f>
        <v/>
      </c>
      <c r="V834" s="22">
        <f>IF(NOT(ISNUMBER($S834)),"",COUNTIFS($G$7:$G$850,$G834,$S$7:$S$850,"&gt;"&amp;$S834)+COUNTIFS($G$7:$G834,$G834,$S$7:$S834,$S834))</f>
        <v/>
      </c>
      <c r="W834" s="22">
        <f>IF(NOT(ISNUMBER($S834)),"",COUNTIFS($G$7:$G$850,$G834,$S$7:$S$850,"&lt;"&amp;$S834)+COUNTIFS($G$7:$G834,$G834,$S$7:$S834,$S834))</f>
        <v/>
      </c>
      <c r="X834" s="17">
        <f>IF($V834="","",$G834&amp;"|"&amp;$V834)</f>
        <v/>
      </c>
      <c r="Y834" s="17">
        <f>IF($W834="","",$G834&amp;"|"&amp;$W834)</f>
        <v/>
      </c>
    </row>
    <row r="835">
      <c r="A835" s="7" t="n"/>
      <c r="B835" s="8">
        <f>IF($A835="","",PROPER(_xll.BDP($A835&amp;" Corp","NAME")))</f>
        <v/>
      </c>
      <c r="C835" s="8">
        <f>IF($A835="","",IFERROR(INDEX(Company_desc!$B$2:$B$1144,MATCH($A835,Company_desc!$A$2:$A$1144,0)),IFERROR(INDEX(SYZ_static!$Q$2:$Q$806,MATCH($A835,SYZ_static!$A$2:$A$806,0)),"")))</f>
        <v/>
      </c>
      <c r="D835" s="8">
        <f>IF($A835="","",IFERROR(INDEX(SYZ_static!$B$2:$B$806,MATCH($A835,SYZ_static!$A$2:$A$806,0)),""))</f>
        <v/>
      </c>
      <c r="E835" s="8">
        <f>IF($A835="","",_xll.BDP($A835&amp;" Corp","INDUSTRY_SECTOR"))</f>
        <v/>
      </c>
      <c r="F835" s="8">
        <f>IF($A835="","",PROPER(_xll.BDP($A835&amp;" Corp","COUNTRY_FULL_NAME")))</f>
        <v/>
      </c>
      <c r="G835" s="8">
        <f>IF($A835="","",_xll.BDP($A835&amp;" Corp","CRNCY"))</f>
        <v/>
      </c>
      <c r="H835" s="8">
        <f>IF($A835="","",IFERROR(INDEX(SYZ_static!$T$2:$T$806,MATCH($A835,SYZ_static!$A$2:$A$806,0)),_xll.BDP($A835&amp;" Corp","RTG_SP")))</f>
        <v/>
      </c>
      <c r="I835" s="8">
        <f>IF($A835="","",IFERROR(INDEX(SYZ_static!$S$2:$S$806,MATCH($A835,SYZ_static!$A$2:$A$806,0)),""))</f>
        <v/>
      </c>
      <c r="J835" s="8">
        <f>IF($A835="","",_xll.BDP($A835&amp;" Corp","PAYMENT_RANK"))</f>
        <v/>
      </c>
      <c r="K835" s="9">
        <f>IF($A835="","",_xll.BDP($A835&amp;" Corp","CPN"))</f>
        <v/>
      </c>
      <c r="L835" s="10">
        <f>IF($A835="","",_xll.BDP($A835&amp;" Corp","MATURITY"))</f>
        <v/>
      </c>
      <c r="M835" s="11">
        <f>IF($A835="","",IFERROR(_xll.BDP($A835&amp;" Corp","MIN_PIECE")/1000,""))</f>
        <v/>
      </c>
      <c r="N835" s="12">
        <f>IF($A835="","",_xll.BDP($A835&amp;" Corp","PX_LAST"))</f>
        <v/>
      </c>
      <c r="O835" s="12">
        <f>IF($A835="","",_xll.BDP($A835&amp;" Corp","YAS_BOND_YLD","YAS_YLD_FLAG=15"))</f>
        <v/>
      </c>
      <c r="P835" s="12">
        <f>IF($A835="","",_xll.BDP($A835&amp;" Corp","YAS_MOD_DUR"))</f>
        <v/>
      </c>
      <c r="Q835" s="13">
        <f>IF($A835="","",_xll.BDP($A835&amp;" Corp","YAS_OAS_SPRD"))</f>
        <v/>
      </c>
      <c r="R835" s="13">
        <f>IF($A835="","",_xll.BDP($A835&amp;" Corp","YAS_OAS_SPRD","SETTLE_DT",$B$2))</f>
        <v/>
      </c>
      <c r="S835" s="14">
        <f>IF($A835="","",IF(OR(NOT(ISNUMBER($Q835)),NOT(ISNUMBER($R835))),"",$Q835-$R835))</f>
        <v/>
      </c>
      <c r="T835" s="12">
        <f>IF($A835="","",_xll.BDP($A835&amp;" Corp","YAS_BOND_YLD","YAS_YLD_FLAG=15","SETTLE_DT",$B$2))</f>
        <v/>
      </c>
      <c r="U835" s="15">
        <f>IF($A835="","",IF(OR(NOT(ISNUMBER($O835)),NOT(ISNUMBER($T835))),"",$O835-$T835))</f>
        <v/>
      </c>
      <c r="V835" s="13">
        <f>IF(NOT(ISNUMBER($S835)),"",COUNTIFS($G$7:$G$850,$G835,$S$7:$S$850,"&gt;"&amp;$S835)+COUNTIFS($G$7:$G835,$G835,$S$7:$S835,$S835))</f>
        <v/>
      </c>
      <c r="W835" s="13">
        <f>IF(NOT(ISNUMBER($S835)),"",COUNTIFS($G$7:$G$850,$G835,$S$7:$S$850,"&lt;"&amp;$S835)+COUNTIFS($G$7:$G835,$G835,$S$7:$S835,$S835))</f>
        <v/>
      </c>
      <c r="X835" s="8">
        <f>IF($V835="","",$G835&amp;"|"&amp;$V835)</f>
        <v/>
      </c>
      <c r="Y835" s="8">
        <f>IF($W835="","",$G835&amp;"|"&amp;$W835)</f>
        <v/>
      </c>
    </row>
    <row r="836">
      <c r="A836" s="16" t="n"/>
      <c r="B836" s="17">
        <f>IF($A836="","",PROPER(_xll.BDP($A836&amp;" Corp","NAME")))</f>
        <v/>
      </c>
      <c r="C836" s="17">
        <f>IF($A836="","",IFERROR(INDEX(Company_desc!$B$2:$B$1144,MATCH($A836,Company_desc!$A$2:$A$1144,0)),IFERROR(INDEX(SYZ_static!$Q$2:$Q$806,MATCH($A836,SYZ_static!$A$2:$A$806,0)),"")))</f>
        <v/>
      </c>
      <c r="D836" s="17">
        <f>IF($A836="","",IFERROR(INDEX(SYZ_static!$B$2:$B$806,MATCH($A836,SYZ_static!$A$2:$A$806,0)),""))</f>
        <v/>
      </c>
      <c r="E836" s="17">
        <f>IF($A836="","",_xll.BDP($A836&amp;" Corp","INDUSTRY_SECTOR"))</f>
        <v/>
      </c>
      <c r="F836" s="17">
        <f>IF($A836="","",PROPER(_xll.BDP($A836&amp;" Corp","COUNTRY_FULL_NAME")))</f>
        <v/>
      </c>
      <c r="G836" s="17">
        <f>IF($A836="","",_xll.BDP($A836&amp;" Corp","CRNCY"))</f>
        <v/>
      </c>
      <c r="H836" s="17">
        <f>IF($A836="","",IFERROR(INDEX(SYZ_static!$T$2:$T$806,MATCH($A836,SYZ_static!$A$2:$A$806,0)),_xll.BDP($A836&amp;" Corp","RTG_SP")))</f>
        <v/>
      </c>
      <c r="I836" s="17">
        <f>IF($A836="","",IFERROR(INDEX(SYZ_static!$S$2:$S$806,MATCH($A836,SYZ_static!$A$2:$A$806,0)),""))</f>
        <v/>
      </c>
      <c r="J836" s="17">
        <f>IF($A836="","",_xll.BDP($A836&amp;" Corp","PAYMENT_RANK"))</f>
        <v/>
      </c>
      <c r="K836" s="18">
        <f>IF($A836="","",_xll.BDP($A836&amp;" Corp","CPN"))</f>
        <v/>
      </c>
      <c r="L836" s="19">
        <f>IF($A836="","",_xll.BDP($A836&amp;" Corp","MATURITY"))</f>
        <v/>
      </c>
      <c r="M836" s="20">
        <f>IF($A836="","",IFERROR(_xll.BDP($A836&amp;" Corp","MIN_PIECE")/1000,""))</f>
        <v/>
      </c>
      <c r="N836" s="21">
        <f>IF($A836="","",_xll.BDP($A836&amp;" Corp","PX_LAST"))</f>
        <v/>
      </c>
      <c r="O836" s="21">
        <f>IF($A836="","",_xll.BDP($A836&amp;" Corp","YAS_BOND_YLD","YAS_YLD_FLAG=15"))</f>
        <v/>
      </c>
      <c r="P836" s="21">
        <f>IF($A836="","",_xll.BDP($A836&amp;" Corp","YAS_MOD_DUR"))</f>
        <v/>
      </c>
      <c r="Q836" s="22">
        <f>IF($A836="","",_xll.BDP($A836&amp;" Corp","YAS_OAS_SPRD"))</f>
        <v/>
      </c>
      <c r="R836" s="22">
        <f>IF($A836="","",_xll.BDP($A836&amp;" Corp","YAS_OAS_SPRD","SETTLE_DT",$B$2))</f>
        <v/>
      </c>
      <c r="S836" s="23">
        <f>IF($A836="","",IF(OR(NOT(ISNUMBER($Q836)),NOT(ISNUMBER($R836))),"",$Q836-$R836))</f>
        <v/>
      </c>
      <c r="T836" s="21">
        <f>IF($A836="","",_xll.BDP($A836&amp;" Corp","YAS_BOND_YLD","YAS_YLD_FLAG=15","SETTLE_DT",$B$2))</f>
        <v/>
      </c>
      <c r="U836" s="24">
        <f>IF($A836="","",IF(OR(NOT(ISNUMBER($O836)),NOT(ISNUMBER($T836))),"",$O836-$T836))</f>
        <v/>
      </c>
      <c r="V836" s="22">
        <f>IF(NOT(ISNUMBER($S836)),"",COUNTIFS($G$7:$G$850,$G836,$S$7:$S$850,"&gt;"&amp;$S836)+COUNTIFS($G$7:$G836,$G836,$S$7:$S836,$S836))</f>
        <v/>
      </c>
      <c r="W836" s="22">
        <f>IF(NOT(ISNUMBER($S836)),"",COUNTIFS($G$7:$G$850,$G836,$S$7:$S$850,"&lt;"&amp;$S836)+COUNTIFS($G$7:$G836,$G836,$S$7:$S836,$S836))</f>
        <v/>
      </c>
      <c r="X836" s="17">
        <f>IF($V836="","",$G836&amp;"|"&amp;$V836)</f>
        <v/>
      </c>
      <c r="Y836" s="17">
        <f>IF($W836="","",$G836&amp;"|"&amp;$W836)</f>
        <v/>
      </c>
    </row>
    <row r="837">
      <c r="A837" s="7" t="n"/>
      <c r="B837" s="8">
        <f>IF($A837="","",PROPER(_xll.BDP($A837&amp;" Corp","NAME")))</f>
        <v/>
      </c>
      <c r="C837" s="8">
        <f>IF($A837="","",IFERROR(INDEX(Company_desc!$B$2:$B$1144,MATCH($A837,Company_desc!$A$2:$A$1144,0)),IFERROR(INDEX(SYZ_static!$Q$2:$Q$806,MATCH($A837,SYZ_static!$A$2:$A$806,0)),"")))</f>
        <v/>
      </c>
      <c r="D837" s="8">
        <f>IF($A837="","",IFERROR(INDEX(SYZ_static!$B$2:$B$806,MATCH($A837,SYZ_static!$A$2:$A$806,0)),""))</f>
        <v/>
      </c>
      <c r="E837" s="8">
        <f>IF($A837="","",_xll.BDP($A837&amp;" Corp","INDUSTRY_SECTOR"))</f>
        <v/>
      </c>
      <c r="F837" s="8">
        <f>IF($A837="","",PROPER(_xll.BDP($A837&amp;" Corp","COUNTRY_FULL_NAME")))</f>
        <v/>
      </c>
      <c r="G837" s="8">
        <f>IF($A837="","",_xll.BDP($A837&amp;" Corp","CRNCY"))</f>
        <v/>
      </c>
      <c r="H837" s="8">
        <f>IF($A837="","",IFERROR(INDEX(SYZ_static!$T$2:$T$806,MATCH($A837,SYZ_static!$A$2:$A$806,0)),_xll.BDP($A837&amp;" Corp","RTG_SP")))</f>
        <v/>
      </c>
      <c r="I837" s="8">
        <f>IF($A837="","",IFERROR(INDEX(SYZ_static!$S$2:$S$806,MATCH($A837,SYZ_static!$A$2:$A$806,0)),""))</f>
        <v/>
      </c>
      <c r="J837" s="8">
        <f>IF($A837="","",_xll.BDP($A837&amp;" Corp","PAYMENT_RANK"))</f>
        <v/>
      </c>
      <c r="K837" s="9">
        <f>IF($A837="","",_xll.BDP($A837&amp;" Corp","CPN"))</f>
        <v/>
      </c>
      <c r="L837" s="10">
        <f>IF($A837="","",_xll.BDP($A837&amp;" Corp","MATURITY"))</f>
        <v/>
      </c>
      <c r="M837" s="11">
        <f>IF($A837="","",IFERROR(_xll.BDP($A837&amp;" Corp","MIN_PIECE")/1000,""))</f>
        <v/>
      </c>
      <c r="N837" s="12">
        <f>IF($A837="","",_xll.BDP($A837&amp;" Corp","PX_LAST"))</f>
        <v/>
      </c>
      <c r="O837" s="12">
        <f>IF($A837="","",_xll.BDP($A837&amp;" Corp","YAS_BOND_YLD","YAS_YLD_FLAG=15"))</f>
        <v/>
      </c>
      <c r="P837" s="12">
        <f>IF($A837="","",_xll.BDP($A837&amp;" Corp","YAS_MOD_DUR"))</f>
        <v/>
      </c>
      <c r="Q837" s="13">
        <f>IF($A837="","",_xll.BDP($A837&amp;" Corp","YAS_OAS_SPRD"))</f>
        <v/>
      </c>
      <c r="R837" s="13">
        <f>IF($A837="","",_xll.BDP($A837&amp;" Corp","YAS_OAS_SPRD","SETTLE_DT",$B$2))</f>
        <v/>
      </c>
      <c r="S837" s="14">
        <f>IF($A837="","",IF(OR(NOT(ISNUMBER($Q837)),NOT(ISNUMBER($R837))),"",$Q837-$R837))</f>
        <v/>
      </c>
      <c r="T837" s="12">
        <f>IF($A837="","",_xll.BDP($A837&amp;" Corp","YAS_BOND_YLD","YAS_YLD_FLAG=15","SETTLE_DT",$B$2))</f>
        <v/>
      </c>
      <c r="U837" s="15">
        <f>IF($A837="","",IF(OR(NOT(ISNUMBER($O837)),NOT(ISNUMBER($T837))),"",$O837-$T837))</f>
        <v/>
      </c>
      <c r="V837" s="13">
        <f>IF(NOT(ISNUMBER($S837)),"",COUNTIFS($G$7:$G$850,$G837,$S$7:$S$850,"&gt;"&amp;$S837)+COUNTIFS($G$7:$G837,$G837,$S$7:$S837,$S837))</f>
        <v/>
      </c>
      <c r="W837" s="13">
        <f>IF(NOT(ISNUMBER($S837)),"",COUNTIFS($G$7:$G$850,$G837,$S$7:$S$850,"&lt;"&amp;$S837)+COUNTIFS($G$7:$G837,$G837,$S$7:$S837,$S837))</f>
        <v/>
      </c>
      <c r="X837" s="8">
        <f>IF($V837="","",$G837&amp;"|"&amp;$V837)</f>
        <v/>
      </c>
      <c r="Y837" s="8">
        <f>IF($W837="","",$G837&amp;"|"&amp;$W837)</f>
        <v/>
      </c>
    </row>
    <row r="838">
      <c r="A838" s="16" t="n"/>
      <c r="B838" s="17">
        <f>IF($A838="","",PROPER(_xll.BDP($A838&amp;" Corp","NAME")))</f>
        <v/>
      </c>
      <c r="C838" s="17">
        <f>IF($A838="","",IFERROR(INDEX(Company_desc!$B$2:$B$1144,MATCH($A838,Company_desc!$A$2:$A$1144,0)),IFERROR(INDEX(SYZ_static!$Q$2:$Q$806,MATCH($A838,SYZ_static!$A$2:$A$806,0)),"")))</f>
        <v/>
      </c>
      <c r="D838" s="17">
        <f>IF($A838="","",IFERROR(INDEX(SYZ_static!$B$2:$B$806,MATCH($A838,SYZ_static!$A$2:$A$806,0)),""))</f>
        <v/>
      </c>
      <c r="E838" s="17">
        <f>IF($A838="","",_xll.BDP($A838&amp;" Corp","INDUSTRY_SECTOR"))</f>
        <v/>
      </c>
      <c r="F838" s="17">
        <f>IF($A838="","",PROPER(_xll.BDP($A838&amp;" Corp","COUNTRY_FULL_NAME")))</f>
        <v/>
      </c>
      <c r="G838" s="17">
        <f>IF($A838="","",_xll.BDP($A838&amp;" Corp","CRNCY"))</f>
        <v/>
      </c>
      <c r="H838" s="17">
        <f>IF($A838="","",IFERROR(INDEX(SYZ_static!$T$2:$T$806,MATCH($A838,SYZ_static!$A$2:$A$806,0)),_xll.BDP($A838&amp;" Corp","RTG_SP")))</f>
        <v/>
      </c>
      <c r="I838" s="17">
        <f>IF($A838="","",IFERROR(INDEX(SYZ_static!$S$2:$S$806,MATCH($A838,SYZ_static!$A$2:$A$806,0)),""))</f>
        <v/>
      </c>
      <c r="J838" s="17">
        <f>IF($A838="","",_xll.BDP($A838&amp;" Corp","PAYMENT_RANK"))</f>
        <v/>
      </c>
      <c r="K838" s="18">
        <f>IF($A838="","",_xll.BDP($A838&amp;" Corp","CPN"))</f>
        <v/>
      </c>
      <c r="L838" s="19">
        <f>IF($A838="","",_xll.BDP($A838&amp;" Corp","MATURITY"))</f>
        <v/>
      </c>
      <c r="M838" s="20">
        <f>IF($A838="","",IFERROR(_xll.BDP($A838&amp;" Corp","MIN_PIECE")/1000,""))</f>
        <v/>
      </c>
      <c r="N838" s="21">
        <f>IF($A838="","",_xll.BDP($A838&amp;" Corp","PX_LAST"))</f>
        <v/>
      </c>
      <c r="O838" s="21">
        <f>IF($A838="","",_xll.BDP($A838&amp;" Corp","YAS_BOND_YLD","YAS_YLD_FLAG=15"))</f>
        <v/>
      </c>
      <c r="P838" s="21">
        <f>IF($A838="","",_xll.BDP($A838&amp;" Corp","YAS_MOD_DUR"))</f>
        <v/>
      </c>
      <c r="Q838" s="22">
        <f>IF($A838="","",_xll.BDP($A838&amp;" Corp","YAS_OAS_SPRD"))</f>
        <v/>
      </c>
      <c r="R838" s="22">
        <f>IF($A838="","",_xll.BDP($A838&amp;" Corp","YAS_OAS_SPRD","SETTLE_DT",$B$2))</f>
        <v/>
      </c>
      <c r="S838" s="23">
        <f>IF($A838="","",IF(OR(NOT(ISNUMBER($Q838)),NOT(ISNUMBER($R838))),"",$Q838-$R838))</f>
        <v/>
      </c>
      <c r="T838" s="21">
        <f>IF($A838="","",_xll.BDP($A838&amp;" Corp","YAS_BOND_YLD","YAS_YLD_FLAG=15","SETTLE_DT",$B$2))</f>
        <v/>
      </c>
      <c r="U838" s="24">
        <f>IF($A838="","",IF(OR(NOT(ISNUMBER($O838)),NOT(ISNUMBER($T838))),"",$O838-$T838))</f>
        <v/>
      </c>
      <c r="V838" s="22">
        <f>IF(NOT(ISNUMBER($S838)),"",COUNTIFS($G$7:$G$850,$G838,$S$7:$S$850,"&gt;"&amp;$S838)+COUNTIFS($G$7:$G838,$G838,$S$7:$S838,$S838))</f>
        <v/>
      </c>
      <c r="W838" s="22">
        <f>IF(NOT(ISNUMBER($S838)),"",COUNTIFS($G$7:$G$850,$G838,$S$7:$S$850,"&lt;"&amp;$S838)+COUNTIFS($G$7:$G838,$G838,$S$7:$S838,$S838))</f>
        <v/>
      </c>
      <c r="X838" s="17">
        <f>IF($V838="","",$G838&amp;"|"&amp;$V838)</f>
        <v/>
      </c>
      <c r="Y838" s="17">
        <f>IF($W838="","",$G838&amp;"|"&amp;$W838)</f>
        <v/>
      </c>
    </row>
    <row r="839">
      <c r="A839" s="7" t="n"/>
      <c r="B839" s="8">
        <f>IF($A839="","",PROPER(_xll.BDP($A839&amp;" Corp","NAME")))</f>
        <v/>
      </c>
      <c r="C839" s="8">
        <f>IF($A839="","",IFERROR(INDEX(Company_desc!$B$2:$B$1144,MATCH($A839,Company_desc!$A$2:$A$1144,0)),IFERROR(INDEX(SYZ_static!$Q$2:$Q$806,MATCH($A839,SYZ_static!$A$2:$A$806,0)),"")))</f>
        <v/>
      </c>
      <c r="D839" s="8">
        <f>IF($A839="","",IFERROR(INDEX(SYZ_static!$B$2:$B$806,MATCH($A839,SYZ_static!$A$2:$A$806,0)),""))</f>
        <v/>
      </c>
      <c r="E839" s="8">
        <f>IF($A839="","",_xll.BDP($A839&amp;" Corp","INDUSTRY_SECTOR"))</f>
        <v/>
      </c>
      <c r="F839" s="8">
        <f>IF($A839="","",PROPER(_xll.BDP($A839&amp;" Corp","COUNTRY_FULL_NAME")))</f>
        <v/>
      </c>
      <c r="G839" s="8">
        <f>IF($A839="","",_xll.BDP($A839&amp;" Corp","CRNCY"))</f>
        <v/>
      </c>
      <c r="H839" s="8">
        <f>IF($A839="","",IFERROR(INDEX(SYZ_static!$T$2:$T$806,MATCH($A839,SYZ_static!$A$2:$A$806,0)),_xll.BDP($A839&amp;" Corp","RTG_SP")))</f>
        <v/>
      </c>
      <c r="I839" s="8">
        <f>IF($A839="","",IFERROR(INDEX(SYZ_static!$S$2:$S$806,MATCH($A839,SYZ_static!$A$2:$A$806,0)),""))</f>
        <v/>
      </c>
      <c r="J839" s="8">
        <f>IF($A839="","",_xll.BDP($A839&amp;" Corp","PAYMENT_RANK"))</f>
        <v/>
      </c>
      <c r="K839" s="9">
        <f>IF($A839="","",_xll.BDP($A839&amp;" Corp","CPN"))</f>
        <v/>
      </c>
      <c r="L839" s="10">
        <f>IF($A839="","",_xll.BDP($A839&amp;" Corp","MATURITY"))</f>
        <v/>
      </c>
      <c r="M839" s="11">
        <f>IF($A839="","",IFERROR(_xll.BDP($A839&amp;" Corp","MIN_PIECE")/1000,""))</f>
        <v/>
      </c>
      <c r="N839" s="12">
        <f>IF($A839="","",_xll.BDP($A839&amp;" Corp","PX_LAST"))</f>
        <v/>
      </c>
      <c r="O839" s="12">
        <f>IF($A839="","",_xll.BDP($A839&amp;" Corp","YAS_BOND_YLD","YAS_YLD_FLAG=15"))</f>
        <v/>
      </c>
      <c r="P839" s="12">
        <f>IF($A839="","",_xll.BDP($A839&amp;" Corp","YAS_MOD_DUR"))</f>
        <v/>
      </c>
      <c r="Q839" s="13">
        <f>IF($A839="","",_xll.BDP($A839&amp;" Corp","YAS_OAS_SPRD"))</f>
        <v/>
      </c>
      <c r="R839" s="13">
        <f>IF($A839="","",_xll.BDP($A839&amp;" Corp","YAS_OAS_SPRD","SETTLE_DT",$B$2))</f>
        <v/>
      </c>
      <c r="S839" s="14">
        <f>IF($A839="","",IF(OR(NOT(ISNUMBER($Q839)),NOT(ISNUMBER($R839))),"",$Q839-$R839))</f>
        <v/>
      </c>
      <c r="T839" s="12">
        <f>IF($A839="","",_xll.BDP($A839&amp;" Corp","YAS_BOND_YLD","YAS_YLD_FLAG=15","SETTLE_DT",$B$2))</f>
        <v/>
      </c>
      <c r="U839" s="15">
        <f>IF($A839="","",IF(OR(NOT(ISNUMBER($O839)),NOT(ISNUMBER($T839))),"",$O839-$T839))</f>
        <v/>
      </c>
      <c r="V839" s="13">
        <f>IF(NOT(ISNUMBER($S839)),"",COUNTIFS($G$7:$G$850,$G839,$S$7:$S$850,"&gt;"&amp;$S839)+COUNTIFS($G$7:$G839,$G839,$S$7:$S839,$S839))</f>
        <v/>
      </c>
      <c r="W839" s="13">
        <f>IF(NOT(ISNUMBER($S839)),"",COUNTIFS($G$7:$G$850,$G839,$S$7:$S$850,"&lt;"&amp;$S839)+COUNTIFS($G$7:$G839,$G839,$S$7:$S839,$S839))</f>
        <v/>
      </c>
      <c r="X839" s="8">
        <f>IF($V839="","",$G839&amp;"|"&amp;$V839)</f>
        <v/>
      </c>
      <c r="Y839" s="8">
        <f>IF($W839="","",$G839&amp;"|"&amp;$W839)</f>
        <v/>
      </c>
    </row>
    <row r="840">
      <c r="A840" s="16" t="n"/>
      <c r="B840" s="17">
        <f>IF($A840="","",PROPER(_xll.BDP($A840&amp;" Corp","NAME")))</f>
        <v/>
      </c>
      <c r="C840" s="17">
        <f>IF($A840="","",IFERROR(INDEX(Company_desc!$B$2:$B$1144,MATCH($A840,Company_desc!$A$2:$A$1144,0)),IFERROR(INDEX(SYZ_static!$Q$2:$Q$806,MATCH($A840,SYZ_static!$A$2:$A$806,0)),"")))</f>
        <v/>
      </c>
      <c r="D840" s="17">
        <f>IF($A840="","",IFERROR(INDEX(SYZ_static!$B$2:$B$806,MATCH($A840,SYZ_static!$A$2:$A$806,0)),""))</f>
        <v/>
      </c>
      <c r="E840" s="17">
        <f>IF($A840="","",_xll.BDP($A840&amp;" Corp","INDUSTRY_SECTOR"))</f>
        <v/>
      </c>
      <c r="F840" s="17">
        <f>IF($A840="","",PROPER(_xll.BDP($A840&amp;" Corp","COUNTRY_FULL_NAME")))</f>
        <v/>
      </c>
      <c r="G840" s="17">
        <f>IF($A840="","",_xll.BDP($A840&amp;" Corp","CRNCY"))</f>
        <v/>
      </c>
      <c r="H840" s="17">
        <f>IF($A840="","",IFERROR(INDEX(SYZ_static!$T$2:$T$806,MATCH($A840,SYZ_static!$A$2:$A$806,0)),_xll.BDP($A840&amp;" Corp","RTG_SP")))</f>
        <v/>
      </c>
      <c r="I840" s="17">
        <f>IF($A840="","",IFERROR(INDEX(SYZ_static!$S$2:$S$806,MATCH($A840,SYZ_static!$A$2:$A$806,0)),""))</f>
        <v/>
      </c>
      <c r="J840" s="17">
        <f>IF($A840="","",_xll.BDP($A840&amp;" Corp","PAYMENT_RANK"))</f>
        <v/>
      </c>
      <c r="K840" s="18">
        <f>IF($A840="","",_xll.BDP($A840&amp;" Corp","CPN"))</f>
        <v/>
      </c>
      <c r="L840" s="19">
        <f>IF($A840="","",_xll.BDP($A840&amp;" Corp","MATURITY"))</f>
        <v/>
      </c>
      <c r="M840" s="20">
        <f>IF($A840="","",IFERROR(_xll.BDP($A840&amp;" Corp","MIN_PIECE")/1000,""))</f>
        <v/>
      </c>
      <c r="N840" s="21">
        <f>IF($A840="","",_xll.BDP($A840&amp;" Corp","PX_LAST"))</f>
        <v/>
      </c>
      <c r="O840" s="21">
        <f>IF($A840="","",_xll.BDP($A840&amp;" Corp","YAS_BOND_YLD","YAS_YLD_FLAG=15"))</f>
        <v/>
      </c>
      <c r="P840" s="21">
        <f>IF($A840="","",_xll.BDP($A840&amp;" Corp","YAS_MOD_DUR"))</f>
        <v/>
      </c>
      <c r="Q840" s="22">
        <f>IF($A840="","",_xll.BDP($A840&amp;" Corp","YAS_OAS_SPRD"))</f>
        <v/>
      </c>
      <c r="R840" s="22">
        <f>IF($A840="","",_xll.BDP($A840&amp;" Corp","YAS_OAS_SPRD","SETTLE_DT",$B$2))</f>
        <v/>
      </c>
      <c r="S840" s="23">
        <f>IF($A840="","",IF(OR(NOT(ISNUMBER($Q840)),NOT(ISNUMBER($R840))),"",$Q840-$R840))</f>
        <v/>
      </c>
      <c r="T840" s="21">
        <f>IF($A840="","",_xll.BDP($A840&amp;" Corp","YAS_BOND_YLD","YAS_YLD_FLAG=15","SETTLE_DT",$B$2))</f>
        <v/>
      </c>
      <c r="U840" s="24">
        <f>IF($A840="","",IF(OR(NOT(ISNUMBER($O840)),NOT(ISNUMBER($T840))),"",$O840-$T840))</f>
        <v/>
      </c>
      <c r="V840" s="22">
        <f>IF(NOT(ISNUMBER($S840)),"",COUNTIFS($G$7:$G$850,$G840,$S$7:$S$850,"&gt;"&amp;$S840)+COUNTIFS($G$7:$G840,$G840,$S$7:$S840,$S840))</f>
        <v/>
      </c>
      <c r="W840" s="22">
        <f>IF(NOT(ISNUMBER($S840)),"",COUNTIFS($G$7:$G$850,$G840,$S$7:$S$850,"&lt;"&amp;$S840)+COUNTIFS($G$7:$G840,$G840,$S$7:$S840,$S840))</f>
        <v/>
      </c>
      <c r="X840" s="17">
        <f>IF($V840="","",$G840&amp;"|"&amp;$V840)</f>
        <v/>
      </c>
      <c r="Y840" s="17">
        <f>IF($W840="","",$G840&amp;"|"&amp;$W840)</f>
        <v/>
      </c>
    </row>
    <row r="841">
      <c r="A841" s="7" t="n"/>
      <c r="B841" s="8">
        <f>IF($A841="","",PROPER(_xll.BDP($A841&amp;" Corp","NAME")))</f>
        <v/>
      </c>
      <c r="C841" s="8">
        <f>IF($A841="","",IFERROR(INDEX(Company_desc!$B$2:$B$1144,MATCH($A841,Company_desc!$A$2:$A$1144,0)),IFERROR(INDEX(SYZ_static!$Q$2:$Q$806,MATCH($A841,SYZ_static!$A$2:$A$806,0)),"")))</f>
        <v/>
      </c>
      <c r="D841" s="8">
        <f>IF($A841="","",IFERROR(INDEX(SYZ_static!$B$2:$B$806,MATCH($A841,SYZ_static!$A$2:$A$806,0)),""))</f>
        <v/>
      </c>
      <c r="E841" s="8">
        <f>IF($A841="","",_xll.BDP($A841&amp;" Corp","INDUSTRY_SECTOR"))</f>
        <v/>
      </c>
      <c r="F841" s="8">
        <f>IF($A841="","",PROPER(_xll.BDP($A841&amp;" Corp","COUNTRY_FULL_NAME")))</f>
        <v/>
      </c>
      <c r="G841" s="8">
        <f>IF($A841="","",_xll.BDP($A841&amp;" Corp","CRNCY"))</f>
        <v/>
      </c>
      <c r="H841" s="8">
        <f>IF($A841="","",IFERROR(INDEX(SYZ_static!$T$2:$T$806,MATCH($A841,SYZ_static!$A$2:$A$806,0)),_xll.BDP($A841&amp;" Corp","RTG_SP")))</f>
        <v/>
      </c>
      <c r="I841" s="8">
        <f>IF($A841="","",IFERROR(INDEX(SYZ_static!$S$2:$S$806,MATCH($A841,SYZ_static!$A$2:$A$806,0)),""))</f>
        <v/>
      </c>
      <c r="J841" s="8">
        <f>IF($A841="","",_xll.BDP($A841&amp;" Corp","PAYMENT_RANK"))</f>
        <v/>
      </c>
      <c r="K841" s="9">
        <f>IF($A841="","",_xll.BDP($A841&amp;" Corp","CPN"))</f>
        <v/>
      </c>
      <c r="L841" s="10">
        <f>IF($A841="","",_xll.BDP($A841&amp;" Corp","MATURITY"))</f>
        <v/>
      </c>
      <c r="M841" s="11">
        <f>IF($A841="","",IFERROR(_xll.BDP($A841&amp;" Corp","MIN_PIECE")/1000,""))</f>
        <v/>
      </c>
      <c r="N841" s="12">
        <f>IF($A841="","",_xll.BDP($A841&amp;" Corp","PX_LAST"))</f>
        <v/>
      </c>
      <c r="O841" s="12">
        <f>IF($A841="","",_xll.BDP($A841&amp;" Corp","YAS_BOND_YLD","YAS_YLD_FLAG=15"))</f>
        <v/>
      </c>
      <c r="P841" s="12">
        <f>IF($A841="","",_xll.BDP($A841&amp;" Corp","YAS_MOD_DUR"))</f>
        <v/>
      </c>
      <c r="Q841" s="13">
        <f>IF($A841="","",_xll.BDP($A841&amp;" Corp","YAS_OAS_SPRD"))</f>
        <v/>
      </c>
      <c r="R841" s="13">
        <f>IF($A841="","",_xll.BDP($A841&amp;" Corp","YAS_OAS_SPRD","SETTLE_DT",$B$2))</f>
        <v/>
      </c>
      <c r="S841" s="14">
        <f>IF($A841="","",IF(OR(NOT(ISNUMBER($Q841)),NOT(ISNUMBER($R841))),"",$Q841-$R841))</f>
        <v/>
      </c>
      <c r="T841" s="12">
        <f>IF($A841="","",_xll.BDP($A841&amp;" Corp","YAS_BOND_YLD","YAS_YLD_FLAG=15","SETTLE_DT",$B$2))</f>
        <v/>
      </c>
      <c r="U841" s="15">
        <f>IF($A841="","",IF(OR(NOT(ISNUMBER($O841)),NOT(ISNUMBER($T841))),"",$O841-$T841))</f>
        <v/>
      </c>
      <c r="V841" s="13">
        <f>IF(NOT(ISNUMBER($S841)),"",COUNTIFS($G$7:$G$850,$G841,$S$7:$S$850,"&gt;"&amp;$S841)+COUNTIFS($G$7:$G841,$G841,$S$7:$S841,$S841))</f>
        <v/>
      </c>
      <c r="W841" s="13">
        <f>IF(NOT(ISNUMBER($S841)),"",COUNTIFS($G$7:$G$850,$G841,$S$7:$S$850,"&lt;"&amp;$S841)+COUNTIFS($G$7:$G841,$G841,$S$7:$S841,$S841))</f>
        <v/>
      </c>
      <c r="X841" s="8">
        <f>IF($V841="","",$G841&amp;"|"&amp;$V841)</f>
        <v/>
      </c>
      <c r="Y841" s="8">
        <f>IF($W841="","",$G841&amp;"|"&amp;$W841)</f>
        <v/>
      </c>
    </row>
    <row r="842">
      <c r="A842" s="16" t="n"/>
      <c r="B842" s="17">
        <f>IF($A842="","",PROPER(_xll.BDP($A842&amp;" Corp","NAME")))</f>
        <v/>
      </c>
      <c r="C842" s="17">
        <f>IF($A842="","",IFERROR(INDEX(Company_desc!$B$2:$B$1144,MATCH($A842,Company_desc!$A$2:$A$1144,0)),IFERROR(INDEX(SYZ_static!$Q$2:$Q$806,MATCH($A842,SYZ_static!$A$2:$A$806,0)),"")))</f>
        <v/>
      </c>
      <c r="D842" s="17">
        <f>IF($A842="","",IFERROR(INDEX(SYZ_static!$B$2:$B$806,MATCH($A842,SYZ_static!$A$2:$A$806,0)),""))</f>
        <v/>
      </c>
      <c r="E842" s="17">
        <f>IF($A842="","",_xll.BDP($A842&amp;" Corp","INDUSTRY_SECTOR"))</f>
        <v/>
      </c>
      <c r="F842" s="17">
        <f>IF($A842="","",PROPER(_xll.BDP($A842&amp;" Corp","COUNTRY_FULL_NAME")))</f>
        <v/>
      </c>
      <c r="G842" s="17">
        <f>IF($A842="","",_xll.BDP($A842&amp;" Corp","CRNCY"))</f>
        <v/>
      </c>
      <c r="H842" s="17">
        <f>IF($A842="","",IFERROR(INDEX(SYZ_static!$T$2:$T$806,MATCH($A842,SYZ_static!$A$2:$A$806,0)),_xll.BDP($A842&amp;" Corp","RTG_SP")))</f>
        <v/>
      </c>
      <c r="I842" s="17">
        <f>IF($A842="","",IFERROR(INDEX(SYZ_static!$S$2:$S$806,MATCH($A842,SYZ_static!$A$2:$A$806,0)),""))</f>
        <v/>
      </c>
      <c r="J842" s="17">
        <f>IF($A842="","",_xll.BDP($A842&amp;" Corp","PAYMENT_RANK"))</f>
        <v/>
      </c>
      <c r="K842" s="18">
        <f>IF($A842="","",_xll.BDP($A842&amp;" Corp","CPN"))</f>
        <v/>
      </c>
      <c r="L842" s="19">
        <f>IF($A842="","",_xll.BDP($A842&amp;" Corp","MATURITY"))</f>
        <v/>
      </c>
      <c r="M842" s="20">
        <f>IF($A842="","",IFERROR(_xll.BDP($A842&amp;" Corp","MIN_PIECE")/1000,""))</f>
        <v/>
      </c>
      <c r="N842" s="21">
        <f>IF($A842="","",_xll.BDP($A842&amp;" Corp","PX_LAST"))</f>
        <v/>
      </c>
      <c r="O842" s="21">
        <f>IF($A842="","",_xll.BDP($A842&amp;" Corp","YAS_BOND_YLD","YAS_YLD_FLAG=15"))</f>
        <v/>
      </c>
      <c r="P842" s="21">
        <f>IF($A842="","",_xll.BDP($A842&amp;" Corp","YAS_MOD_DUR"))</f>
        <v/>
      </c>
      <c r="Q842" s="22">
        <f>IF($A842="","",_xll.BDP($A842&amp;" Corp","YAS_OAS_SPRD"))</f>
        <v/>
      </c>
      <c r="R842" s="22">
        <f>IF($A842="","",_xll.BDP($A842&amp;" Corp","YAS_OAS_SPRD","SETTLE_DT",$B$2))</f>
        <v/>
      </c>
      <c r="S842" s="23">
        <f>IF($A842="","",IF(OR(NOT(ISNUMBER($Q842)),NOT(ISNUMBER($R842))),"",$Q842-$R842))</f>
        <v/>
      </c>
      <c r="T842" s="21">
        <f>IF($A842="","",_xll.BDP($A842&amp;" Corp","YAS_BOND_YLD","YAS_YLD_FLAG=15","SETTLE_DT",$B$2))</f>
        <v/>
      </c>
      <c r="U842" s="24">
        <f>IF($A842="","",IF(OR(NOT(ISNUMBER($O842)),NOT(ISNUMBER($T842))),"",$O842-$T842))</f>
        <v/>
      </c>
      <c r="V842" s="22">
        <f>IF(NOT(ISNUMBER($S842)),"",COUNTIFS($G$7:$G$850,$G842,$S$7:$S$850,"&gt;"&amp;$S842)+COUNTIFS($G$7:$G842,$G842,$S$7:$S842,$S842))</f>
        <v/>
      </c>
      <c r="W842" s="22">
        <f>IF(NOT(ISNUMBER($S842)),"",COUNTIFS($G$7:$G$850,$G842,$S$7:$S$850,"&lt;"&amp;$S842)+COUNTIFS($G$7:$G842,$G842,$S$7:$S842,$S842))</f>
        <v/>
      </c>
      <c r="X842" s="17">
        <f>IF($V842="","",$G842&amp;"|"&amp;$V842)</f>
        <v/>
      </c>
      <c r="Y842" s="17">
        <f>IF($W842="","",$G842&amp;"|"&amp;$W842)</f>
        <v/>
      </c>
    </row>
    <row r="843">
      <c r="A843" s="7" t="n"/>
      <c r="B843" s="8">
        <f>IF($A843="","",PROPER(_xll.BDP($A843&amp;" Corp","NAME")))</f>
        <v/>
      </c>
      <c r="C843" s="8">
        <f>IF($A843="","",IFERROR(INDEX(Company_desc!$B$2:$B$1144,MATCH($A843,Company_desc!$A$2:$A$1144,0)),IFERROR(INDEX(SYZ_static!$Q$2:$Q$806,MATCH($A843,SYZ_static!$A$2:$A$806,0)),"")))</f>
        <v/>
      </c>
      <c r="D843" s="8">
        <f>IF($A843="","",IFERROR(INDEX(SYZ_static!$B$2:$B$806,MATCH($A843,SYZ_static!$A$2:$A$806,0)),""))</f>
        <v/>
      </c>
      <c r="E843" s="8">
        <f>IF($A843="","",_xll.BDP($A843&amp;" Corp","INDUSTRY_SECTOR"))</f>
        <v/>
      </c>
      <c r="F843" s="8">
        <f>IF($A843="","",PROPER(_xll.BDP($A843&amp;" Corp","COUNTRY_FULL_NAME")))</f>
        <v/>
      </c>
      <c r="G843" s="8">
        <f>IF($A843="","",_xll.BDP($A843&amp;" Corp","CRNCY"))</f>
        <v/>
      </c>
      <c r="H843" s="8">
        <f>IF($A843="","",IFERROR(INDEX(SYZ_static!$T$2:$T$806,MATCH($A843,SYZ_static!$A$2:$A$806,0)),_xll.BDP($A843&amp;" Corp","RTG_SP")))</f>
        <v/>
      </c>
      <c r="I843" s="8">
        <f>IF($A843="","",IFERROR(INDEX(SYZ_static!$S$2:$S$806,MATCH($A843,SYZ_static!$A$2:$A$806,0)),""))</f>
        <v/>
      </c>
      <c r="J843" s="8">
        <f>IF($A843="","",_xll.BDP($A843&amp;" Corp","PAYMENT_RANK"))</f>
        <v/>
      </c>
      <c r="K843" s="9">
        <f>IF($A843="","",_xll.BDP($A843&amp;" Corp","CPN"))</f>
        <v/>
      </c>
      <c r="L843" s="10">
        <f>IF($A843="","",_xll.BDP($A843&amp;" Corp","MATURITY"))</f>
        <v/>
      </c>
      <c r="M843" s="11">
        <f>IF($A843="","",IFERROR(_xll.BDP($A843&amp;" Corp","MIN_PIECE")/1000,""))</f>
        <v/>
      </c>
      <c r="N843" s="12">
        <f>IF($A843="","",_xll.BDP($A843&amp;" Corp","PX_LAST"))</f>
        <v/>
      </c>
      <c r="O843" s="12">
        <f>IF($A843="","",_xll.BDP($A843&amp;" Corp","YAS_BOND_YLD","YAS_YLD_FLAG=15"))</f>
        <v/>
      </c>
      <c r="P843" s="12">
        <f>IF($A843="","",_xll.BDP($A843&amp;" Corp","YAS_MOD_DUR"))</f>
        <v/>
      </c>
      <c r="Q843" s="13">
        <f>IF($A843="","",_xll.BDP($A843&amp;" Corp","YAS_OAS_SPRD"))</f>
        <v/>
      </c>
      <c r="R843" s="13">
        <f>IF($A843="","",_xll.BDP($A843&amp;" Corp","YAS_OAS_SPRD","SETTLE_DT",$B$2))</f>
        <v/>
      </c>
      <c r="S843" s="14">
        <f>IF($A843="","",IF(OR(NOT(ISNUMBER($Q843)),NOT(ISNUMBER($R843))),"",$Q843-$R843))</f>
        <v/>
      </c>
      <c r="T843" s="12">
        <f>IF($A843="","",_xll.BDP($A843&amp;" Corp","YAS_BOND_YLD","YAS_YLD_FLAG=15","SETTLE_DT",$B$2))</f>
        <v/>
      </c>
      <c r="U843" s="15">
        <f>IF($A843="","",IF(OR(NOT(ISNUMBER($O843)),NOT(ISNUMBER($T843))),"",$O843-$T843))</f>
        <v/>
      </c>
      <c r="V843" s="13">
        <f>IF(NOT(ISNUMBER($S843)),"",COUNTIFS($G$7:$G$850,$G843,$S$7:$S$850,"&gt;"&amp;$S843)+COUNTIFS($G$7:$G843,$G843,$S$7:$S843,$S843))</f>
        <v/>
      </c>
      <c r="W843" s="13">
        <f>IF(NOT(ISNUMBER($S843)),"",COUNTIFS($G$7:$G$850,$G843,$S$7:$S$850,"&lt;"&amp;$S843)+COUNTIFS($G$7:$G843,$G843,$S$7:$S843,$S843))</f>
        <v/>
      </c>
      <c r="X843" s="8">
        <f>IF($V843="","",$G843&amp;"|"&amp;$V843)</f>
        <v/>
      </c>
      <c r="Y843" s="8">
        <f>IF($W843="","",$G843&amp;"|"&amp;$W843)</f>
        <v/>
      </c>
    </row>
    <row r="844">
      <c r="A844" s="16" t="n"/>
      <c r="B844" s="17">
        <f>IF($A844="","",PROPER(_xll.BDP($A844&amp;" Corp","NAME")))</f>
        <v/>
      </c>
      <c r="C844" s="17">
        <f>IF($A844="","",IFERROR(INDEX(Company_desc!$B$2:$B$1144,MATCH($A844,Company_desc!$A$2:$A$1144,0)),IFERROR(INDEX(SYZ_static!$Q$2:$Q$806,MATCH($A844,SYZ_static!$A$2:$A$806,0)),"")))</f>
        <v/>
      </c>
      <c r="D844" s="17">
        <f>IF($A844="","",IFERROR(INDEX(SYZ_static!$B$2:$B$806,MATCH($A844,SYZ_static!$A$2:$A$806,0)),""))</f>
        <v/>
      </c>
      <c r="E844" s="17">
        <f>IF($A844="","",_xll.BDP($A844&amp;" Corp","INDUSTRY_SECTOR"))</f>
        <v/>
      </c>
      <c r="F844" s="17">
        <f>IF($A844="","",PROPER(_xll.BDP($A844&amp;" Corp","COUNTRY_FULL_NAME")))</f>
        <v/>
      </c>
      <c r="G844" s="17">
        <f>IF($A844="","",_xll.BDP($A844&amp;" Corp","CRNCY"))</f>
        <v/>
      </c>
      <c r="H844" s="17">
        <f>IF($A844="","",IFERROR(INDEX(SYZ_static!$T$2:$T$806,MATCH($A844,SYZ_static!$A$2:$A$806,0)),_xll.BDP($A844&amp;" Corp","RTG_SP")))</f>
        <v/>
      </c>
      <c r="I844" s="17">
        <f>IF($A844="","",IFERROR(INDEX(SYZ_static!$S$2:$S$806,MATCH($A844,SYZ_static!$A$2:$A$806,0)),""))</f>
        <v/>
      </c>
      <c r="J844" s="17">
        <f>IF($A844="","",_xll.BDP($A844&amp;" Corp","PAYMENT_RANK"))</f>
        <v/>
      </c>
      <c r="K844" s="18">
        <f>IF($A844="","",_xll.BDP($A844&amp;" Corp","CPN"))</f>
        <v/>
      </c>
      <c r="L844" s="19">
        <f>IF($A844="","",_xll.BDP($A844&amp;" Corp","MATURITY"))</f>
        <v/>
      </c>
      <c r="M844" s="20">
        <f>IF($A844="","",IFERROR(_xll.BDP($A844&amp;" Corp","MIN_PIECE")/1000,""))</f>
        <v/>
      </c>
      <c r="N844" s="21">
        <f>IF($A844="","",_xll.BDP($A844&amp;" Corp","PX_LAST"))</f>
        <v/>
      </c>
      <c r="O844" s="21">
        <f>IF($A844="","",_xll.BDP($A844&amp;" Corp","YAS_BOND_YLD","YAS_YLD_FLAG=15"))</f>
        <v/>
      </c>
      <c r="P844" s="21">
        <f>IF($A844="","",_xll.BDP($A844&amp;" Corp","YAS_MOD_DUR"))</f>
        <v/>
      </c>
      <c r="Q844" s="22">
        <f>IF($A844="","",_xll.BDP($A844&amp;" Corp","YAS_OAS_SPRD"))</f>
        <v/>
      </c>
      <c r="R844" s="22">
        <f>IF($A844="","",_xll.BDP($A844&amp;" Corp","YAS_OAS_SPRD","SETTLE_DT",$B$2))</f>
        <v/>
      </c>
      <c r="S844" s="23">
        <f>IF($A844="","",IF(OR(NOT(ISNUMBER($Q844)),NOT(ISNUMBER($R844))),"",$Q844-$R844))</f>
        <v/>
      </c>
      <c r="T844" s="21">
        <f>IF($A844="","",_xll.BDP($A844&amp;" Corp","YAS_BOND_YLD","YAS_YLD_FLAG=15","SETTLE_DT",$B$2))</f>
        <v/>
      </c>
      <c r="U844" s="24">
        <f>IF($A844="","",IF(OR(NOT(ISNUMBER($O844)),NOT(ISNUMBER($T844))),"",$O844-$T844))</f>
        <v/>
      </c>
      <c r="V844" s="22">
        <f>IF(NOT(ISNUMBER($S844)),"",COUNTIFS($G$7:$G$850,$G844,$S$7:$S$850,"&gt;"&amp;$S844)+COUNTIFS($G$7:$G844,$G844,$S$7:$S844,$S844))</f>
        <v/>
      </c>
      <c r="W844" s="22">
        <f>IF(NOT(ISNUMBER($S844)),"",COUNTIFS($G$7:$G$850,$G844,$S$7:$S$850,"&lt;"&amp;$S844)+COUNTIFS($G$7:$G844,$G844,$S$7:$S844,$S844))</f>
        <v/>
      </c>
      <c r="X844" s="17">
        <f>IF($V844="","",$G844&amp;"|"&amp;$V844)</f>
        <v/>
      </c>
      <c r="Y844" s="17">
        <f>IF($W844="","",$G844&amp;"|"&amp;$W844)</f>
        <v/>
      </c>
    </row>
    <row r="845">
      <c r="A845" s="7" t="n"/>
      <c r="B845" s="8">
        <f>IF($A845="","",PROPER(_xll.BDP($A845&amp;" Corp","NAME")))</f>
        <v/>
      </c>
      <c r="C845" s="8">
        <f>IF($A845="","",IFERROR(INDEX(Company_desc!$B$2:$B$1144,MATCH($A845,Company_desc!$A$2:$A$1144,0)),IFERROR(INDEX(SYZ_static!$Q$2:$Q$806,MATCH($A845,SYZ_static!$A$2:$A$806,0)),"")))</f>
        <v/>
      </c>
      <c r="D845" s="8">
        <f>IF($A845="","",IFERROR(INDEX(SYZ_static!$B$2:$B$806,MATCH($A845,SYZ_static!$A$2:$A$806,0)),""))</f>
        <v/>
      </c>
      <c r="E845" s="8">
        <f>IF($A845="","",_xll.BDP($A845&amp;" Corp","INDUSTRY_SECTOR"))</f>
        <v/>
      </c>
      <c r="F845" s="8">
        <f>IF($A845="","",PROPER(_xll.BDP($A845&amp;" Corp","COUNTRY_FULL_NAME")))</f>
        <v/>
      </c>
      <c r="G845" s="8">
        <f>IF($A845="","",_xll.BDP($A845&amp;" Corp","CRNCY"))</f>
        <v/>
      </c>
      <c r="H845" s="8">
        <f>IF($A845="","",IFERROR(INDEX(SYZ_static!$T$2:$T$806,MATCH($A845,SYZ_static!$A$2:$A$806,0)),_xll.BDP($A845&amp;" Corp","RTG_SP")))</f>
        <v/>
      </c>
      <c r="I845" s="8">
        <f>IF($A845="","",IFERROR(INDEX(SYZ_static!$S$2:$S$806,MATCH($A845,SYZ_static!$A$2:$A$806,0)),""))</f>
        <v/>
      </c>
      <c r="J845" s="8">
        <f>IF($A845="","",_xll.BDP($A845&amp;" Corp","PAYMENT_RANK"))</f>
        <v/>
      </c>
      <c r="K845" s="9">
        <f>IF($A845="","",_xll.BDP($A845&amp;" Corp","CPN"))</f>
        <v/>
      </c>
      <c r="L845" s="10">
        <f>IF($A845="","",_xll.BDP($A845&amp;" Corp","MATURITY"))</f>
        <v/>
      </c>
      <c r="M845" s="11">
        <f>IF($A845="","",IFERROR(_xll.BDP($A845&amp;" Corp","MIN_PIECE")/1000,""))</f>
        <v/>
      </c>
      <c r="N845" s="12">
        <f>IF($A845="","",_xll.BDP($A845&amp;" Corp","PX_LAST"))</f>
        <v/>
      </c>
      <c r="O845" s="12">
        <f>IF($A845="","",_xll.BDP($A845&amp;" Corp","YAS_BOND_YLD","YAS_YLD_FLAG=15"))</f>
        <v/>
      </c>
      <c r="P845" s="12">
        <f>IF($A845="","",_xll.BDP($A845&amp;" Corp","YAS_MOD_DUR"))</f>
        <v/>
      </c>
      <c r="Q845" s="13">
        <f>IF($A845="","",_xll.BDP($A845&amp;" Corp","YAS_OAS_SPRD"))</f>
        <v/>
      </c>
      <c r="R845" s="13">
        <f>IF($A845="","",_xll.BDP($A845&amp;" Corp","YAS_OAS_SPRD","SETTLE_DT",$B$2))</f>
        <v/>
      </c>
      <c r="S845" s="14">
        <f>IF($A845="","",IF(OR(NOT(ISNUMBER($Q845)),NOT(ISNUMBER($R845))),"",$Q845-$R845))</f>
        <v/>
      </c>
      <c r="T845" s="12">
        <f>IF($A845="","",_xll.BDP($A845&amp;" Corp","YAS_BOND_YLD","YAS_YLD_FLAG=15","SETTLE_DT",$B$2))</f>
        <v/>
      </c>
      <c r="U845" s="15">
        <f>IF($A845="","",IF(OR(NOT(ISNUMBER($O845)),NOT(ISNUMBER($T845))),"",$O845-$T845))</f>
        <v/>
      </c>
      <c r="V845" s="13">
        <f>IF(NOT(ISNUMBER($S845)),"",COUNTIFS($G$7:$G$850,$G845,$S$7:$S$850,"&gt;"&amp;$S845)+COUNTIFS($G$7:$G845,$G845,$S$7:$S845,$S845))</f>
        <v/>
      </c>
      <c r="W845" s="13">
        <f>IF(NOT(ISNUMBER($S845)),"",COUNTIFS($G$7:$G$850,$G845,$S$7:$S$850,"&lt;"&amp;$S845)+COUNTIFS($G$7:$G845,$G845,$S$7:$S845,$S845))</f>
        <v/>
      </c>
      <c r="X845" s="8">
        <f>IF($V845="","",$G845&amp;"|"&amp;$V845)</f>
        <v/>
      </c>
      <c r="Y845" s="8">
        <f>IF($W845="","",$G845&amp;"|"&amp;$W845)</f>
        <v/>
      </c>
    </row>
    <row r="846">
      <c r="A846" s="16" t="n"/>
      <c r="B846" s="17">
        <f>IF($A846="","",PROPER(_xll.BDP($A846&amp;" Corp","NAME")))</f>
        <v/>
      </c>
      <c r="C846" s="17">
        <f>IF($A846="","",IFERROR(INDEX(Company_desc!$B$2:$B$1144,MATCH($A846,Company_desc!$A$2:$A$1144,0)),IFERROR(INDEX(SYZ_static!$Q$2:$Q$806,MATCH($A846,SYZ_static!$A$2:$A$806,0)),"")))</f>
        <v/>
      </c>
      <c r="D846" s="17">
        <f>IF($A846="","",IFERROR(INDEX(SYZ_static!$B$2:$B$806,MATCH($A846,SYZ_static!$A$2:$A$806,0)),""))</f>
        <v/>
      </c>
      <c r="E846" s="17">
        <f>IF($A846="","",_xll.BDP($A846&amp;" Corp","INDUSTRY_SECTOR"))</f>
        <v/>
      </c>
      <c r="F846" s="17">
        <f>IF($A846="","",PROPER(_xll.BDP($A846&amp;" Corp","COUNTRY_FULL_NAME")))</f>
        <v/>
      </c>
      <c r="G846" s="17">
        <f>IF($A846="","",_xll.BDP($A846&amp;" Corp","CRNCY"))</f>
        <v/>
      </c>
      <c r="H846" s="17">
        <f>IF($A846="","",IFERROR(INDEX(SYZ_static!$T$2:$T$806,MATCH($A846,SYZ_static!$A$2:$A$806,0)),_xll.BDP($A846&amp;" Corp","RTG_SP")))</f>
        <v/>
      </c>
      <c r="I846" s="17">
        <f>IF($A846="","",IFERROR(INDEX(SYZ_static!$S$2:$S$806,MATCH($A846,SYZ_static!$A$2:$A$806,0)),""))</f>
        <v/>
      </c>
      <c r="J846" s="17">
        <f>IF($A846="","",_xll.BDP($A846&amp;" Corp","PAYMENT_RANK"))</f>
        <v/>
      </c>
      <c r="K846" s="18">
        <f>IF($A846="","",_xll.BDP($A846&amp;" Corp","CPN"))</f>
        <v/>
      </c>
      <c r="L846" s="19">
        <f>IF($A846="","",_xll.BDP($A846&amp;" Corp","MATURITY"))</f>
        <v/>
      </c>
      <c r="M846" s="20">
        <f>IF($A846="","",IFERROR(_xll.BDP($A846&amp;" Corp","MIN_PIECE")/1000,""))</f>
        <v/>
      </c>
      <c r="N846" s="21">
        <f>IF($A846="","",_xll.BDP($A846&amp;" Corp","PX_LAST"))</f>
        <v/>
      </c>
      <c r="O846" s="21">
        <f>IF($A846="","",_xll.BDP($A846&amp;" Corp","YAS_BOND_YLD","YAS_YLD_FLAG=15"))</f>
        <v/>
      </c>
      <c r="P846" s="21">
        <f>IF($A846="","",_xll.BDP($A846&amp;" Corp","YAS_MOD_DUR"))</f>
        <v/>
      </c>
      <c r="Q846" s="22">
        <f>IF($A846="","",_xll.BDP($A846&amp;" Corp","YAS_OAS_SPRD"))</f>
        <v/>
      </c>
      <c r="R846" s="22">
        <f>IF($A846="","",_xll.BDP($A846&amp;" Corp","YAS_OAS_SPRD","SETTLE_DT",$B$2))</f>
        <v/>
      </c>
      <c r="S846" s="23">
        <f>IF($A846="","",IF(OR(NOT(ISNUMBER($Q846)),NOT(ISNUMBER($R846))),"",$Q846-$R846))</f>
        <v/>
      </c>
      <c r="T846" s="21">
        <f>IF($A846="","",_xll.BDP($A846&amp;" Corp","YAS_BOND_YLD","YAS_YLD_FLAG=15","SETTLE_DT",$B$2))</f>
        <v/>
      </c>
      <c r="U846" s="24">
        <f>IF($A846="","",IF(OR(NOT(ISNUMBER($O846)),NOT(ISNUMBER($T846))),"",$O846-$T846))</f>
        <v/>
      </c>
      <c r="V846" s="22">
        <f>IF(NOT(ISNUMBER($S846)),"",COUNTIFS($G$7:$G$850,$G846,$S$7:$S$850,"&gt;"&amp;$S846)+COUNTIFS($G$7:$G846,$G846,$S$7:$S846,$S846))</f>
        <v/>
      </c>
      <c r="W846" s="22">
        <f>IF(NOT(ISNUMBER($S846)),"",COUNTIFS($G$7:$G$850,$G846,$S$7:$S$850,"&lt;"&amp;$S846)+COUNTIFS($G$7:$G846,$G846,$S$7:$S846,$S846))</f>
        <v/>
      </c>
      <c r="X846" s="17">
        <f>IF($V846="","",$G846&amp;"|"&amp;$V846)</f>
        <v/>
      </c>
      <c r="Y846" s="17">
        <f>IF($W846="","",$G846&amp;"|"&amp;$W846)</f>
        <v/>
      </c>
    </row>
    <row r="847">
      <c r="A847" s="7" t="n"/>
      <c r="B847" s="8">
        <f>IF($A847="","",PROPER(_xll.BDP($A847&amp;" Corp","NAME")))</f>
        <v/>
      </c>
      <c r="C847" s="8">
        <f>IF($A847="","",IFERROR(INDEX(Company_desc!$B$2:$B$1144,MATCH($A847,Company_desc!$A$2:$A$1144,0)),IFERROR(INDEX(SYZ_static!$Q$2:$Q$806,MATCH($A847,SYZ_static!$A$2:$A$806,0)),"")))</f>
        <v/>
      </c>
      <c r="D847" s="8">
        <f>IF($A847="","",IFERROR(INDEX(SYZ_static!$B$2:$B$806,MATCH($A847,SYZ_static!$A$2:$A$806,0)),""))</f>
        <v/>
      </c>
      <c r="E847" s="8">
        <f>IF($A847="","",_xll.BDP($A847&amp;" Corp","INDUSTRY_SECTOR"))</f>
        <v/>
      </c>
      <c r="F847" s="8">
        <f>IF($A847="","",PROPER(_xll.BDP($A847&amp;" Corp","COUNTRY_FULL_NAME")))</f>
        <v/>
      </c>
      <c r="G847" s="8">
        <f>IF($A847="","",_xll.BDP($A847&amp;" Corp","CRNCY"))</f>
        <v/>
      </c>
      <c r="H847" s="8">
        <f>IF($A847="","",IFERROR(INDEX(SYZ_static!$T$2:$T$806,MATCH($A847,SYZ_static!$A$2:$A$806,0)),_xll.BDP($A847&amp;" Corp","RTG_SP")))</f>
        <v/>
      </c>
      <c r="I847" s="8">
        <f>IF($A847="","",IFERROR(INDEX(SYZ_static!$S$2:$S$806,MATCH($A847,SYZ_static!$A$2:$A$806,0)),""))</f>
        <v/>
      </c>
      <c r="J847" s="8">
        <f>IF($A847="","",_xll.BDP($A847&amp;" Corp","PAYMENT_RANK"))</f>
        <v/>
      </c>
      <c r="K847" s="9">
        <f>IF($A847="","",_xll.BDP($A847&amp;" Corp","CPN"))</f>
        <v/>
      </c>
      <c r="L847" s="10">
        <f>IF($A847="","",_xll.BDP($A847&amp;" Corp","MATURITY"))</f>
        <v/>
      </c>
      <c r="M847" s="11">
        <f>IF($A847="","",IFERROR(_xll.BDP($A847&amp;" Corp","MIN_PIECE")/1000,""))</f>
        <v/>
      </c>
      <c r="N847" s="12">
        <f>IF($A847="","",_xll.BDP($A847&amp;" Corp","PX_LAST"))</f>
        <v/>
      </c>
      <c r="O847" s="12">
        <f>IF($A847="","",_xll.BDP($A847&amp;" Corp","YAS_BOND_YLD","YAS_YLD_FLAG=15"))</f>
        <v/>
      </c>
      <c r="P847" s="12">
        <f>IF($A847="","",_xll.BDP($A847&amp;" Corp","YAS_MOD_DUR"))</f>
        <v/>
      </c>
      <c r="Q847" s="13">
        <f>IF($A847="","",_xll.BDP($A847&amp;" Corp","YAS_OAS_SPRD"))</f>
        <v/>
      </c>
      <c r="R847" s="13">
        <f>IF($A847="","",_xll.BDP($A847&amp;" Corp","YAS_OAS_SPRD","SETTLE_DT",$B$2))</f>
        <v/>
      </c>
      <c r="S847" s="14">
        <f>IF($A847="","",IF(OR(NOT(ISNUMBER($Q847)),NOT(ISNUMBER($R847))),"",$Q847-$R847))</f>
        <v/>
      </c>
      <c r="T847" s="12">
        <f>IF($A847="","",_xll.BDP($A847&amp;" Corp","YAS_BOND_YLD","YAS_YLD_FLAG=15","SETTLE_DT",$B$2))</f>
        <v/>
      </c>
      <c r="U847" s="15">
        <f>IF($A847="","",IF(OR(NOT(ISNUMBER($O847)),NOT(ISNUMBER($T847))),"",$O847-$T847))</f>
        <v/>
      </c>
      <c r="V847" s="13">
        <f>IF(NOT(ISNUMBER($S847)),"",COUNTIFS($G$7:$G$850,$G847,$S$7:$S$850,"&gt;"&amp;$S847)+COUNTIFS($G$7:$G847,$G847,$S$7:$S847,$S847))</f>
        <v/>
      </c>
      <c r="W847" s="13">
        <f>IF(NOT(ISNUMBER($S847)),"",COUNTIFS($G$7:$G$850,$G847,$S$7:$S$850,"&lt;"&amp;$S847)+COUNTIFS($G$7:$G847,$G847,$S$7:$S847,$S847))</f>
        <v/>
      </c>
      <c r="X847" s="8">
        <f>IF($V847="","",$G847&amp;"|"&amp;$V847)</f>
        <v/>
      </c>
      <c r="Y847" s="8">
        <f>IF($W847="","",$G847&amp;"|"&amp;$W847)</f>
        <v/>
      </c>
    </row>
    <row r="848">
      <c r="A848" s="16" t="n"/>
      <c r="B848" s="17">
        <f>IF($A848="","",PROPER(_xll.BDP($A848&amp;" Corp","NAME")))</f>
        <v/>
      </c>
      <c r="C848" s="17">
        <f>IF($A848="","",IFERROR(INDEX(Company_desc!$B$2:$B$1144,MATCH($A848,Company_desc!$A$2:$A$1144,0)),IFERROR(INDEX(SYZ_static!$Q$2:$Q$806,MATCH($A848,SYZ_static!$A$2:$A$806,0)),"")))</f>
        <v/>
      </c>
      <c r="D848" s="17">
        <f>IF($A848="","",IFERROR(INDEX(SYZ_static!$B$2:$B$806,MATCH($A848,SYZ_static!$A$2:$A$806,0)),""))</f>
        <v/>
      </c>
      <c r="E848" s="17">
        <f>IF($A848="","",_xll.BDP($A848&amp;" Corp","INDUSTRY_SECTOR"))</f>
        <v/>
      </c>
      <c r="F848" s="17">
        <f>IF($A848="","",PROPER(_xll.BDP($A848&amp;" Corp","COUNTRY_FULL_NAME")))</f>
        <v/>
      </c>
      <c r="G848" s="17">
        <f>IF($A848="","",_xll.BDP($A848&amp;" Corp","CRNCY"))</f>
        <v/>
      </c>
      <c r="H848" s="17">
        <f>IF($A848="","",IFERROR(INDEX(SYZ_static!$T$2:$T$806,MATCH($A848,SYZ_static!$A$2:$A$806,0)),_xll.BDP($A848&amp;" Corp","RTG_SP")))</f>
        <v/>
      </c>
      <c r="I848" s="17">
        <f>IF($A848="","",IFERROR(INDEX(SYZ_static!$S$2:$S$806,MATCH($A848,SYZ_static!$A$2:$A$806,0)),""))</f>
        <v/>
      </c>
      <c r="J848" s="17">
        <f>IF($A848="","",_xll.BDP($A848&amp;" Corp","PAYMENT_RANK"))</f>
        <v/>
      </c>
      <c r="K848" s="18">
        <f>IF($A848="","",_xll.BDP($A848&amp;" Corp","CPN"))</f>
        <v/>
      </c>
      <c r="L848" s="19">
        <f>IF($A848="","",_xll.BDP($A848&amp;" Corp","MATURITY"))</f>
        <v/>
      </c>
      <c r="M848" s="20">
        <f>IF($A848="","",IFERROR(_xll.BDP($A848&amp;" Corp","MIN_PIECE")/1000,""))</f>
        <v/>
      </c>
      <c r="N848" s="21">
        <f>IF($A848="","",_xll.BDP($A848&amp;" Corp","PX_LAST"))</f>
        <v/>
      </c>
      <c r="O848" s="21">
        <f>IF($A848="","",_xll.BDP($A848&amp;" Corp","YAS_BOND_YLD","YAS_YLD_FLAG=15"))</f>
        <v/>
      </c>
      <c r="P848" s="21">
        <f>IF($A848="","",_xll.BDP($A848&amp;" Corp","YAS_MOD_DUR"))</f>
        <v/>
      </c>
      <c r="Q848" s="22">
        <f>IF($A848="","",_xll.BDP($A848&amp;" Corp","YAS_OAS_SPRD"))</f>
        <v/>
      </c>
      <c r="R848" s="22">
        <f>IF($A848="","",_xll.BDP($A848&amp;" Corp","YAS_OAS_SPRD","SETTLE_DT",$B$2))</f>
        <v/>
      </c>
      <c r="S848" s="23">
        <f>IF($A848="","",IF(OR(NOT(ISNUMBER($Q848)),NOT(ISNUMBER($R848))),"",$Q848-$R848))</f>
        <v/>
      </c>
      <c r="T848" s="21">
        <f>IF($A848="","",_xll.BDP($A848&amp;" Corp","YAS_BOND_YLD","YAS_YLD_FLAG=15","SETTLE_DT",$B$2))</f>
        <v/>
      </c>
      <c r="U848" s="24">
        <f>IF($A848="","",IF(OR(NOT(ISNUMBER($O848)),NOT(ISNUMBER($T848))),"",$O848-$T848))</f>
        <v/>
      </c>
      <c r="V848" s="22">
        <f>IF(NOT(ISNUMBER($S848)),"",COUNTIFS($G$7:$G$850,$G848,$S$7:$S$850,"&gt;"&amp;$S848)+COUNTIFS($G$7:$G848,$G848,$S$7:$S848,$S848))</f>
        <v/>
      </c>
      <c r="W848" s="22">
        <f>IF(NOT(ISNUMBER($S848)),"",COUNTIFS($G$7:$G$850,$G848,$S$7:$S$850,"&lt;"&amp;$S848)+COUNTIFS($G$7:$G848,$G848,$S$7:$S848,$S848))</f>
        <v/>
      </c>
      <c r="X848" s="17">
        <f>IF($V848="","",$G848&amp;"|"&amp;$V848)</f>
        <v/>
      </c>
      <c r="Y848" s="17">
        <f>IF($W848="","",$G848&amp;"|"&amp;$W848)</f>
        <v/>
      </c>
    </row>
    <row r="849">
      <c r="A849" s="7" t="n"/>
      <c r="B849" s="8">
        <f>IF($A849="","",PROPER(_xll.BDP($A849&amp;" Corp","NAME")))</f>
        <v/>
      </c>
      <c r="C849" s="8">
        <f>IF($A849="","",IFERROR(INDEX(Company_desc!$B$2:$B$1144,MATCH($A849,Company_desc!$A$2:$A$1144,0)),IFERROR(INDEX(SYZ_static!$Q$2:$Q$806,MATCH($A849,SYZ_static!$A$2:$A$806,0)),"")))</f>
        <v/>
      </c>
      <c r="D849" s="8">
        <f>IF($A849="","",IFERROR(INDEX(SYZ_static!$B$2:$B$806,MATCH($A849,SYZ_static!$A$2:$A$806,0)),""))</f>
        <v/>
      </c>
      <c r="E849" s="8">
        <f>IF($A849="","",_xll.BDP($A849&amp;" Corp","INDUSTRY_SECTOR"))</f>
        <v/>
      </c>
      <c r="F849" s="8">
        <f>IF($A849="","",PROPER(_xll.BDP($A849&amp;" Corp","COUNTRY_FULL_NAME")))</f>
        <v/>
      </c>
      <c r="G849" s="8">
        <f>IF($A849="","",_xll.BDP($A849&amp;" Corp","CRNCY"))</f>
        <v/>
      </c>
      <c r="H849" s="8">
        <f>IF($A849="","",IFERROR(INDEX(SYZ_static!$T$2:$T$806,MATCH($A849,SYZ_static!$A$2:$A$806,0)),_xll.BDP($A849&amp;" Corp","RTG_SP")))</f>
        <v/>
      </c>
      <c r="I849" s="8">
        <f>IF($A849="","",IFERROR(INDEX(SYZ_static!$S$2:$S$806,MATCH($A849,SYZ_static!$A$2:$A$806,0)),""))</f>
        <v/>
      </c>
      <c r="J849" s="8">
        <f>IF($A849="","",_xll.BDP($A849&amp;" Corp","PAYMENT_RANK"))</f>
        <v/>
      </c>
      <c r="K849" s="9">
        <f>IF($A849="","",_xll.BDP($A849&amp;" Corp","CPN"))</f>
        <v/>
      </c>
      <c r="L849" s="10">
        <f>IF($A849="","",_xll.BDP($A849&amp;" Corp","MATURITY"))</f>
        <v/>
      </c>
      <c r="M849" s="11">
        <f>IF($A849="","",IFERROR(_xll.BDP($A849&amp;" Corp","MIN_PIECE")/1000,""))</f>
        <v/>
      </c>
      <c r="N849" s="12">
        <f>IF($A849="","",_xll.BDP($A849&amp;" Corp","PX_LAST"))</f>
        <v/>
      </c>
      <c r="O849" s="12">
        <f>IF($A849="","",_xll.BDP($A849&amp;" Corp","YAS_BOND_YLD","YAS_YLD_FLAG=15"))</f>
        <v/>
      </c>
      <c r="P849" s="12">
        <f>IF($A849="","",_xll.BDP($A849&amp;" Corp","YAS_MOD_DUR"))</f>
        <v/>
      </c>
      <c r="Q849" s="13">
        <f>IF($A849="","",_xll.BDP($A849&amp;" Corp","YAS_OAS_SPRD"))</f>
        <v/>
      </c>
      <c r="R849" s="13">
        <f>IF($A849="","",_xll.BDP($A849&amp;" Corp","YAS_OAS_SPRD","SETTLE_DT",$B$2))</f>
        <v/>
      </c>
      <c r="S849" s="14">
        <f>IF($A849="","",IF(OR(NOT(ISNUMBER($Q849)),NOT(ISNUMBER($R849))),"",$Q849-$R849))</f>
        <v/>
      </c>
      <c r="T849" s="12">
        <f>IF($A849="","",_xll.BDP($A849&amp;" Corp","YAS_BOND_YLD","YAS_YLD_FLAG=15","SETTLE_DT",$B$2))</f>
        <v/>
      </c>
      <c r="U849" s="15">
        <f>IF($A849="","",IF(OR(NOT(ISNUMBER($O849)),NOT(ISNUMBER($T849))),"",$O849-$T849))</f>
        <v/>
      </c>
      <c r="V849" s="13">
        <f>IF(NOT(ISNUMBER($S849)),"",COUNTIFS($G$7:$G$850,$G849,$S$7:$S$850,"&gt;"&amp;$S849)+COUNTIFS($G$7:$G849,$G849,$S$7:$S849,$S849))</f>
        <v/>
      </c>
      <c r="W849" s="13">
        <f>IF(NOT(ISNUMBER($S849)),"",COUNTIFS($G$7:$G$850,$G849,$S$7:$S$850,"&lt;"&amp;$S849)+COUNTIFS($G$7:$G849,$G849,$S$7:$S849,$S849))</f>
        <v/>
      </c>
      <c r="X849" s="8">
        <f>IF($V849="","",$G849&amp;"|"&amp;$V849)</f>
        <v/>
      </c>
      <c r="Y849" s="8">
        <f>IF($W849="","",$G849&amp;"|"&amp;$W849)</f>
        <v/>
      </c>
    </row>
    <row r="850">
      <c r="A850" s="16" t="n"/>
      <c r="B850" s="17">
        <f>IF($A850="","",PROPER(_xll.BDP($A850&amp;" Corp","NAME")))</f>
        <v/>
      </c>
      <c r="C850" s="17">
        <f>IF($A850="","",IFERROR(INDEX(Company_desc!$B$2:$B$1144,MATCH($A850,Company_desc!$A$2:$A$1144,0)),IFERROR(INDEX(SYZ_static!$Q$2:$Q$806,MATCH($A850,SYZ_static!$A$2:$A$806,0)),"")))</f>
        <v/>
      </c>
      <c r="D850" s="17">
        <f>IF($A850="","",IFERROR(INDEX(SYZ_static!$B$2:$B$806,MATCH($A850,SYZ_static!$A$2:$A$806,0)),""))</f>
        <v/>
      </c>
      <c r="E850" s="17">
        <f>IF($A850="","",_xll.BDP($A850&amp;" Corp","INDUSTRY_SECTOR"))</f>
        <v/>
      </c>
      <c r="F850" s="17">
        <f>IF($A850="","",PROPER(_xll.BDP($A850&amp;" Corp","COUNTRY_FULL_NAME")))</f>
        <v/>
      </c>
      <c r="G850" s="17">
        <f>IF($A850="","",_xll.BDP($A850&amp;" Corp","CRNCY"))</f>
        <v/>
      </c>
      <c r="H850" s="17">
        <f>IF($A850="","",IFERROR(INDEX(SYZ_static!$T$2:$T$806,MATCH($A850,SYZ_static!$A$2:$A$806,0)),_xll.BDP($A850&amp;" Corp","RTG_SP")))</f>
        <v/>
      </c>
      <c r="I850" s="17">
        <f>IF($A850="","",IFERROR(INDEX(SYZ_static!$S$2:$S$806,MATCH($A850,SYZ_static!$A$2:$A$806,0)),""))</f>
        <v/>
      </c>
      <c r="J850" s="17">
        <f>IF($A850="","",_xll.BDP($A850&amp;" Corp","PAYMENT_RANK"))</f>
        <v/>
      </c>
      <c r="K850" s="18">
        <f>IF($A850="","",_xll.BDP($A850&amp;" Corp","CPN"))</f>
        <v/>
      </c>
      <c r="L850" s="19">
        <f>IF($A850="","",_xll.BDP($A850&amp;" Corp","MATURITY"))</f>
        <v/>
      </c>
      <c r="M850" s="20">
        <f>IF($A850="","",IFERROR(_xll.BDP($A850&amp;" Corp","MIN_PIECE")/1000,""))</f>
        <v/>
      </c>
      <c r="N850" s="21">
        <f>IF($A850="","",_xll.BDP($A850&amp;" Corp","PX_LAST"))</f>
        <v/>
      </c>
      <c r="O850" s="21">
        <f>IF($A850="","",_xll.BDP($A850&amp;" Corp","YAS_BOND_YLD","YAS_YLD_FLAG=15"))</f>
        <v/>
      </c>
      <c r="P850" s="21">
        <f>IF($A850="","",_xll.BDP($A850&amp;" Corp","YAS_MOD_DUR"))</f>
        <v/>
      </c>
      <c r="Q850" s="22">
        <f>IF($A850="","",_xll.BDP($A850&amp;" Corp","YAS_OAS_SPRD"))</f>
        <v/>
      </c>
      <c r="R850" s="22">
        <f>IF($A850="","",_xll.BDP($A850&amp;" Corp","YAS_OAS_SPRD","SETTLE_DT",$B$2))</f>
        <v/>
      </c>
      <c r="S850" s="23">
        <f>IF($A850="","",IF(OR(NOT(ISNUMBER($Q850)),NOT(ISNUMBER($R850))),"",$Q850-$R850))</f>
        <v/>
      </c>
      <c r="T850" s="21">
        <f>IF($A850="","",_xll.BDP($A850&amp;" Corp","YAS_BOND_YLD","YAS_YLD_FLAG=15","SETTLE_DT",$B$2))</f>
        <v/>
      </c>
      <c r="U850" s="24">
        <f>IF($A850="","",IF(OR(NOT(ISNUMBER($O850)),NOT(ISNUMBER($T850))),"",$O850-$T850))</f>
        <v/>
      </c>
      <c r="V850" s="22">
        <f>IF(NOT(ISNUMBER($S850)),"",COUNTIFS($G$7:$G$850,$G850,$S$7:$S$850,"&gt;"&amp;$S850)+COUNTIFS($G$7:$G850,$G850,$S$7:$S850,$S850))</f>
        <v/>
      </c>
      <c r="W850" s="22">
        <f>IF(NOT(ISNUMBER($S850)),"",COUNTIFS($G$7:$G$850,$G850,$S$7:$S$850,"&lt;"&amp;$S850)+COUNTIFS($G$7:$G850,$G850,$S$7:$S850,$S850))</f>
        <v/>
      </c>
      <c r="X850" s="17">
        <f>IF($V850="","",$G850&amp;"|"&amp;$V850)</f>
        <v/>
      </c>
      <c r="Y850" s="17">
        <f>IF($W850="","",$G850&amp;"|"&amp;$W850)</f>
        <v/>
      </c>
    </row>
  </sheetData>
  <autoFilter ref="A6:Y850"/>
  <conditionalFormatting sqref="S7:S85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U7:U85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K1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52" customWidth="1" min="3" max="3"/>
    <col width="18" customWidth="1" min="4" max="4"/>
    <col width="7" customWidth="1" min="5" max="5"/>
    <col width="9" customWidth="1" min="6" max="6"/>
    <col width="12" customWidth="1" min="7" max="7"/>
    <col width="9" customWidth="1" min="8" max="8"/>
    <col width="14" customWidth="1" min="9" max="9"/>
    <col width="16" customWidth="1" min="10" max="10"/>
    <col width="15" customWidth="1" min="11" max="11"/>
  </cols>
  <sheetData>
    <row r="1">
      <c r="A1" s="1" t="inlineStr">
        <is>
          <t>Biggest spread movers since 14.07.2026</t>
        </is>
      </c>
    </row>
    <row r="2">
      <c r="A2" s="25">
        <f>'Spread Monitor'!$B$2</f>
        <v/>
      </c>
    </row>
    <row r="3">
      <c r="A3" s="4" t="inlineStr">
        <is>
          <t>Ranked within each currency. Live formulas - they follow the Spread Monitor sheet automatically.</t>
        </is>
      </c>
    </row>
    <row r="5">
      <c r="A5" s="26" t="inlineStr">
        <is>
          <t>USD - Top 10 that widened the most since 14.07.2026</t>
        </is>
      </c>
    </row>
    <row r="6" ht="26" customHeight="1">
      <c r="A6" s="27" t="inlineStr">
        <is>
          <t>ISIN</t>
        </is>
      </c>
      <c r="B6" s="27" t="inlineStr">
        <is>
          <t>Company</t>
        </is>
      </c>
      <c r="C6" s="27" t="inlineStr">
        <is>
          <t>Company description</t>
        </is>
      </c>
      <c r="D6" s="27" t="inlineStr">
        <is>
          <t>Sector</t>
        </is>
      </c>
      <c r="E6" s="27" t="inlineStr">
        <is>
          <t>Ccy</t>
        </is>
      </c>
      <c r="F6" s="27" t="inlineStr">
        <is>
          <t>Rating</t>
        </is>
      </c>
      <c r="G6" s="27" t="inlineStr">
        <is>
          <t>Maturity</t>
        </is>
      </c>
      <c r="H6" s="27" t="inlineStr">
        <is>
          <t>YTW (%)</t>
        </is>
      </c>
      <c r="I6" s="27" t="inlineStr">
        <is>
          <t>Spread today (bp)</t>
        </is>
      </c>
      <c r="J6" s="27" t="inlineStr">
        <is>
          <t>Spread on anchor (bp)</t>
        </is>
      </c>
      <c r="K6" s="27" t="inlineStr">
        <is>
          <t>Spread change (bp)</t>
        </is>
      </c>
    </row>
    <row r="7">
      <c r="A7" s="8">
        <f>IFERROR(INDEX('Spread Monitor'!$A$7:$A$850,MATCH("USD|1",'Spread Monitor'!$X$7:$X$850,0)),"")</f>
        <v/>
      </c>
      <c r="B7" s="8">
        <f>IFERROR(INDEX('Spread Monitor'!$B$7:$B$850,MATCH("USD|1",'Spread Monitor'!$X$7:$X$850,0)),"")</f>
        <v/>
      </c>
      <c r="C7" s="8">
        <f>IFERROR(INDEX('Spread Monitor'!$C$7:$C$850,MATCH("USD|1",'Spread Monitor'!$X$7:$X$850,0)),"")</f>
        <v/>
      </c>
      <c r="D7" s="8">
        <f>IFERROR(INDEX('Spread Monitor'!$E$7:$E$850,MATCH("USD|1",'Spread Monitor'!$X$7:$X$850,0)),"")</f>
        <v/>
      </c>
      <c r="E7" s="8">
        <f>IFERROR(INDEX('Spread Monitor'!$G$7:$G$850,MATCH("USD|1",'Spread Monitor'!$X$7:$X$850,0)),"")</f>
        <v/>
      </c>
      <c r="F7" s="8">
        <f>IFERROR(INDEX('Spread Monitor'!$H$7:$H$850,MATCH("USD|1",'Spread Monitor'!$X$7:$X$850,0)),"")</f>
        <v/>
      </c>
      <c r="G7" s="10">
        <f>IFERROR(INDEX('Spread Monitor'!$L$7:$L$850,MATCH("USD|1",'Spread Monitor'!$X$7:$X$850,0)),"")</f>
        <v/>
      </c>
      <c r="H7" s="12">
        <f>IFERROR(INDEX('Spread Monitor'!$O$7:$O$850,MATCH("USD|1",'Spread Monitor'!$X$7:$X$850,0)),"")</f>
        <v/>
      </c>
      <c r="I7" s="13">
        <f>IFERROR(INDEX('Spread Monitor'!$Q$7:$Q$850,MATCH("USD|1",'Spread Monitor'!$X$7:$X$850,0)),"")</f>
        <v/>
      </c>
      <c r="J7" s="13">
        <f>IFERROR(INDEX('Spread Monitor'!$R$7:$R$850,MATCH("USD|1",'Spread Monitor'!$X$7:$X$850,0)),"")</f>
        <v/>
      </c>
      <c r="K7" s="14">
        <f>IFERROR(INDEX('Spread Monitor'!$S$7:$S$850,MATCH("USD|1",'Spread Monitor'!$X$7:$X$850,0)),"")</f>
        <v/>
      </c>
    </row>
    <row r="8">
      <c r="A8" s="17">
        <f>IFERROR(INDEX('Spread Monitor'!$A$7:$A$850,MATCH("USD|2",'Spread Monitor'!$X$7:$X$850,0)),"")</f>
        <v/>
      </c>
      <c r="B8" s="17">
        <f>IFERROR(INDEX('Spread Monitor'!$B$7:$B$850,MATCH("USD|2",'Spread Monitor'!$X$7:$X$850,0)),"")</f>
        <v/>
      </c>
      <c r="C8" s="17">
        <f>IFERROR(INDEX('Spread Monitor'!$C$7:$C$850,MATCH("USD|2",'Spread Monitor'!$X$7:$X$850,0)),"")</f>
        <v/>
      </c>
      <c r="D8" s="17">
        <f>IFERROR(INDEX('Spread Monitor'!$E$7:$E$850,MATCH("USD|2",'Spread Monitor'!$X$7:$X$850,0)),"")</f>
        <v/>
      </c>
      <c r="E8" s="17">
        <f>IFERROR(INDEX('Spread Monitor'!$G$7:$G$850,MATCH("USD|2",'Spread Monitor'!$X$7:$X$850,0)),"")</f>
        <v/>
      </c>
      <c r="F8" s="17">
        <f>IFERROR(INDEX('Spread Monitor'!$H$7:$H$850,MATCH("USD|2",'Spread Monitor'!$X$7:$X$850,0)),"")</f>
        <v/>
      </c>
      <c r="G8" s="19">
        <f>IFERROR(INDEX('Spread Monitor'!$L$7:$L$850,MATCH("USD|2",'Spread Monitor'!$X$7:$X$850,0)),"")</f>
        <v/>
      </c>
      <c r="H8" s="21">
        <f>IFERROR(INDEX('Spread Monitor'!$O$7:$O$850,MATCH("USD|2",'Spread Monitor'!$X$7:$X$850,0)),"")</f>
        <v/>
      </c>
      <c r="I8" s="22">
        <f>IFERROR(INDEX('Spread Monitor'!$Q$7:$Q$850,MATCH("USD|2",'Spread Monitor'!$X$7:$X$850,0)),"")</f>
        <v/>
      </c>
      <c r="J8" s="22">
        <f>IFERROR(INDEX('Spread Monitor'!$R$7:$R$850,MATCH("USD|2",'Spread Monitor'!$X$7:$X$850,0)),"")</f>
        <v/>
      </c>
      <c r="K8" s="23">
        <f>IFERROR(INDEX('Spread Monitor'!$S$7:$S$850,MATCH("USD|2",'Spread Monitor'!$X$7:$X$850,0)),"")</f>
        <v/>
      </c>
    </row>
    <row r="9">
      <c r="A9" s="8">
        <f>IFERROR(INDEX('Spread Monitor'!$A$7:$A$850,MATCH("USD|3",'Spread Monitor'!$X$7:$X$850,0)),"")</f>
        <v/>
      </c>
      <c r="B9" s="8">
        <f>IFERROR(INDEX('Spread Monitor'!$B$7:$B$850,MATCH("USD|3",'Spread Monitor'!$X$7:$X$850,0)),"")</f>
        <v/>
      </c>
      <c r="C9" s="8">
        <f>IFERROR(INDEX('Spread Monitor'!$C$7:$C$850,MATCH("USD|3",'Spread Monitor'!$X$7:$X$850,0)),"")</f>
        <v/>
      </c>
      <c r="D9" s="8">
        <f>IFERROR(INDEX('Spread Monitor'!$E$7:$E$850,MATCH("USD|3",'Spread Monitor'!$X$7:$X$850,0)),"")</f>
        <v/>
      </c>
      <c r="E9" s="8">
        <f>IFERROR(INDEX('Spread Monitor'!$G$7:$G$850,MATCH("USD|3",'Spread Monitor'!$X$7:$X$850,0)),"")</f>
        <v/>
      </c>
      <c r="F9" s="8">
        <f>IFERROR(INDEX('Spread Monitor'!$H$7:$H$850,MATCH("USD|3",'Spread Monitor'!$X$7:$X$850,0)),"")</f>
        <v/>
      </c>
      <c r="G9" s="10">
        <f>IFERROR(INDEX('Spread Monitor'!$L$7:$L$850,MATCH("USD|3",'Spread Monitor'!$X$7:$X$850,0)),"")</f>
        <v/>
      </c>
      <c r="H9" s="12">
        <f>IFERROR(INDEX('Spread Monitor'!$O$7:$O$850,MATCH("USD|3",'Spread Monitor'!$X$7:$X$850,0)),"")</f>
        <v/>
      </c>
      <c r="I9" s="13">
        <f>IFERROR(INDEX('Spread Monitor'!$Q$7:$Q$850,MATCH("USD|3",'Spread Monitor'!$X$7:$X$850,0)),"")</f>
        <v/>
      </c>
      <c r="J9" s="13">
        <f>IFERROR(INDEX('Spread Monitor'!$R$7:$R$850,MATCH("USD|3",'Spread Monitor'!$X$7:$X$850,0)),"")</f>
        <v/>
      </c>
      <c r="K9" s="14">
        <f>IFERROR(INDEX('Spread Monitor'!$S$7:$S$850,MATCH("USD|3",'Spread Monitor'!$X$7:$X$850,0)),"")</f>
        <v/>
      </c>
    </row>
    <row r="10">
      <c r="A10" s="17">
        <f>IFERROR(INDEX('Spread Monitor'!$A$7:$A$850,MATCH("USD|4",'Spread Monitor'!$X$7:$X$850,0)),"")</f>
        <v/>
      </c>
      <c r="B10" s="17">
        <f>IFERROR(INDEX('Spread Monitor'!$B$7:$B$850,MATCH("USD|4",'Spread Monitor'!$X$7:$X$850,0)),"")</f>
        <v/>
      </c>
      <c r="C10" s="17">
        <f>IFERROR(INDEX('Spread Monitor'!$C$7:$C$850,MATCH("USD|4",'Spread Monitor'!$X$7:$X$850,0)),"")</f>
        <v/>
      </c>
      <c r="D10" s="17">
        <f>IFERROR(INDEX('Spread Monitor'!$E$7:$E$850,MATCH("USD|4",'Spread Monitor'!$X$7:$X$850,0)),"")</f>
        <v/>
      </c>
      <c r="E10" s="17">
        <f>IFERROR(INDEX('Spread Monitor'!$G$7:$G$850,MATCH("USD|4",'Spread Monitor'!$X$7:$X$850,0)),"")</f>
        <v/>
      </c>
      <c r="F10" s="17">
        <f>IFERROR(INDEX('Spread Monitor'!$H$7:$H$850,MATCH("USD|4",'Spread Monitor'!$X$7:$X$850,0)),"")</f>
        <v/>
      </c>
      <c r="G10" s="19">
        <f>IFERROR(INDEX('Spread Monitor'!$L$7:$L$850,MATCH("USD|4",'Spread Monitor'!$X$7:$X$850,0)),"")</f>
        <v/>
      </c>
      <c r="H10" s="21">
        <f>IFERROR(INDEX('Spread Monitor'!$O$7:$O$850,MATCH("USD|4",'Spread Monitor'!$X$7:$X$850,0)),"")</f>
        <v/>
      </c>
      <c r="I10" s="22">
        <f>IFERROR(INDEX('Spread Monitor'!$Q$7:$Q$850,MATCH("USD|4",'Spread Monitor'!$X$7:$X$850,0)),"")</f>
        <v/>
      </c>
      <c r="J10" s="22">
        <f>IFERROR(INDEX('Spread Monitor'!$R$7:$R$850,MATCH("USD|4",'Spread Monitor'!$X$7:$X$850,0)),"")</f>
        <v/>
      </c>
      <c r="K10" s="23">
        <f>IFERROR(INDEX('Spread Monitor'!$S$7:$S$850,MATCH("USD|4",'Spread Monitor'!$X$7:$X$850,0)),"")</f>
        <v/>
      </c>
    </row>
    <row r="11">
      <c r="A11" s="8">
        <f>IFERROR(INDEX('Spread Monitor'!$A$7:$A$850,MATCH("USD|5",'Spread Monitor'!$X$7:$X$850,0)),"")</f>
        <v/>
      </c>
      <c r="B11" s="8">
        <f>IFERROR(INDEX('Spread Monitor'!$B$7:$B$850,MATCH("USD|5",'Spread Monitor'!$X$7:$X$850,0)),"")</f>
        <v/>
      </c>
      <c r="C11" s="8">
        <f>IFERROR(INDEX('Spread Monitor'!$C$7:$C$850,MATCH("USD|5",'Spread Monitor'!$X$7:$X$850,0)),"")</f>
        <v/>
      </c>
      <c r="D11" s="8">
        <f>IFERROR(INDEX('Spread Monitor'!$E$7:$E$850,MATCH("USD|5",'Spread Monitor'!$X$7:$X$850,0)),"")</f>
        <v/>
      </c>
      <c r="E11" s="8">
        <f>IFERROR(INDEX('Spread Monitor'!$G$7:$G$850,MATCH("USD|5",'Spread Monitor'!$X$7:$X$850,0)),"")</f>
        <v/>
      </c>
      <c r="F11" s="8">
        <f>IFERROR(INDEX('Spread Monitor'!$H$7:$H$850,MATCH("USD|5",'Spread Monitor'!$X$7:$X$850,0)),"")</f>
        <v/>
      </c>
      <c r="G11" s="10">
        <f>IFERROR(INDEX('Spread Monitor'!$L$7:$L$850,MATCH("USD|5",'Spread Monitor'!$X$7:$X$850,0)),"")</f>
        <v/>
      </c>
      <c r="H11" s="12">
        <f>IFERROR(INDEX('Spread Monitor'!$O$7:$O$850,MATCH("USD|5",'Spread Monitor'!$X$7:$X$850,0)),"")</f>
        <v/>
      </c>
      <c r="I11" s="13">
        <f>IFERROR(INDEX('Spread Monitor'!$Q$7:$Q$850,MATCH("USD|5",'Spread Monitor'!$X$7:$X$850,0)),"")</f>
        <v/>
      </c>
      <c r="J11" s="13">
        <f>IFERROR(INDEX('Spread Monitor'!$R$7:$R$850,MATCH("USD|5",'Spread Monitor'!$X$7:$X$850,0)),"")</f>
        <v/>
      </c>
      <c r="K11" s="14">
        <f>IFERROR(INDEX('Spread Monitor'!$S$7:$S$850,MATCH("USD|5",'Spread Monitor'!$X$7:$X$850,0)),"")</f>
        <v/>
      </c>
    </row>
    <row r="12">
      <c r="A12" s="17">
        <f>IFERROR(INDEX('Spread Monitor'!$A$7:$A$850,MATCH("USD|6",'Spread Monitor'!$X$7:$X$850,0)),"")</f>
        <v/>
      </c>
      <c r="B12" s="17">
        <f>IFERROR(INDEX('Spread Monitor'!$B$7:$B$850,MATCH("USD|6",'Spread Monitor'!$X$7:$X$850,0)),"")</f>
        <v/>
      </c>
      <c r="C12" s="17">
        <f>IFERROR(INDEX('Spread Monitor'!$C$7:$C$850,MATCH("USD|6",'Spread Monitor'!$X$7:$X$850,0)),"")</f>
        <v/>
      </c>
      <c r="D12" s="17">
        <f>IFERROR(INDEX('Spread Monitor'!$E$7:$E$850,MATCH("USD|6",'Spread Monitor'!$X$7:$X$850,0)),"")</f>
        <v/>
      </c>
      <c r="E12" s="17">
        <f>IFERROR(INDEX('Spread Monitor'!$G$7:$G$850,MATCH("USD|6",'Spread Monitor'!$X$7:$X$850,0)),"")</f>
        <v/>
      </c>
      <c r="F12" s="17">
        <f>IFERROR(INDEX('Spread Monitor'!$H$7:$H$850,MATCH("USD|6",'Spread Monitor'!$X$7:$X$850,0)),"")</f>
        <v/>
      </c>
      <c r="G12" s="19">
        <f>IFERROR(INDEX('Spread Monitor'!$L$7:$L$850,MATCH("USD|6",'Spread Monitor'!$X$7:$X$850,0)),"")</f>
        <v/>
      </c>
      <c r="H12" s="21">
        <f>IFERROR(INDEX('Spread Monitor'!$O$7:$O$850,MATCH("USD|6",'Spread Monitor'!$X$7:$X$850,0)),"")</f>
        <v/>
      </c>
      <c r="I12" s="22">
        <f>IFERROR(INDEX('Spread Monitor'!$Q$7:$Q$850,MATCH("USD|6",'Spread Monitor'!$X$7:$X$850,0)),"")</f>
        <v/>
      </c>
      <c r="J12" s="22">
        <f>IFERROR(INDEX('Spread Monitor'!$R$7:$R$850,MATCH("USD|6",'Spread Monitor'!$X$7:$X$850,0)),"")</f>
        <v/>
      </c>
      <c r="K12" s="23">
        <f>IFERROR(INDEX('Spread Monitor'!$S$7:$S$850,MATCH("USD|6",'Spread Monitor'!$X$7:$X$850,0)),"")</f>
        <v/>
      </c>
    </row>
    <row r="13">
      <c r="A13" s="8">
        <f>IFERROR(INDEX('Spread Monitor'!$A$7:$A$850,MATCH("USD|7",'Spread Monitor'!$X$7:$X$850,0)),"")</f>
        <v/>
      </c>
      <c r="B13" s="8">
        <f>IFERROR(INDEX('Spread Monitor'!$B$7:$B$850,MATCH("USD|7",'Spread Monitor'!$X$7:$X$850,0)),"")</f>
        <v/>
      </c>
      <c r="C13" s="8">
        <f>IFERROR(INDEX('Spread Monitor'!$C$7:$C$850,MATCH("USD|7",'Spread Monitor'!$X$7:$X$850,0)),"")</f>
        <v/>
      </c>
      <c r="D13" s="8">
        <f>IFERROR(INDEX('Spread Monitor'!$E$7:$E$850,MATCH("USD|7",'Spread Monitor'!$X$7:$X$850,0)),"")</f>
        <v/>
      </c>
      <c r="E13" s="8">
        <f>IFERROR(INDEX('Spread Monitor'!$G$7:$G$850,MATCH("USD|7",'Spread Monitor'!$X$7:$X$850,0)),"")</f>
        <v/>
      </c>
      <c r="F13" s="8">
        <f>IFERROR(INDEX('Spread Monitor'!$H$7:$H$850,MATCH("USD|7",'Spread Monitor'!$X$7:$X$850,0)),"")</f>
        <v/>
      </c>
      <c r="G13" s="10">
        <f>IFERROR(INDEX('Spread Monitor'!$L$7:$L$850,MATCH("USD|7",'Spread Monitor'!$X$7:$X$850,0)),"")</f>
        <v/>
      </c>
      <c r="H13" s="12">
        <f>IFERROR(INDEX('Spread Monitor'!$O$7:$O$850,MATCH("USD|7",'Spread Monitor'!$X$7:$X$850,0)),"")</f>
        <v/>
      </c>
      <c r="I13" s="13">
        <f>IFERROR(INDEX('Spread Monitor'!$Q$7:$Q$850,MATCH("USD|7",'Spread Monitor'!$X$7:$X$850,0)),"")</f>
        <v/>
      </c>
      <c r="J13" s="13">
        <f>IFERROR(INDEX('Spread Monitor'!$R$7:$R$850,MATCH("USD|7",'Spread Monitor'!$X$7:$X$850,0)),"")</f>
        <v/>
      </c>
      <c r="K13" s="14">
        <f>IFERROR(INDEX('Spread Monitor'!$S$7:$S$850,MATCH("USD|7",'Spread Monitor'!$X$7:$X$850,0)),"")</f>
        <v/>
      </c>
    </row>
    <row r="14">
      <c r="A14" s="17">
        <f>IFERROR(INDEX('Spread Monitor'!$A$7:$A$850,MATCH("USD|8",'Spread Monitor'!$X$7:$X$850,0)),"")</f>
        <v/>
      </c>
      <c r="B14" s="17">
        <f>IFERROR(INDEX('Spread Monitor'!$B$7:$B$850,MATCH("USD|8",'Spread Monitor'!$X$7:$X$850,0)),"")</f>
        <v/>
      </c>
      <c r="C14" s="17">
        <f>IFERROR(INDEX('Spread Monitor'!$C$7:$C$850,MATCH("USD|8",'Spread Monitor'!$X$7:$X$850,0)),"")</f>
        <v/>
      </c>
      <c r="D14" s="17">
        <f>IFERROR(INDEX('Spread Monitor'!$E$7:$E$850,MATCH("USD|8",'Spread Monitor'!$X$7:$X$850,0)),"")</f>
        <v/>
      </c>
      <c r="E14" s="17">
        <f>IFERROR(INDEX('Spread Monitor'!$G$7:$G$850,MATCH("USD|8",'Spread Monitor'!$X$7:$X$850,0)),"")</f>
        <v/>
      </c>
      <c r="F14" s="17">
        <f>IFERROR(INDEX('Spread Monitor'!$H$7:$H$850,MATCH("USD|8",'Spread Monitor'!$X$7:$X$850,0)),"")</f>
        <v/>
      </c>
      <c r="G14" s="19">
        <f>IFERROR(INDEX('Spread Monitor'!$L$7:$L$850,MATCH("USD|8",'Spread Monitor'!$X$7:$X$850,0)),"")</f>
        <v/>
      </c>
      <c r="H14" s="21">
        <f>IFERROR(INDEX('Spread Monitor'!$O$7:$O$850,MATCH("USD|8",'Spread Monitor'!$X$7:$X$850,0)),"")</f>
        <v/>
      </c>
      <c r="I14" s="22">
        <f>IFERROR(INDEX('Spread Monitor'!$Q$7:$Q$850,MATCH("USD|8",'Spread Monitor'!$X$7:$X$850,0)),"")</f>
        <v/>
      </c>
      <c r="J14" s="22">
        <f>IFERROR(INDEX('Spread Monitor'!$R$7:$R$850,MATCH("USD|8",'Spread Monitor'!$X$7:$X$850,0)),"")</f>
        <v/>
      </c>
      <c r="K14" s="23">
        <f>IFERROR(INDEX('Spread Monitor'!$S$7:$S$850,MATCH("USD|8",'Spread Monitor'!$X$7:$X$850,0)),"")</f>
        <v/>
      </c>
    </row>
    <row r="15">
      <c r="A15" s="8">
        <f>IFERROR(INDEX('Spread Monitor'!$A$7:$A$850,MATCH("USD|9",'Spread Monitor'!$X$7:$X$850,0)),"")</f>
        <v/>
      </c>
      <c r="B15" s="8">
        <f>IFERROR(INDEX('Spread Monitor'!$B$7:$B$850,MATCH("USD|9",'Spread Monitor'!$X$7:$X$850,0)),"")</f>
        <v/>
      </c>
      <c r="C15" s="8">
        <f>IFERROR(INDEX('Spread Monitor'!$C$7:$C$850,MATCH("USD|9",'Spread Monitor'!$X$7:$X$850,0)),"")</f>
        <v/>
      </c>
      <c r="D15" s="8">
        <f>IFERROR(INDEX('Spread Monitor'!$E$7:$E$850,MATCH("USD|9",'Spread Monitor'!$X$7:$X$850,0)),"")</f>
        <v/>
      </c>
      <c r="E15" s="8">
        <f>IFERROR(INDEX('Spread Monitor'!$G$7:$G$850,MATCH("USD|9",'Spread Monitor'!$X$7:$X$850,0)),"")</f>
        <v/>
      </c>
      <c r="F15" s="8">
        <f>IFERROR(INDEX('Spread Monitor'!$H$7:$H$850,MATCH("USD|9",'Spread Monitor'!$X$7:$X$850,0)),"")</f>
        <v/>
      </c>
      <c r="G15" s="10">
        <f>IFERROR(INDEX('Spread Monitor'!$L$7:$L$850,MATCH("USD|9",'Spread Monitor'!$X$7:$X$850,0)),"")</f>
        <v/>
      </c>
      <c r="H15" s="12">
        <f>IFERROR(INDEX('Spread Monitor'!$O$7:$O$850,MATCH("USD|9",'Spread Monitor'!$X$7:$X$850,0)),"")</f>
        <v/>
      </c>
      <c r="I15" s="13">
        <f>IFERROR(INDEX('Spread Monitor'!$Q$7:$Q$850,MATCH("USD|9",'Spread Monitor'!$X$7:$X$850,0)),"")</f>
        <v/>
      </c>
      <c r="J15" s="13">
        <f>IFERROR(INDEX('Spread Monitor'!$R$7:$R$850,MATCH("USD|9",'Spread Monitor'!$X$7:$X$850,0)),"")</f>
        <v/>
      </c>
      <c r="K15" s="14">
        <f>IFERROR(INDEX('Spread Monitor'!$S$7:$S$850,MATCH("USD|9",'Spread Monitor'!$X$7:$X$850,0)),"")</f>
        <v/>
      </c>
    </row>
    <row r="16">
      <c r="A16" s="17">
        <f>IFERROR(INDEX('Spread Monitor'!$A$7:$A$850,MATCH("USD|10",'Spread Monitor'!$X$7:$X$850,0)),"")</f>
        <v/>
      </c>
      <c r="B16" s="17">
        <f>IFERROR(INDEX('Spread Monitor'!$B$7:$B$850,MATCH("USD|10",'Spread Monitor'!$X$7:$X$850,0)),"")</f>
        <v/>
      </c>
      <c r="C16" s="17">
        <f>IFERROR(INDEX('Spread Monitor'!$C$7:$C$850,MATCH("USD|10",'Spread Monitor'!$X$7:$X$850,0)),"")</f>
        <v/>
      </c>
      <c r="D16" s="17">
        <f>IFERROR(INDEX('Spread Monitor'!$E$7:$E$850,MATCH("USD|10",'Spread Monitor'!$X$7:$X$850,0)),"")</f>
        <v/>
      </c>
      <c r="E16" s="17">
        <f>IFERROR(INDEX('Spread Monitor'!$G$7:$G$850,MATCH("USD|10",'Spread Monitor'!$X$7:$X$850,0)),"")</f>
        <v/>
      </c>
      <c r="F16" s="17">
        <f>IFERROR(INDEX('Spread Monitor'!$H$7:$H$850,MATCH("USD|10",'Spread Monitor'!$X$7:$X$850,0)),"")</f>
        <v/>
      </c>
      <c r="G16" s="19">
        <f>IFERROR(INDEX('Spread Monitor'!$L$7:$L$850,MATCH("USD|10",'Spread Monitor'!$X$7:$X$850,0)),"")</f>
        <v/>
      </c>
      <c r="H16" s="21">
        <f>IFERROR(INDEX('Spread Monitor'!$O$7:$O$850,MATCH("USD|10",'Spread Monitor'!$X$7:$X$850,0)),"")</f>
        <v/>
      </c>
      <c r="I16" s="22">
        <f>IFERROR(INDEX('Spread Monitor'!$Q$7:$Q$850,MATCH("USD|10",'Spread Monitor'!$X$7:$X$850,0)),"")</f>
        <v/>
      </c>
      <c r="J16" s="22">
        <f>IFERROR(INDEX('Spread Monitor'!$R$7:$R$850,MATCH("USD|10",'Spread Monitor'!$X$7:$X$850,0)),"")</f>
        <v/>
      </c>
      <c r="K16" s="23">
        <f>IFERROR(INDEX('Spread Monitor'!$S$7:$S$850,MATCH("USD|10",'Spread Monitor'!$X$7:$X$850,0)),"")</f>
        <v/>
      </c>
    </row>
    <row r="19">
      <c r="A19" s="28" t="inlineStr">
        <is>
          <t>USD - Top 10 that tightened the most since 14.07.2026</t>
        </is>
      </c>
    </row>
    <row r="20" ht="26" customHeight="1">
      <c r="A20" s="27" t="inlineStr">
        <is>
          <t>ISIN</t>
        </is>
      </c>
      <c r="B20" s="27" t="inlineStr">
        <is>
          <t>Company</t>
        </is>
      </c>
      <c r="C20" s="27" t="inlineStr">
        <is>
          <t>Company description</t>
        </is>
      </c>
      <c r="D20" s="27" t="inlineStr">
        <is>
          <t>Sector</t>
        </is>
      </c>
      <c r="E20" s="27" t="inlineStr">
        <is>
          <t>Ccy</t>
        </is>
      </c>
      <c r="F20" s="27" t="inlineStr">
        <is>
          <t>Rating</t>
        </is>
      </c>
      <c r="G20" s="27" t="inlineStr">
        <is>
          <t>Maturity</t>
        </is>
      </c>
      <c r="H20" s="27" t="inlineStr">
        <is>
          <t>YTW (%)</t>
        </is>
      </c>
      <c r="I20" s="27" t="inlineStr">
        <is>
          <t>Spread today (bp)</t>
        </is>
      </c>
      <c r="J20" s="27" t="inlineStr">
        <is>
          <t>Spread on anchor (bp)</t>
        </is>
      </c>
      <c r="K20" s="27" t="inlineStr">
        <is>
          <t>Spread change (bp)</t>
        </is>
      </c>
    </row>
    <row r="21">
      <c r="A21" s="8">
        <f>IFERROR(INDEX('Spread Monitor'!$A$7:$A$850,MATCH("USD|1",'Spread Monitor'!$Y$7:$Y$850,0)),"")</f>
        <v/>
      </c>
      <c r="B21" s="8">
        <f>IFERROR(INDEX('Spread Monitor'!$B$7:$B$850,MATCH("USD|1",'Spread Monitor'!$Y$7:$Y$850,0)),"")</f>
        <v/>
      </c>
      <c r="C21" s="8">
        <f>IFERROR(INDEX('Spread Monitor'!$C$7:$C$850,MATCH("USD|1",'Spread Monitor'!$Y$7:$Y$850,0)),"")</f>
        <v/>
      </c>
      <c r="D21" s="8">
        <f>IFERROR(INDEX('Spread Monitor'!$E$7:$E$850,MATCH("USD|1",'Spread Monitor'!$Y$7:$Y$850,0)),"")</f>
        <v/>
      </c>
      <c r="E21" s="8">
        <f>IFERROR(INDEX('Spread Monitor'!$G$7:$G$850,MATCH("USD|1",'Spread Monitor'!$Y$7:$Y$850,0)),"")</f>
        <v/>
      </c>
      <c r="F21" s="8">
        <f>IFERROR(INDEX('Spread Monitor'!$H$7:$H$850,MATCH("USD|1",'Spread Monitor'!$Y$7:$Y$850,0)),"")</f>
        <v/>
      </c>
      <c r="G21" s="10">
        <f>IFERROR(INDEX('Spread Monitor'!$L$7:$L$850,MATCH("USD|1",'Spread Monitor'!$Y$7:$Y$850,0)),"")</f>
        <v/>
      </c>
      <c r="H21" s="12">
        <f>IFERROR(INDEX('Spread Monitor'!$O$7:$O$850,MATCH("USD|1",'Spread Monitor'!$Y$7:$Y$850,0)),"")</f>
        <v/>
      </c>
      <c r="I21" s="13">
        <f>IFERROR(INDEX('Spread Monitor'!$Q$7:$Q$850,MATCH("USD|1",'Spread Monitor'!$Y$7:$Y$850,0)),"")</f>
        <v/>
      </c>
      <c r="J21" s="13">
        <f>IFERROR(INDEX('Spread Monitor'!$R$7:$R$850,MATCH("USD|1",'Spread Monitor'!$Y$7:$Y$850,0)),"")</f>
        <v/>
      </c>
      <c r="K21" s="14">
        <f>IFERROR(INDEX('Spread Monitor'!$S$7:$S$850,MATCH("USD|1",'Spread Monitor'!$Y$7:$Y$850,0)),"")</f>
        <v/>
      </c>
    </row>
    <row r="22">
      <c r="A22" s="17">
        <f>IFERROR(INDEX('Spread Monitor'!$A$7:$A$850,MATCH("USD|2",'Spread Monitor'!$Y$7:$Y$850,0)),"")</f>
        <v/>
      </c>
      <c r="B22" s="17">
        <f>IFERROR(INDEX('Spread Monitor'!$B$7:$B$850,MATCH("USD|2",'Spread Monitor'!$Y$7:$Y$850,0)),"")</f>
        <v/>
      </c>
      <c r="C22" s="17">
        <f>IFERROR(INDEX('Spread Monitor'!$C$7:$C$850,MATCH("USD|2",'Spread Monitor'!$Y$7:$Y$850,0)),"")</f>
        <v/>
      </c>
      <c r="D22" s="17">
        <f>IFERROR(INDEX('Spread Monitor'!$E$7:$E$850,MATCH("USD|2",'Spread Monitor'!$Y$7:$Y$850,0)),"")</f>
        <v/>
      </c>
      <c r="E22" s="17">
        <f>IFERROR(INDEX('Spread Monitor'!$G$7:$G$850,MATCH("USD|2",'Spread Monitor'!$Y$7:$Y$850,0)),"")</f>
        <v/>
      </c>
      <c r="F22" s="17">
        <f>IFERROR(INDEX('Spread Monitor'!$H$7:$H$850,MATCH("USD|2",'Spread Monitor'!$Y$7:$Y$850,0)),"")</f>
        <v/>
      </c>
      <c r="G22" s="19">
        <f>IFERROR(INDEX('Spread Monitor'!$L$7:$L$850,MATCH("USD|2",'Spread Monitor'!$Y$7:$Y$850,0)),"")</f>
        <v/>
      </c>
      <c r="H22" s="21">
        <f>IFERROR(INDEX('Spread Monitor'!$O$7:$O$850,MATCH("USD|2",'Spread Monitor'!$Y$7:$Y$850,0)),"")</f>
        <v/>
      </c>
      <c r="I22" s="22">
        <f>IFERROR(INDEX('Spread Monitor'!$Q$7:$Q$850,MATCH("USD|2",'Spread Monitor'!$Y$7:$Y$850,0)),"")</f>
        <v/>
      </c>
      <c r="J22" s="22">
        <f>IFERROR(INDEX('Spread Monitor'!$R$7:$R$850,MATCH("USD|2",'Spread Monitor'!$Y$7:$Y$850,0)),"")</f>
        <v/>
      </c>
      <c r="K22" s="23">
        <f>IFERROR(INDEX('Spread Monitor'!$S$7:$S$850,MATCH("USD|2",'Spread Monitor'!$Y$7:$Y$850,0)),"")</f>
        <v/>
      </c>
    </row>
    <row r="23">
      <c r="A23" s="8">
        <f>IFERROR(INDEX('Spread Monitor'!$A$7:$A$850,MATCH("USD|3",'Spread Monitor'!$Y$7:$Y$850,0)),"")</f>
        <v/>
      </c>
      <c r="B23" s="8">
        <f>IFERROR(INDEX('Spread Monitor'!$B$7:$B$850,MATCH("USD|3",'Spread Monitor'!$Y$7:$Y$850,0)),"")</f>
        <v/>
      </c>
      <c r="C23" s="8">
        <f>IFERROR(INDEX('Spread Monitor'!$C$7:$C$850,MATCH("USD|3",'Spread Monitor'!$Y$7:$Y$850,0)),"")</f>
        <v/>
      </c>
      <c r="D23" s="8">
        <f>IFERROR(INDEX('Spread Monitor'!$E$7:$E$850,MATCH("USD|3",'Spread Monitor'!$Y$7:$Y$850,0)),"")</f>
        <v/>
      </c>
      <c r="E23" s="8">
        <f>IFERROR(INDEX('Spread Monitor'!$G$7:$G$850,MATCH("USD|3",'Spread Monitor'!$Y$7:$Y$850,0)),"")</f>
        <v/>
      </c>
      <c r="F23" s="8">
        <f>IFERROR(INDEX('Spread Monitor'!$H$7:$H$850,MATCH("USD|3",'Spread Monitor'!$Y$7:$Y$850,0)),"")</f>
        <v/>
      </c>
      <c r="G23" s="10">
        <f>IFERROR(INDEX('Spread Monitor'!$L$7:$L$850,MATCH("USD|3",'Spread Monitor'!$Y$7:$Y$850,0)),"")</f>
        <v/>
      </c>
      <c r="H23" s="12">
        <f>IFERROR(INDEX('Spread Monitor'!$O$7:$O$850,MATCH("USD|3",'Spread Monitor'!$Y$7:$Y$850,0)),"")</f>
        <v/>
      </c>
      <c r="I23" s="13">
        <f>IFERROR(INDEX('Spread Monitor'!$Q$7:$Q$850,MATCH("USD|3",'Spread Monitor'!$Y$7:$Y$850,0)),"")</f>
        <v/>
      </c>
      <c r="J23" s="13">
        <f>IFERROR(INDEX('Spread Monitor'!$R$7:$R$850,MATCH("USD|3",'Spread Monitor'!$Y$7:$Y$850,0)),"")</f>
        <v/>
      </c>
      <c r="K23" s="14">
        <f>IFERROR(INDEX('Spread Monitor'!$S$7:$S$850,MATCH("USD|3",'Spread Monitor'!$Y$7:$Y$850,0)),"")</f>
        <v/>
      </c>
    </row>
    <row r="24">
      <c r="A24" s="17">
        <f>IFERROR(INDEX('Spread Monitor'!$A$7:$A$850,MATCH("USD|4",'Spread Monitor'!$Y$7:$Y$850,0)),"")</f>
        <v/>
      </c>
      <c r="B24" s="17">
        <f>IFERROR(INDEX('Spread Monitor'!$B$7:$B$850,MATCH("USD|4",'Spread Monitor'!$Y$7:$Y$850,0)),"")</f>
        <v/>
      </c>
      <c r="C24" s="17">
        <f>IFERROR(INDEX('Spread Monitor'!$C$7:$C$850,MATCH("USD|4",'Spread Monitor'!$Y$7:$Y$850,0)),"")</f>
        <v/>
      </c>
      <c r="D24" s="17">
        <f>IFERROR(INDEX('Spread Monitor'!$E$7:$E$850,MATCH("USD|4",'Spread Monitor'!$Y$7:$Y$850,0)),"")</f>
        <v/>
      </c>
      <c r="E24" s="17">
        <f>IFERROR(INDEX('Spread Monitor'!$G$7:$G$850,MATCH("USD|4",'Spread Monitor'!$Y$7:$Y$850,0)),"")</f>
        <v/>
      </c>
      <c r="F24" s="17">
        <f>IFERROR(INDEX('Spread Monitor'!$H$7:$H$850,MATCH("USD|4",'Spread Monitor'!$Y$7:$Y$850,0)),"")</f>
        <v/>
      </c>
      <c r="G24" s="19">
        <f>IFERROR(INDEX('Spread Monitor'!$L$7:$L$850,MATCH("USD|4",'Spread Monitor'!$Y$7:$Y$850,0)),"")</f>
        <v/>
      </c>
      <c r="H24" s="21">
        <f>IFERROR(INDEX('Spread Monitor'!$O$7:$O$850,MATCH("USD|4",'Spread Monitor'!$Y$7:$Y$850,0)),"")</f>
        <v/>
      </c>
      <c r="I24" s="22">
        <f>IFERROR(INDEX('Spread Monitor'!$Q$7:$Q$850,MATCH("USD|4",'Spread Monitor'!$Y$7:$Y$850,0)),"")</f>
        <v/>
      </c>
      <c r="J24" s="22">
        <f>IFERROR(INDEX('Spread Monitor'!$R$7:$R$850,MATCH("USD|4",'Spread Monitor'!$Y$7:$Y$850,0)),"")</f>
        <v/>
      </c>
      <c r="K24" s="23">
        <f>IFERROR(INDEX('Spread Monitor'!$S$7:$S$850,MATCH("USD|4",'Spread Monitor'!$Y$7:$Y$850,0)),"")</f>
        <v/>
      </c>
    </row>
    <row r="25">
      <c r="A25" s="8">
        <f>IFERROR(INDEX('Spread Monitor'!$A$7:$A$850,MATCH("USD|5",'Spread Monitor'!$Y$7:$Y$850,0)),"")</f>
        <v/>
      </c>
      <c r="B25" s="8">
        <f>IFERROR(INDEX('Spread Monitor'!$B$7:$B$850,MATCH("USD|5",'Spread Monitor'!$Y$7:$Y$850,0)),"")</f>
        <v/>
      </c>
      <c r="C25" s="8">
        <f>IFERROR(INDEX('Spread Monitor'!$C$7:$C$850,MATCH("USD|5",'Spread Monitor'!$Y$7:$Y$850,0)),"")</f>
        <v/>
      </c>
      <c r="D25" s="8">
        <f>IFERROR(INDEX('Spread Monitor'!$E$7:$E$850,MATCH("USD|5",'Spread Monitor'!$Y$7:$Y$850,0)),"")</f>
        <v/>
      </c>
      <c r="E25" s="8">
        <f>IFERROR(INDEX('Spread Monitor'!$G$7:$G$850,MATCH("USD|5",'Spread Monitor'!$Y$7:$Y$850,0)),"")</f>
        <v/>
      </c>
      <c r="F25" s="8">
        <f>IFERROR(INDEX('Spread Monitor'!$H$7:$H$850,MATCH("USD|5",'Spread Monitor'!$Y$7:$Y$850,0)),"")</f>
        <v/>
      </c>
      <c r="G25" s="10">
        <f>IFERROR(INDEX('Spread Monitor'!$L$7:$L$850,MATCH("USD|5",'Spread Monitor'!$Y$7:$Y$850,0)),"")</f>
        <v/>
      </c>
      <c r="H25" s="12">
        <f>IFERROR(INDEX('Spread Monitor'!$O$7:$O$850,MATCH("USD|5",'Spread Monitor'!$Y$7:$Y$850,0)),"")</f>
        <v/>
      </c>
      <c r="I25" s="13">
        <f>IFERROR(INDEX('Spread Monitor'!$Q$7:$Q$850,MATCH("USD|5",'Spread Monitor'!$Y$7:$Y$850,0)),"")</f>
        <v/>
      </c>
      <c r="J25" s="13">
        <f>IFERROR(INDEX('Spread Monitor'!$R$7:$R$850,MATCH("USD|5",'Spread Monitor'!$Y$7:$Y$850,0)),"")</f>
        <v/>
      </c>
      <c r="K25" s="14">
        <f>IFERROR(INDEX('Spread Monitor'!$S$7:$S$850,MATCH("USD|5",'Spread Monitor'!$Y$7:$Y$850,0)),"")</f>
        <v/>
      </c>
    </row>
    <row r="26">
      <c r="A26" s="17">
        <f>IFERROR(INDEX('Spread Monitor'!$A$7:$A$850,MATCH("USD|6",'Spread Monitor'!$Y$7:$Y$850,0)),"")</f>
        <v/>
      </c>
      <c r="B26" s="17">
        <f>IFERROR(INDEX('Spread Monitor'!$B$7:$B$850,MATCH("USD|6",'Spread Monitor'!$Y$7:$Y$850,0)),"")</f>
        <v/>
      </c>
      <c r="C26" s="17">
        <f>IFERROR(INDEX('Spread Monitor'!$C$7:$C$850,MATCH("USD|6",'Spread Monitor'!$Y$7:$Y$850,0)),"")</f>
        <v/>
      </c>
      <c r="D26" s="17">
        <f>IFERROR(INDEX('Spread Monitor'!$E$7:$E$850,MATCH("USD|6",'Spread Monitor'!$Y$7:$Y$850,0)),"")</f>
        <v/>
      </c>
      <c r="E26" s="17">
        <f>IFERROR(INDEX('Spread Monitor'!$G$7:$G$850,MATCH("USD|6",'Spread Monitor'!$Y$7:$Y$850,0)),"")</f>
        <v/>
      </c>
      <c r="F26" s="17">
        <f>IFERROR(INDEX('Spread Monitor'!$H$7:$H$850,MATCH("USD|6",'Spread Monitor'!$Y$7:$Y$850,0)),"")</f>
        <v/>
      </c>
      <c r="G26" s="19">
        <f>IFERROR(INDEX('Spread Monitor'!$L$7:$L$850,MATCH("USD|6",'Spread Monitor'!$Y$7:$Y$850,0)),"")</f>
        <v/>
      </c>
      <c r="H26" s="21">
        <f>IFERROR(INDEX('Spread Monitor'!$O$7:$O$850,MATCH("USD|6",'Spread Monitor'!$Y$7:$Y$850,0)),"")</f>
        <v/>
      </c>
      <c r="I26" s="22">
        <f>IFERROR(INDEX('Spread Monitor'!$Q$7:$Q$850,MATCH("USD|6",'Spread Monitor'!$Y$7:$Y$850,0)),"")</f>
        <v/>
      </c>
      <c r="J26" s="22">
        <f>IFERROR(INDEX('Spread Monitor'!$R$7:$R$850,MATCH("USD|6",'Spread Monitor'!$Y$7:$Y$850,0)),"")</f>
        <v/>
      </c>
      <c r="K26" s="23">
        <f>IFERROR(INDEX('Spread Monitor'!$S$7:$S$850,MATCH("USD|6",'Spread Monitor'!$Y$7:$Y$850,0)),"")</f>
        <v/>
      </c>
    </row>
    <row r="27">
      <c r="A27" s="8">
        <f>IFERROR(INDEX('Spread Monitor'!$A$7:$A$850,MATCH("USD|7",'Spread Monitor'!$Y$7:$Y$850,0)),"")</f>
        <v/>
      </c>
      <c r="B27" s="8">
        <f>IFERROR(INDEX('Spread Monitor'!$B$7:$B$850,MATCH("USD|7",'Spread Monitor'!$Y$7:$Y$850,0)),"")</f>
        <v/>
      </c>
      <c r="C27" s="8">
        <f>IFERROR(INDEX('Spread Monitor'!$C$7:$C$850,MATCH("USD|7",'Spread Monitor'!$Y$7:$Y$850,0)),"")</f>
        <v/>
      </c>
      <c r="D27" s="8">
        <f>IFERROR(INDEX('Spread Monitor'!$E$7:$E$850,MATCH("USD|7",'Spread Monitor'!$Y$7:$Y$850,0)),"")</f>
        <v/>
      </c>
      <c r="E27" s="8">
        <f>IFERROR(INDEX('Spread Monitor'!$G$7:$G$850,MATCH("USD|7",'Spread Monitor'!$Y$7:$Y$850,0)),"")</f>
        <v/>
      </c>
      <c r="F27" s="8">
        <f>IFERROR(INDEX('Spread Monitor'!$H$7:$H$850,MATCH("USD|7",'Spread Monitor'!$Y$7:$Y$850,0)),"")</f>
        <v/>
      </c>
      <c r="G27" s="10">
        <f>IFERROR(INDEX('Spread Monitor'!$L$7:$L$850,MATCH("USD|7",'Spread Monitor'!$Y$7:$Y$850,0)),"")</f>
        <v/>
      </c>
      <c r="H27" s="12">
        <f>IFERROR(INDEX('Spread Monitor'!$O$7:$O$850,MATCH("USD|7",'Spread Monitor'!$Y$7:$Y$850,0)),"")</f>
        <v/>
      </c>
      <c r="I27" s="13">
        <f>IFERROR(INDEX('Spread Monitor'!$Q$7:$Q$850,MATCH("USD|7",'Spread Monitor'!$Y$7:$Y$850,0)),"")</f>
        <v/>
      </c>
      <c r="J27" s="13">
        <f>IFERROR(INDEX('Spread Monitor'!$R$7:$R$850,MATCH("USD|7",'Spread Monitor'!$Y$7:$Y$850,0)),"")</f>
        <v/>
      </c>
      <c r="K27" s="14">
        <f>IFERROR(INDEX('Spread Monitor'!$S$7:$S$850,MATCH("USD|7",'Spread Monitor'!$Y$7:$Y$850,0)),"")</f>
        <v/>
      </c>
    </row>
    <row r="28">
      <c r="A28" s="17">
        <f>IFERROR(INDEX('Spread Monitor'!$A$7:$A$850,MATCH("USD|8",'Spread Monitor'!$Y$7:$Y$850,0)),"")</f>
        <v/>
      </c>
      <c r="B28" s="17">
        <f>IFERROR(INDEX('Spread Monitor'!$B$7:$B$850,MATCH("USD|8",'Spread Monitor'!$Y$7:$Y$850,0)),"")</f>
        <v/>
      </c>
      <c r="C28" s="17">
        <f>IFERROR(INDEX('Spread Monitor'!$C$7:$C$850,MATCH("USD|8",'Spread Monitor'!$Y$7:$Y$850,0)),"")</f>
        <v/>
      </c>
      <c r="D28" s="17">
        <f>IFERROR(INDEX('Spread Monitor'!$E$7:$E$850,MATCH("USD|8",'Spread Monitor'!$Y$7:$Y$850,0)),"")</f>
        <v/>
      </c>
      <c r="E28" s="17">
        <f>IFERROR(INDEX('Spread Monitor'!$G$7:$G$850,MATCH("USD|8",'Spread Monitor'!$Y$7:$Y$850,0)),"")</f>
        <v/>
      </c>
      <c r="F28" s="17">
        <f>IFERROR(INDEX('Spread Monitor'!$H$7:$H$850,MATCH("USD|8",'Spread Monitor'!$Y$7:$Y$850,0)),"")</f>
        <v/>
      </c>
      <c r="G28" s="19">
        <f>IFERROR(INDEX('Spread Monitor'!$L$7:$L$850,MATCH("USD|8",'Spread Monitor'!$Y$7:$Y$850,0)),"")</f>
        <v/>
      </c>
      <c r="H28" s="21">
        <f>IFERROR(INDEX('Spread Monitor'!$O$7:$O$850,MATCH("USD|8",'Spread Monitor'!$Y$7:$Y$850,0)),"")</f>
        <v/>
      </c>
      <c r="I28" s="22">
        <f>IFERROR(INDEX('Spread Monitor'!$Q$7:$Q$850,MATCH("USD|8",'Spread Monitor'!$Y$7:$Y$850,0)),"")</f>
        <v/>
      </c>
      <c r="J28" s="22">
        <f>IFERROR(INDEX('Spread Monitor'!$R$7:$R$850,MATCH("USD|8",'Spread Monitor'!$Y$7:$Y$850,0)),"")</f>
        <v/>
      </c>
      <c r="K28" s="23">
        <f>IFERROR(INDEX('Spread Monitor'!$S$7:$S$850,MATCH("USD|8",'Spread Monitor'!$Y$7:$Y$850,0)),"")</f>
        <v/>
      </c>
    </row>
    <row r="29">
      <c r="A29" s="8">
        <f>IFERROR(INDEX('Spread Monitor'!$A$7:$A$850,MATCH("USD|9",'Spread Monitor'!$Y$7:$Y$850,0)),"")</f>
        <v/>
      </c>
      <c r="B29" s="8">
        <f>IFERROR(INDEX('Spread Monitor'!$B$7:$B$850,MATCH("USD|9",'Spread Monitor'!$Y$7:$Y$850,0)),"")</f>
        <v/>
      </c>
      <c r="C29" s="8">
        <f>IFERROR(INDEX('Spread Monitor'!$C$7:$C$850,MATCH("USD|9",'Spread Monitor'!$Y$7:$Y$850,0)),"")</f>
        <v/>
      </c>
      <c r="D29" s="8">
        <f>IFERROR(INDEX('Spread Monitor'!$E$7:$E$850,MATCH("USD|9",'Spread Monitor'!$Y$7:$Y$850,0)),"")</f>
        <v/>
      </c>
      <c r="E29" s="8">
        <f>IFERROR(INDEX('Spread Monitor'!$G$7:$G$850,MATCH("USD|9",'Spread Monitor'!$Y$7:$Y$850,0)),"")</f>
        <v/>
      </c>
      <c r="F29" s="8">
        <f>IFERROR(INDEX('Spread Monitor'!$H$7:$H$850,MATCH("USD|9",'Spread Monitor'!$Y$7:$Y$850,0)),"")</f>
        <v/>
      </c>
      <c r="G29" s="10">
        <f>IFERROR(INDEX('Spread Monitor'!$L$7:$L$850,MATCH("USD|9",'Spread Monitor'!$Y$7:$Y$850,0)),"")</f>
        <v/>
      </c>
      <c r="H29" s="12">
        <f>IFERROR(INDEX('Spread Monitor'!$O$7:$O$850,MATCH("USD|9",'Spread Monitor'!$Y$7:$Y$850,0)),"")</f>
        <v/>
      </c>
      <c r="I29" s="13">
        <f>IFERROR(INDEX('Spread Monitor'!$Q$7:$Q$850,MATCH("USD|9",'Spread Monitor'!$Y$7:$Y$850,0)),"")</f>
        <v/>
      </c>
      <c r="J29" s="13">
        <f>IFERROR(INDEX('Spread Monitor'!$R$7:$R$850,MATCH("USD|9",'Spread Monitor'!$Y$7:$Y$850,0)),"")</f>
        <v/>
      </c>
      <c r="K29" s="14">
        <f>IFERROR(INDEX('Spread Monitor'!$S$7:$S$850,MATCH("USD|9",'Spread Monitor'!$Y$7:$Y$850,0)),"")</f>
        <v/>
      </c>
    </row>
    <row r="30">
      <c r="A30" s="17">
        <f>IFERROR(INDEX('Spread Monitor'!$A$7:$A$850,MATCH("USD|10",'Spread Monitor'!$Y$7:$Y$850,0)),"")</f>
        <v/>
      </c>
      <c r="B30" s="17">
        <f>IFERROR(INDEX('Spread Monitor'!$B$7:$B$850,MATCH("USD|10",'Spread Monitor'!$Y$7:$Y$850,0)),"")</f>
        <v/>
      </c>
      <c r="C30" s="17">
        <f>IFERROR(INDEX('Spread Monitor'!$C$7:$C$850,MATCH("USD|10",'Spread Monitor'!$Y$7:$Y$850,0)),"")</f>
        <v/>
      </c>
      <c r="D30" s="17">
        <f>IFERROR(INDEX('Spread Monitor'!$E$7:$E$850,MATCH("USD|10",'Spread Monitor'!$Y$7:$Y$850,0)),"")</f>
        <v/>
      </c>
      <c r="E30" s="17">
        <f>IFERROR(INDEX('Spread Monitor'!$G$7:$G$850,MATCH("USD|10",'Spread Monitor'!$Y$7:$Y$850,0)),"")</f>
        <v/>
      </c>
      <c r="F30" s="17">
        <f>IFERROR(INDEX('Spread Monitor'!$H$7:$H$850,MATCH("USD|10",'Spread Monitor'!$Y$7:$Y$850,0)),"")</f>
        <v/>
      </c>
      <c r="G30" s="19">
        <f>IFERROR(INDEX('Spread Monitor'!$L$7:$L$850,MATCH("USD|10",'Spread Monitor'!$Y$7:$Y$850,0)),"")</f>
        <v/>
      </c>
      <c r="H30" s="21">
        <f>IFERROR(INDEX('Spread Monitor'!$O$7:$O$850,MATCH("USD|10",'Spread Monitor'!$Y$7:$Y$850,0)),"")</f>
        <v/>
      </c>
      <c r="I30" s="22">
        <f>IFERROR(INDEX('Spread Monitor'!$Q$7:$Q$850,MATCH("USD|10",'Spread Monitor'!$Y$7:$Y$850,0)),"")</f>
        <v/>
      </c>
      <c r="J30" s="22">
        <f>IFERROR(INDEX('Spread Monitor'!$R$7:$R$850,MATCH("USD|10",'Spread Monitor'!$Y$7:$Y$850,0)),"")</f>
        <v/>
      </c>
      <c r="K30" s="23">
        <f>IFERROR(INDEX('Spread Monitor'!$S$7:$S$850,MATCH("USD|10",'Spread Monitor'!$Y$7:$Y$850,0)),"")</f>
        <v/>
      </c>
    </row>
    <row r="33">
      <c r="A33" s="26" t="inlineStr">
        <is>
          <t>EUR - Top 10 that widened the most since 14.07.2026</t>
        </is>
      </c>
    </row>
    <row r="34" ht="26" customHeight="1">
      <c r="A34" s="27" t="inlineStr">
        <is>
          <t>ISIN</t>
        </is>
      </c>
      <c r="B34" s="27" t="inlineStr">
        <is>
          <t>Company</t>
        </is>
      </c>
      <c r="C34" s="27" t="inlineStr">
        <is>
          <t>Company description</t>
        </is>
      </c>
      <c r="D34" s="27" t="inlineStr">
        <is>
          <t>Sector</t>
        </is>
      </c>
      <c r="E34" s="27" t="inlineStr">
        <is>
          <t>Ccy</t>
        </is>
      </c>
      <c r="F34" s="27" t="inlineStr">
        <is>
          <t>Rating</t>
        </is>
      </c>
      <c r="G34" s="27" t="inlineStr">
        <is>
          <t>Maturity</t>
        </is>
      </c>
      <c r="H34" s="27" t="inlineStr">
        <is>
          <t>YTW (%)</t>
        </is>
      </c>
      <c r="I34" s="27" t="inlineStr">
        <is>
          <t>Spread today (bp)</t>
        </is>
      </c>
      <c r="J34" s="27" t="inlineStr">
        <is>
          <t>Spread on anchor (bp)</t>
        </is>
      </c>
      <c r="K34" s="27" t="inlineStr">
        <is>
          <t>Spread change (bp)</t>
        </is>
      </c>
    </row>
    <row r="35">
      <c r="A35" s="8">
        <f>IFERROR(INDEX('Spread Monitor'!$A$7:$A$850,MATCH("EUR|1",'Spread Monitor'!$X$7:$X$850,0)),"")</f>
        <v/>
      </c>
      <c r="B35" s="8">
        <f>IFERROR(INDEX('Spread Monitor'!$B$7:$B$850,MATCH("EUR|1",'Spread Monitor'!$X$7:$X$850,0)),"")</f>
        <v/>
      </c>
      <c r="C35" s="8">
        <f>IFERROR(INDEX('Spread Monitor'!$C$7:$C$850,MATCH("EUR|1",'Spread Monitor'!$X$7:$X$850,0)),"")</f>
        <v/>
      </c>
      <c r="D35" s="8">
        <f>IFERROR(INDEX('Spread Monitor'!$E$7:$E$850,MATCH("EUR|1",'Spread Monitor'!$X$7:$X$850,0)),"")</f>
        <v/>
      </c>
      <c r="E35" s="8">
        <f>IFERROR(INDEX('Spread Monitor'!$G$7:$G$850,MATCH("EUR|1",'Spread Monitor'!$X$7:$X$850,0)),"")</f>
        <v/>
      </c>
      <c r="F35" s="8">
        <f>IFERROR(INDEX('Spread Monitor'!$H$7:$H$850,MATCH("EUR|1",'Spread Monitor'!$X$7:$X$850,0)),"")</f>
        <v/>
      </c>
      <c r="G35" s="10">
        <f>IFERROR(INDEX('Spread Monitor'!$L$7:$L$850,MATCH("EUR|1",'Spread Monitor'!$X$7:$X$850,0)),"")</f>
        <v/>
      </c>
      <c r="H35" s="12">
        <f>IFERROR(INDEX('Spread Monitor'!$O$7:$O$850,MATCH("EUR|1",'Spread Monitor'!$X$7:$X$850,0)),"")</f>
        <v/>
      </c>
      <c r="I35" s="13">
        <f>IFERROR(INDEX('Spread Monitor'!$Q$7:$Q$850,MATCH("EUR|1",'Spread Monitor'!$X$7:$X$850,0)),"")</f>
        <v/>
      </c>
      <c r="J35" s="13">
        <f>IFERROR(INDEX('Spread Monitor'!$R$7:$R$850,MATCH("EUR|1",'Spread Monitor'!$X$7:$X$850,0)),"")</f>
        <v/>
      </c>
      <c r="K35" s="14">
        <f>IFERROR(INDEX('Spread Monitor'!$S$7:$S$850,MATCH("EUR|1",'Spread Monitor'!$X$7:$X$850,0)),"")</f>
        <v/>
      </c>
    </row>
    <row r="36">
      <c r="A36" s="17">
        <f>IFERROR(INDEX('Spread Monitor'!$A$7:$A$850,MATCH("EUR|2",'Spread Monitor'!$X$7:$X$850,0)),"")</f>
        <v/>
      </c>
      <c r="B36" s="17">
        <f>IFERROR(INDEX('Spread Monitor'!$B$7:$B$850,MATCH("EUR|2",'Spread Monitor'!$X$7:$X$850,0)),"")</f>
        <v/>
      </c>
      <c r="C36" s="17">
        <f>IFERROR(INDEX('Spread Monitor'!$C$7:$C$850,MATCH("EUR|2",'Spread Monitor'!$X$7:$X$850,0)),"")</f>
        <v/>
      </c>
      <c r="D36" s="17">
        <f>IFERROR(INDEX('Spread Monitor'!$E$7:$E$850,MATCH("EUR|2",'Spread Monitor'!$X$7:$X$850,0)),"")</f>
        <v/>
      </c>
      <c r="E36" s="17">
        <f>IFERROR(INDEX('Spread Monitor'!$G$7:$G$850,MATCH("EUR|2",'Spread Monitor'!$X$7:$X$850,0)),"")</f>
        <v/>
      </c>
      <c r="F36" s="17">
        <f>IFERROR(INDEX('Spread Monitor'!$H$7:$H$850,MATCH("EUR|2",'Spread Monitor'!$X$7:$X$850,0)),"")</f>
        <v/>
      </c>
      <c r="G36" s="19">
        <f>IFERROR(INDEX('Spread Monitor'!$L$7:$L$850,MATCH("EUR|2",'Spread Monitor'!$X$7:$X$850,0)),"")</f>
        <v/>
      </c>
      <c r="H36" s="21">
        <f>IFERROR(INDEX('Spread Monitor'!$O$7:$O$850,MATCH("EUR|2",'Spread Monitor'!$X$7:$X$850,0)),"")</f>
        <v/>
      </c>
      <c r="I36" s="22">
        <f>IFERROR(INDEX('Spread Monitor'!$Q$7:$Q$850,MATCH("EUR|2",'Spread Monitor'!$X$7:$X$850,0)),"")</f>
        <v/>
      </c>
      <c r="J36" s="22">
        <f>IFERROR(INDEX('Spread Monitor'!$R$7:$R$850,MATCH("EUR|2",'Spread Monitor'!$X$7:$X$850,0)),"")</f>
        <v/>
      </c>
      <c r="K36" s="23">
        <f>IFERROR(INDEX('Spread Monitor'!$S$7:$S$850,MATCH("EUR|2",'Spread Monitor'!$X$7:$X$850,0)),"")</f>
        <v/>
      </c>
    </row>
    <row r="37">
      <c r="A37" s="8">
        <f>IFERROR(INDEX('Spread Monitor'!$A$7:$A$850,MATCH("EUR|3",'Spread Monitor'!$X$7:$X$850,0)),"")</f>
        <v/>
      </c>
      <c r="B37" s="8">
        <f>IFERROR(INDEX('Spread Monitor'!$B$7:$B$850,MATCH("EUR|3",'Spread Monitor'!$X$7:$X$850,0)),"")</f>
        <v/>
      </c>
      <c r="C37" s="8">
        <f>IFERROR(INDEX('Spread Monitor'!$C$7:$C$850,MATCH("EUR|3",'Spread Monitor'!$X$7:$X$850,0)),"")</f>
        <v/>
      </c>
      <c r="D37" s="8">
        <f>IFERROR(INDEX('Spread Monitor'!$E$7:$E$850,MATCH("EUR|3",'Spread Monitor'!$X$7:$X$850,0)),"")</f>
        <v/>
      </c>
      <c r="E37" s="8">
        <f>IFERROR(INDEX('Spread Monitor'!$G$7:$G$850,MATCH("EUR|3",'Spread Monitor'!$X$7:$X$850,0)),"")</f>
        <v/>
      </c>
      <c r="F37" s="8">
        <f>IFERROR(INDEX('Spread Monitor'!$H$7:$H$850,MATCH("EUR|3",'Spread Monitor'!$X$7:$X$850,0)),"")</f>
        <v/>
      </c>
      <c r="G37" s="10">
        <f>IFERROR(INDEX('Spread Monitor'!$L$7:$L$850,MATCH("EUR|3",'Spread Monitor'!$X$7:$X$850,0)),"")</f>
        <v/>
      </c>
      <c r="H37" s="12">
        <f>IFERROR(INDEX('Spread Monitor'!$O$7:$O$850,MATCH("EUR|3",'Spread Monitor'!$X$7:$X$850,0)),"")</f>
        <v/>
      </c>
      <c r="I37" s="13">
        <f>IFERROR(INDEX('Spread Monitor'!$Q$7:$Q$850,MATCH("EUR|3",'Spread Monitor'!$X$7:$X$850,0)),"")</f>
        <v/>
      </c>
      <c r="J37" s="13">
        <f>IFERROR(INDEX('Spread Monitor'!$R$7:$R$850,MATCH("EUR|3",'Spread Monitor'!$X$7:$X$850,0)),"")</f>
        <v/>
      </c>
      <c r="K37" s="14">
        <f>IFERROR(INDEX('Spread Monitor'!$S$7:$S$850,MATCH("EUR|3",'Spread Monitor'!$X$7:$X$850,0)),"")</f>
        <v/>
      </c>
    </row>
    <row r="38">
      <c r="A38" s="17">
        <f>IFERROR(INDEX('Spread Monitor'!$A$7:$A$850,MATCH("EUR|4",'Spread Monitor'!$X$7:$X$850,0)),"")</f>
        <v/>
      </c>
      <c r="B38" s="17">
        <f>IFERROR(INDEX('Spread Monitor'!$B$7:$B$850,MATCH("EUR|4",'Spread Monitor'!$X$7:$X$850,0)),"")</f>
        <v/>
      </c>
      <c r="C38" s="17">
        <f>IFERROR(INDEX('Spread Monitor'!$C$7:$C$850,MATCH("EUR|4",'Spread Monitor'!$X$7:$X$850,0)),"")</f>
        <v/>
      </c>
      <c r="D38" s="17">
        <f>IFERROR(INDEX('Spread Monitor'!$E$7:$E$850,MATCH("EUR|4",'Spread Monitor'!$X$7:$X$850,0)),"")</f>
        <v/>
      </c>
      <c r="E38" s="17">
        <f>IFERROR(INDEX('Spread Monitor'!$G$7:$G$850,MATCH("EUR|4",'Spread Monitor'!$X$7:$X$850,0)),"")</f>
        <v/>
      </c>
      <c r="F38" s="17">
        <f>IFERROR(INDEX('Spread Monitor'!$H$7:$H$850,MATCH("EUR|4",'Spread Monitor'!$X$7:$X$850,0)),"")</f>
        <v/>
      </c>
      <c r="G38" s="19">
        <f>IFERROR(INDEX('Spread Monitor'!$L$7:$L$850,MATCH("EUR|4",'Spread Monitor'!$X$7:$X$850,0)),"")</f>
        <v/>
      </c>
      <c r="H38" s="21">
        <f>IFERROR(INDEX('Spread Monitor'!$O$7:$O$850,MATCH("EUR|4",'Spread Monitor'!$X$7:$X$850,0)),"")</f>
        <v/>
      </c>
      <c r="I38" s="22">
        <f>IFERROR(INDEX('Spread Monitor'!$Q$7:$Q$850,MATCH("EUR|4",'Spread Monitor'!$X$7:$X$850,0)),"")</f>
        <v/>
      </c>
      <c r="J38" s="22">
        <f>IFERROR(INDEX('Spread Monitor'!$R$7:$R$850,MATCH("EUR|4",'Spread Monitor'!$X$7:$X$850,0)),"")</f>
        <v/>
      </c>
      <c r="K38" s="23">
        <f>IFERROR(INDEX('Spread Monitor'!$S$7:$S$850,MATCH("EUR|4",'Spread Monitor'!$X$7:$X$850,0)),"")</f>
        <v/>
      </c>
    </row>
    <row r="39">
      <c r="A39" s="8">
        <f>IFERROR(INDEX('Spread Monitor'!$A$7:$A$850,MATCH("EUR|5",'Spread Monitor'!$X$7:$X$850,0)),"")</f>
        <v/>
      </c>
      <c r="B39" s="8">
        <f>IFERROR(INDEX('Spread Monitor'!$B$7:$B$850,MATCH("EUR|5",'Spread Monitor'!$X$7:$X$850,0)),"")</f>
        <v/>
      </c>
      <c r="C39" s="8">
        <f>IFERROR(INDEX('Spread Monitor'!$C$7:$C$850,MATCH("EUR|5",'Spread Monitor'!$X$7:$X$850,0)),"")</f>
        <v/>
      </c>
      <c r="D39" s="8">
        <f>IFERROR(INDEX('Spread Monitor'!$E$7:$E$850,MATCH("EUR|5",'Spread Monitor'!$X$7:$X$850,0)),"")</f>
        <v/>
      </c>
      <c r="E39" s="8">
        <f>IFERROR(INDEX('Spread Monitor'!$G$7:$G$850,MATCH("EUR|5",'Spread Monitor'!$X$7:$X$850,0)),"")</f>
        <v/>
      </c>
      <c r="F39" s="8">
        <f>IFERROR(INDEX('Spread Monitor'!$H$7:$H$850,MATCH("EUR|5",'Spread Monitor'!$X$7:$X$850,0)),"")</f>
        <v/>
      </c>
      <c r="G39" s="10">
        <f>IFERROR(INDEX('Spread Monitor'!$L$7:$L$850,MATCH("EUR|5",'Spread Monitor'!$X$7:$X$850,0)),"")</f>
        <v/>
      </c>
      <c r="H39" s="12">
        <f>IFERROR(INDEX('Spread Monitor'!$O$7:$O$850,MATCH("EUR|5",'Spread Monitor'!$X$7:$X$850,0)),"")</f>
        <v/>
      </c>
      <c r="I39" s="13">
        <f>IFERROR(INDEX('Spread Monitor'!$Q$7:$Q$850,MATCH("EUR|5",'Spread Monitor'!$X$7:$X$850,0)),"")</f>
        <v/>
      </c>
      <c r="J39" s="13">
        <f>IFERROR(INDEX('Spread Monitor'!$R$7:$R$850,MATCH("EUR|5",'Spread Monitor'!$X$7:$X$850,0)),"")</f>
        <v/>
      </c>
      <c r="K39" s="14">
        <f>IFERROR(INDEX('Spread Monitor'!$S$7:$S$850,MATCH("EUR|5",'Spread Monitor'!$X$7:$X$850,0)),"")</f>
        <v/>
      </c>
    </row>
    <row r="40">
      <c r="A40" s="17">
        <f>IFERROR(INDEX('Spread Monitor'!$A$7:$A$850,MATCH("EUR|6",'Spread Monitor'!$X$7:$X$850,0)),"")</f>
        <v/>
      </c>
      <c r="B40" s="17">
        <f>IFERROR(INDEX('Spread Monitor'!$B$7:$B$850,MATCH("EUR|6",'Spread Monitor'!$X$7:$X$850,0)),"")</f>
        <v/>
      </c>
      <c r="C40" s="17">
        <f>IFERROR(INDEX('Spread Monitor'!$C$7:$C$850,MATCH("EUR|6",'Spread Monitor'!$X$7:$X$850,0)),"")</f>
        <v/>
      </c>
      <c r="D40" s="17">
        <f>IFERROR(INDEX('Spread Monitor'!$E$7:$E$850,MATCH("EUR|6",'Spread Monitor'!$X$7:$X$850,0)),"")</f>
        <v/>
      </c>
      <c r="E40" s="17">
        <f>IFERROR(INDEX('Spread Monitor'!$G$7:$G$850,MATCH("EUR|6",'Spread Monitor'!$X$7:$X$850,0)),"")</f>
        <v/>
      </c>
      <c r="F40" s="17">
        <f>IFERROR(INDEX('Spread Monitor'!$H$7:$H$850,MATCH("EUR|6",'Spread Monitor'!$X$7:$X$850,0)),"")</f>
        <v/>
      </c>
      <c r="G40" s="19">
        <f>IFERROR(INDEX('Spread Monitor'!$L$7:$L$850,MATCH("EUR|6",'Spread Monitor'!$X$7:$X$850,0)),"")</f>
        <v/>
      </c>
      <c r="H40" s="21">
        <f>IFERROR(INDEX('Spread Monitor'!$O$7:$O$850,MATCH("EUR|6",'Spread Monitor'!$X$7:$X$850,0)),"")</f>
        <v/>
      </c>
      <c r="I40" s="22">
        <f>IFERROR(INDEX('Spread Monitor'!$Q$7:$Q$850,MATCH("EUR|6",'Spread Monitor'!$X$7:$X$850,0)),"")</f>
        <v/>
      </c>
      <c r="J40" s="22">
        <f>IFERROR(INDEX('Spread Monitor'!$R$7:$R$850,MATCH("EUR|6",'Spread Monitor'!$X$7:$X$850,0)),"")</f>
        <v/>
      </c>
      <c r="K40" s="23">
        <f>IFERROR(INDEX('Spread Monitor'!$S$7:$S$850,MATCH("EUR|6",'Spread Monitor'!$X$7:$X$850,0)),"")</f>
        <v/>
      </c>
    </row>
    <row r="41">
      <c r="A41" s="8">
        <f>IFERROR(INDEX('Spread Monitor'!$A$7:$A$850,MATCH("EUR|7",'Spread Monitor'!$X$7:$X$850,0)),"")</f>
        <v/>
      </c>
      <c r="B41" s="8">
        <f>IFERROR(INDEX('Spread Monitor'!$B$7:$B$850,MATCH("EUR|7",'Spread Monitor'!$X$7:$X$850,0)),"")</f>
        <v/>
      </c>
      <c r="C41" s="8">
        <f>IFERROR(INDEX('Spread Monitor'!$C$7:$C$850,MATCH("EUR|7",'Spread Monitor'!$X$7:$X$850,0)),"")</f>
        <v/>
      </c>
      <c r="D41" s="8">
        <f>IFERROR(INDEX('Spread Monitor'!$E$7:$E$850,MATCH("EUR|7",'Spread Monitor'!$X$7:$X$850,0)),"")</f>
        <v/>
      </c>
      <c r="E41" s="8">
        <f>IFERROR(INDEX('Spread Monitor'!$G$7:$G$850,MATCH("EUR|7",'Spread Monitor'!$X$7:$X$850,0)),"")</f>
        <v/>
      </c>
      <c r="F41" s="8">
        <f>IFERROR(INDEX('Spread Monitor'!$H$7:$H$850,MATCH("EUR|7",'Spread Monitor'!$X$7:$X$850,0)),"")</f>
        <v/>
      </c>
      <c r="G41" s="10">
        <f>IFERROR(INDEX('Spread Monitor'!$L$7:$L$850,MATCH("EUR|7",'Spread Monitor'!$X$7:$X$850,0)),"")</f>
        <v/>
      </c>
      <c r="H41" s="12">
        <f>IFERROR(INDEX('Spread Monitor'!$O$7:$O$850,MATCH("EUR|7",'Spread Monitor'!$X$7:$X$850,0)),"")</f>
        <v/>
      </c>
      <c r="I41" s="13">
        <f>IFERROR(INDEX('Spread Monitor'!$Q$7:$Q$850,MATCH("EUR|7",'Spread Monitor'!$X$7:$X$850,0)),"")</f>
        <v/>
      </c>
      <c r="J41" s="13">
        <f>IFERROR(INDEX('Spread Monitor'!$R$7:$R$850,MATCH("EUR|7",'Spread Monitor'!$X$7:$X$850,0)),"")</f>
        <v/>
      </c>
      <c r="K41" s="14">
        <f>IFERROR(INDEX('Spread Monitor'!$S$7:$S$850,MATCH("EUR|7",'Spread Monitor'!$X$7:$X$850,0)),"")</f>
        <v/>
      </c>
    </row>
    <row r="42">
      <c r="A42" s="17">
        <f>IFERROR(INDEX('Spread Monitor'!$A$7:$A$850,MATCH("EUR|8",'Spread Monitor'!$X$7:$X$850,0)),"")</f>
        <v/>
      </c>
      <c r="B42" s="17">
        <f>IFERROR(INDEX('Spread Monitor'!$B$7:$B$850,MATCH("EUR|8",'Spread Monitor'!$X$7:$X$850,0)),"")</f>
        <v/>
      </c>
      <c r="C42" s="17">
        <f>IFERROR(INDEX('Spread Monitor'!$C$7:$C$850,MATCH("EUR|8",'Spread Monitor'!$X$7:$X$850,0)),"")</f>
        <v/>
      </c>
      <c r="D42" s="17">
        <f>IFERROR(INDEX('Spread Monitor'!$E$7:$E$850,MATCH("EUR|8",'Spread Monitor'!$X$7:$X$850,0)),"")</f>
        <v/>
      </c>
      <c r="E42" s="17">
        <f>IFERROR(INDEX('Spread Monitor'!$G$7:$G$850,MATCH("EUR|8",'Spread Monitor'!$X$7:$X$850,0)),"")</f>
        <v/>
      </c>
      <c r="F42" s="17">
        <f>IFERROR(INDEX('Spread Monitor'!$H$7:$H$850,MATCH("EUR|8",'Spread Monitor'!$X$7:$X$850,0)),"")</f>
        <v/>
      </c>
      <c r="G42" s="19">
        <f>IFERROR(INDEX('Spread Monitor'!$L$7:$L$850,MATCH("EUR|8",'Spread Monitor'!$X$7:$X$850,0)),"")</f>
        <v/>
      </c>
      <c r="H42" s="21">
        <f>IFERROR(INDEX('Spread Monitor'!$O$7:$O$850,MATCH("EUR|8",'Spread Monitor'!$X$7:$X$850,0)),"")</f>
        <v/>
      </c>
      <c r="I42" s="22">
        <f>IFERROR(INDEX('Spread Monitor'!$Q$7:$Q$850,MATCH("EUR|8",'Spread Monitor'!$X$7:$X$850,0)),"")</f>
        <v/>
      </c>
      <c r="J42" s="22">
        <f>IFERROR(INDEX('Spread Monitor'!$R$7:$R$850,MATCH("EUR|8",'Spread Monitor'!$X$7:$X$850,0)),"")</f>
        <v/>
      </c>
      <c r="K42" s="23">
        <f>IFERROR(INDEX('Spread Monitor'!$S$7:$S$850,MATCH("EUR|8",'Spread Monitor'!$X$7:$X$850,0)),"")</f>
        <v/>
      </c>
    </row>
    <row r="43">
      <c r="A43" s="8">
        <f>IFERROR(INDEX('Spread Monitor'!$A$7:$A$850,MATCH("EUR|9",'Spread Monitor'!$X$7:$X$850,0)),"")</f>
        <v/>
      </c>
      <c r="B43" s="8">
        <f>IFERROR(INDEX('Spread Monitor'!$B$7:$B$850,MATCH("EUR|9",'Spread Monitor'!$X$7:$X$850,0)),"")</f>
        <v/>
      </c>
      <c r="C43" s="8">
        <f>IFERROR(INDEX('Spread Monitor'!$C$7:$C$850,MATCH("EUR|9",'Spread Monitor'!$X$7:$X$850,0)),"")</f>
        <v/>
      </c>
      <c r="D43" s="8">
        <f>IFERROR(INDEX('Spread Monitor'!$E$7:$E$850,MATCH("EUR|9",'Spread Monitor'!$X$7:$X$850,0)),"")</f>
        <v/>
      </c>
      <c r="E43" s="8">
        <f>IFERROR(INDEX('Spread Monitor'!$G$7:$G$850,MATCH("EUR|9",'Spread Monitor'!$X$7:$X$850,0)),"")</f>
        <v/>
      </c>
      <c r="F43" s="8">
        <f>IFERROR(INDEX('Spread Monitor'!$H$7:$H$850,MATCH("EUR|9",'Spread Monitor'!$X$7:$X$850,0)),"")</f>
        <v/>
      </c>
      <c r="G43" s="10">
        <f>IFERROR(INDEX('Spread Monitor'!$L$7:$L$850,MATCH("EUR|9",'Spread Monitor'!$X$7:$X$850,0)),"")</f>
        <v/>
      </c>
      <c r="H43" s="12">
        <f>IFERROR(INDEX('Spread Monitor'!$O$7:$O$850,MATCH("EUR|9",'Spread Monitor'!$X$7:$X$850,0)),"")</f>
        <v/>
      </c>
      <c r="I43" s="13">
        <f>IFERROR(INDEX('Spread Monitor'!$Q$7:$Q$850,MATCH("EUR|9",'Spread Monitor'!$X$7:$X$850,0)),"")</f>
        <v/>
      </c>
      <c r="J43" s="13">
        <f>IFERROR(INDEX('Spread Monitor'!$R$7:$R$850,MATCH("EUR|9",'Spread Monitor'!$X$7:$X$850,0)),"")</f>
        <v/>
      </c>
      <c r="K43" s="14">
        <f>IFERROR(INDEX('Spread Monitor'!$S$7:$S$850,MATCH("EUR|9",'Spread Monitor'!$X$7:$X$850,0)),"")</f>
        <v/>
      </c>
    </row>
    <row r="44">
      <c r="A44" s="17">
        <f>IFERROR(INDEX('Spread Monitor'!$A$7:$A$850,MATCH("EUR|10",'Spread Monitor'!$X$7:$X$850,0)),"")</f>
        <v/>
      </c>
      <c r="B44" s="17">
        <f>IFERROR(INDEX('Spread Monitor'!$B$7:$B$850,MATCH("EUR|10",'Spread Monitor'!$X$7:$X$850,0)),"")</f>
        <v/>
      </c>
      <c r="C44" s="17">
        <f>IFERROR(INDEX('Spread Monitor'!$C$7:$C$850,MATCH("EUR|10",'Spread Monitor'!$X$7:$X$850,0)),"")</f>
        <v/>
      </c>
      <c r="D44" s="17">
        <f>IFERROR(INDEX('Spread Monitor'!$E$7:$E$850,MATCH("EUR|10",'Spread Monitor'!$X$7:$X$850,0)),"")</f>
        <v/>
      </c>
      <c r="E44" s="17">
        <f>IFERROR(INDEX('Spread Monitor'!$G$7:$G$850,MATCH("EUR|10",'Spread Monitor'!$X$7:$X$850,0)),"")</f>
        <v/>
      </c>
      <c r="F44" s="17">
        <f>IFERROR(INDEX('Spread Monitor'!$H$7:$H$850,MATCH("EUR|10",'Spread Monitor'!$X$7:$X$850,0)),"")</f>
        <v/>
      </c>
      <c r="G44" s="19">
        <f>IFERROR(INDEX('Spread Monitor'!$L$7:$L$850,MATCH("EUR|10",'Spread Monitor'!$X$7:$X$850,0)),"")</f>
        <v/>
      </c>
      <c r="H44" s="21">
        <f>IFERROR(INDEX('Spread Monitor'!$O$7:$O$850,MATCH("EUR|10",'Spread Monitor'!$X$7:$X$850,0)),"")</f>
        <v/>
      </c>
      <c r="I44" s="22">
        <f>IFERROR(INDEX('Spread Monitor'!$Q$7:$Q$850,MATCH("EUR|10",'Spread Monitor'!$X$7:$X$850,0)),"")</f>
        <v/>
      </c>
      <c r="J44" s="22">
        <f>IFERROR(INDEX('Spread Monitor'!$R$7:$R$850,MATCH("EUR|10",'Spread Monitor'!$X$7:$X$850,0)),"")</f>
        <v/>
      </c>
      <c r="K44" s="23">
        <f>IFERROR(INDEX('Spread Monitor'!$S$7:$S$850,MATCH("EUR|10",'Spread Monitor'!$X$7:$X$850,0)),"")</f>
        <v/>
      </c>
    </row>
    <row r="47">
      <c r="A47" s="28" t="inlineStr">
        <is>
          <t>EUR - Top 10 that tightened the most since 14.07.2026</t>
        </is>
      </c>
    </row>
    <row r="48" ht="26" customHeight="1">
      <c r="A48" s="27" t="inlineStr">
        <is>
          <t>ISIN</t>
        </is>
      </c>
      <c r="B48" s="27" t="inlineStr">
        <is>
          <t>Company</t>
        </is>
      </c>
      <c r="C48" s="27" t="inlineStr">
        <is>
          <t>Company description</t>
        </is>
      </c>
      <c r="D48" s="27" t="inlineStr">
        <is>
          <t>Sector</t>
        </is>
      </c>
      <c r="E48" s="27" t="inlineStr">
        <is>
          <t>Ccy</t>
        </is>
      </c>
      <c r="F48" s="27" t="inlineStr">
        <is>
          <t>Rating</t>
        </is>
      </c>
      <c r="G48" s="27" t="inlineStr">
        <is>
          <t>Maturity</t>
        </is>
      </c>
      <c r="H48" s="27" t="inlineStr">
        <is>
          <t>YTW (%)</t>
        </is>
      </c>
      <c r="I48" s="27" t="inlineStr">
        <is>
          <t>Spread today (bp)</t>
        </is>
      </c>
      <c r="J48" s="27" t="inlineStr">
        <is>
          <t>Spread on anchor (bp)</t>
        </is>
      </c>
      <c r="K48" s="27" t="inlineStr">
        <is>
          <t>Spread change (bp)</t>
        </is>
      </c>
    </row>
    <row r="49">
      <c r="A49" s="8">
        <f>IFERROR(INDEX('Spread Monitor'!$A$7:$A$850,MATCH("EUR|1",'Spread Monitor'!$Y$7:$Y$850,0)),"")</f>
        <v/>
      </c>
      <c r="B49" s="8">
        <f>IFERROR(INDEX('Spread Monitor'!$B$7:$B$850,MATCH("EUR|1",'Spread Monitor'!$Y$7:$Y$850,0)),"")</f>
        <v/>
      </c>
      <c r="C49" s="8">
        <f>IFERROR(INDEX('Spread Monitor'!$C$7:$C$850,MATCH("EUR|1",'Spread Monitor'!$Y$7:$Y$850,0)),"")</f>
        <v/>
      </c>
      <c r="D49" s="8">
        <f>IFERROR(INDEX('Spread Monitor'!$E$7:$E$850,MATCH("EUR|1",'Spread Monitor'!$Y$7:$Y$850,0)),"")</f>
        <v/>
      </c>
      <c r="E49" s="8">
        <f>IFERROR(INDEX('Spread Monitor'!$G$7:$G$850,MATCH("EUR|1",'Spread Monitor'!$Y$7:$Y$850,0)),"")</f>
        <v/>
      </c>
      <c r="F49" s="8">
        <f>IFERROR(INDEX('Spread Monitor'!$H$7:$H$850,MATCH("EUR|1",'Spread Monitor'!$Y$7:$Y$850,0)),"")</f>
        <v/>
      </c>
      <c r="G49" s="10">
        <f>IFERROR(INDEX('Spread Monitor'!$L$7:$L$850,MATCH("EUR|1",'Spread Monitor'!$Y$7:$Y$850,0)),"")</f>
        <v/>
      </c>
      <c r="H49" s="12">
        <f>IFERROR(INDEX('Spread Monitor'!$O$7:$O$850,MATCH("EUR|1",'Spread Monitor'!$Y$7:$Y$850,0)),"")</f>
        <v/>
      </c>
      <c r="I49" s="13">
        <f>IFERROR(INDEX('Spread Monitor'!$Q$7:$Q$850,MATCH("EUR|1",'Spread Monitor'!$Y$7:$Y$850,0)),"")</f>
        <v/>
      </c>
      <c r="J49" s="13">
        <f>IFERROR(INDEX('Spread Monitor'!$R$7:$R$850,MATCH("EUR|1",'Spread Monitor'!$Y$7:$Y$850,0)),"")</f>
        <v/>
      </c>
      <c r="K49" s="14">
        <f>IFERROR(INDEX('Spread Monitor'!$S$7:$S$850,MATCH("EUR|1",'Spread Monitor'!$Y$7:$Y$850,0)),"")</f>
        <v/>
      </c>
    </row>
    <row r="50">
      <c r="A50" s="17">
        <f>IFERROR(INDEX('Spread Monitor'!$A$7:$A$850,MATCH("EUR|2",'Spread Monitor'!$Y$7:$Y$850,0)),"")</f>
        <v/>
      </c>
      <c r="B50" s="17">
        <f>IFERROR(INDEX('Spread Monitor'!$B$7:$B$850,MATCH("EUR|2",'Spread Monitor'!$Y$7:$Y$850,0)),"")</f>
        <v/>
      </c>
      <c r="C50" s="17">
        <f>IFERROR(INDEX('Spread Monitor'!$C$7:$C$850,MATCH("EUR|2",'Spread Monitor'!$Y$7:$Y$850,0)),"")</f>
        <v/>
      </c>
      <c r="D50" s="17">
        <f>IFERROR(INDEX('Spread Monitor'!$E$7:$E$850,MATCH("EUR|2",'Spread Monitor'!$Y$7:$Y$850,0)),"")</f>
        <v/>
      </c>
      <c r="E50" s="17">
        <f>IFERROR(INDEX('Spread Monitor'!$G$7:$G$850,MATCH("EUR|2",'Spread Monitor'!$Y$7:$Y$850,0)),"")</f>
        <v/>
      </c>
      <c r="F50" s="17">
        <f>IFERROR(INDEX('Spread Monitor'!$H$7:$H$850,MATCH("EUR|2",'Spread Monitor'!$Y$7:$Y$850,0)),"")</f>
        <v/>
      </c>
      <c r="G50" s="19">
        <f>IFERROR(INDEX('Spread Monitor'!$L$7:$L$850,MATCH("EUR|2",'Spread Monitor'!$Y$7:$Y$850,0)),"")</f>
        <v/>
      </c>
      <c r="H50" s="21">
        <f>IFERROR(INDEX('Spread Monitor'!$O$7:$O$850,MATCH("EUR|2",'Spread Monitor'!$Y$7:$Y$850,0)),"")</f>
        <v/>
      </c>
      <c r="I50" s="22">
        <f>IFERROR(INDEX('Spread Monitor'!$Q$7:$Q$850,MATCH("EUR|2",'Spread Monitor'!$Y$7:$Y$850,0)),"")</f>
        <v/>
      </c>
      <c r="J50" s="22">
        <f>IFERROR(INDEX('Spread Monitor'!$R$7:$R$850,MATCH("EUR|2",'Spread Monitor'!$Y$7:$Y$850,0)),"")</f>
        <v/>
      </c>
      <c r="K50" s="23">
        <f>IFERROR(INDEX('Spread Monitor'!$S$7:$S$850,MATCH("EUR|2",'Spread Monitor'!$Y$7:$Y$850,0)),"")</f>
        <v/>
      </c>
    </row>
    <row r="51">
      <c r="A51" s="8">
        <f>IFERROR(INDEX('Spread Monitor'!$A$7:$A$850,MATCH("EUR|3",'Spread Monitor'!$Y$7:$Y$850,0)),"")</f>
        <v/>
      </c>
      <c r="B51" s="8">
        <f>IFERROR(INDEX('Spread Monitor'!$B$7:$B$850,MATCH("EUR|3",'Spread Monitor'!$Y$7:$Y$850,0)),"")</f>
        <v/>
      </c>
      <c r="C51" s="8">
        <f>IFERROR(INDEX('Spread Monitor'!$C$7:$C$850,MATCH("EUR|3",'Spread Monitor'!$Y$7:$Y$850,0)),"")</f>
        <v/>
      </c>
      <c r="D51" s="8">
        <f>IFERROR(INDEX('Spread Monitor'!$E$7:$E$850,MATCH("EUR|3",'Spread Monitor'!$Y$7:$Y$850,0)),"")</f>
        <v/>
      </c>
      <c r="E51" s="8">
        <f>IFERROR(INDEX('Spread Monitor'!$G$7:$G$850,MATCH("EUR|3",'Spread Monitor'!$Y$7:$Y$850,0)),"")</f>
        <v/>
      </c>
      <c r="F51" s="8">
        <f>IFERROR(INDEX('Spread Monitor'!$H$7:$H$850,MATCH("EUR|3",'Spread Monitor'!$Y$7:$Y$850,0)),"")</f>
        <v/>
      </c>
      <c r="G51" s="10">
        <f>IFERROR(INDEX('Spread Monitor'!$L$7:$L$850,MATCH("EUR|3",'Spread Monitor'!$Y$7:$Y$850,0)),"")</f>
        <v/>
      </c>
      <c r="H51" s="12">
        <f>IFERROR(INDEX('Spread Monitor'!$O$7:$O$850,MATCH("EUR|3",'Spread Monitor'!$Y$7:$Y$850,0)),"")</f>
        <v/>
      </c>
      <c r="I51" s="13">
        <f>IFERROR(INDEX('Spread Monitor'!$Q$7:$Q$850,MATCH("EUR|3",'Spread Monitor'!$Y$7:$Y$850,0)),"")</f>
        <v/>
      </c>
      <c r="J51" s="13">
        <f>IFERROR(INDEX('Spread Monitor'!$R$7:$R$850,MATCH("EUR|3",'Spread Monitor'!$Y$7:$Y$850,0)),"")</f>
        <v/>
      </c>
      <c r="K51" s="14">
        <f>IFERROR(INDEX('Spread Monitor'!$S$7:$S$850,MATCH("EUR|3",'Spread Monitor'!$Y$7:$Y$850,0)),"")</f>
        <v/>
      </c>
    </row>
    <row r="52">
      <c r="A52" s="17">
        <f>IFERROR(INDEX('Spread Monitor'!$A$7:$A$850,MATCH("EUR|4",'Spread Monitor'!$Y$7:$Y$850,0)),"")</f>
        <v/>
      </c>
      <c r="B52" s="17">
        <f>IFERROR(INDEX('Spread Monitor'!$B$7:$B$850,MATCH("EUR|4",'Spread Monitor'!$Y$7:$Y$850,0)),"")</f>
        <v/>
      </c>
      <c r="C52" s="17">
        <f>IFERROR(INDEX('Spread Monitor'!$C$7:$C$850,MATCH("EUR|4",'Spread Monitor'!$Y$7:$Y$850,0)),"")</f>
        <v/>
      </c>
      <c r="D52" s="17">
        <f>IFERROR(INDEX('Spread Monitor'!$E$7:$E$850,MATCH("EUR|4",'Spread Monitor'!$Y$7:$Y$850,0)),"")</f>
        <v/>
      </c>
      <c r="E52" s="17">
        <f>IFERROR(INDEX('Spread Monitor'!$G$7:$G$850,MATCH("EUR|4",'Spread Monitor'!$Y$7:$Y$850,0)),"")</f>
        <v/>
      </c>
      <c r="F52" s="17">
        <f>IFERROR(INDEX('Spread Monitor'!$H$7:$H$850,MATCH("EUR|4",'Spread Monitor'!$Y$7:$Y$850,0)),"")</f>
        <v/>
      </c>
      <c r="G52" s="19">
        <f>IFERROR(INDEX('Spread Monitor'!$L$7:$L$850,MATCH("EUR|4",'Spread Monitor'!$Y$7:$Y$850,0)),"")</f>
        <v/>
      </c>
      <c r="H52" s="21">
        <f>IFERROR(INDEX('Spread Monitor'!$O$7:$O$850,MATCH("EUR|4",'Spread Monitor'!$Y$7:$Y$850,0)),"")</f>
        <v/>
      </c>
      <c r="I52" s="22">
        <f>IFERROR(INDEX('Spread Monitor'!$Q$7:$Q$850,MATCH("EUR|4",'Spread Monitor'!$Y$7:$Y$850,0)),"")</f>
        <v/>
      </c>
      <c r="J52" s="22">
        <f>IFERROR(INDEX('Spread Monitor'!$R$7:$R$850,MATCH("EUR|4",'Spread Monitor'!$Y$7:$Y$850,0)),"")</f>
        <v/>
      </c>
      <c r="K52" s="23">
        <f>IFERROR(INDEX('Spread Monitor'!$S$7:$S$850,MATCH("EUR|4",'Spread Monitor'!$Y$7:$Y$850,0)),"")</f>
        <v/>
      </c>
    </row>
    <row r="53">
      <c r="A53" s="8">
        <f>IFERROR(INDEX('Spread Monitor'!$A$7:$A$850,MATCH("EUR|5",'Spread Monitor'!$Y$7:$Y$850,0)),"")</f>
        <v/>
      </c>
      <c r="B53" s="8">
        <f>IFERROR(INDEX('Spread Monitor'!$B$7:$B$850,MATCH("EUR|5",'Spread Monitor'!$Y$7:$Y$850,0)),"")</f>
        <v/>
      </c>
      <c r="C53" s="8">
        <f>IFERROR(INDEX('Spread Monitor'!$C$7:$C$850,MATCH("EUR|5",'Spread Monitor'!$Y$7:$Y$850,0)),"")</f>
        <v/>
      </c>
      <c r="D53" s="8">
        <f>IFERROR(INDEX('Spread Monitor'!$E$7:$E$850,MATCH("EUR|5",'Spread Monitor'!$Y$7:$Y$850,0)),"")</f>
        <v/>
      </c>
      <c r="E53" s="8">
        <f>IFERROR(INDEX('Spread Monitor'!$G$7:$G$850,MATCH("EUR|5",'Spread Monitor'!$Y$7:$Y$850,0)),"")</f>
        <v/>
      </c>
      <c r="F53" s="8">
        <f>IFERROR(INDEX('Spread Monitor'!$H$7:$H$850,MATCH("EUR|5",'Spread Monitor'!$Y$7:$Y$850,0)),"")</f>
        <v/>
      </c>
      <c r="G53" s="10">
        <f>IFERROR(INDEX('Spread Monitor'!$L$7:$L$850,MATCH("EUR|5",'Spread Monitor'!$Y$7:$Y$850,0)),"")</f>
        <v/>
      </c>
      <c r="H53" s="12">
        <f>IFERROR(INDEX('Spread Monitor'!$O$7:$O$850,MATCH("EUR|5",'Spread Monitor'!$Y$7:$Y$850,0)),"")</f>
        <v/>
      </c>
      <c r="I53" s="13">
        <f>IFERROR(INDEX('Spread Monitor'!$Q$7:$Q$850,MATCH("EUR|5",'Spread Monitor'!$Y$7:$Y$850,0)),"")</f>
        <v/>
      </c>
      <c r="J53" s="13">
        <f>IFERROR(INDEX('Spread Monitor'!$R$7:$R$850,MATCH("EUR|5",'Spread Monitor'!$Y$7:$Y$850,0)),"")</f>
        <v/>
      </c>
      <c r="K53" s="14">
        <f>IFERROR(INDEX('Spread Monitor'!$S$7:$S$850,MATCH("EUR|5",'Spread Monitor'!$Y$7:$Y$850,0)),"")</f>
        <v/>
      </c>
    </row>
    <row r="54">
      <c r="A54" s="17">
        <f>IFERROR(INDEX('Spread Monitor'!$A$7:$A$850,MATCH("EUR|6",'Spread Monitor'!$Y$7:$Y$850,0)),"")</f>
        <v/>
      </c>
      <c r="B54" s="17">
        <f>IFERROR(INDEX('Spread Monitor'!$B$7:$B$850,MATCH("EUR|6",'Spread Monitor'!$Y$7:$Y$850,0)),"")</f>
        <v/>
      </c>
      <c r="C54" s="17">
        <f>IFERROR(INDEX('Spread Monitor'!$C$7:$C$850,MATCH("EUR|6",'Spread Monitor'!$Y$7:$Y$850,0)),"")</f>
        <v/>
      </c>
      <c r="D54" s="17">
        <f>IFERROR(INDEX('Spread Monitor'!$E$7:$E$850,MATCH("EUR|6",'Spread Monitor'!$Y$7:$Y$850,0)),"")</f>
        <v/>
      </c>
      <c r="E54" s="17">
        <f>IFERROR(INDEX('Spread Monitor'!$G$7:$G$850,MATCH("EUR|6",'Spread Monitor'!$Y$7:$Y$850,0)),"")</f>
        <v/>
      </c>
      <c r="F54" s="17">
        <f>IFERROR(INDEX('Spread Monitor'!$H$7:$H$850,MATCH("EUR|6",'Spread Monitor'!$Y$7:$Y$850,0)),"")</f>
        <v/>
      </c>
      <c r="G54" s="19">
        <f>IFERROR(INDEX('Spread Monitor'!$L$7:$L$850,MATCH("EUR|6",'Spread Monitor'!$Y$7:$Y$850,0)),"")</f>
        <v/>
      </c>
      <c r="H54" s="21">
        <f>IFERROR(INDEX('Spread Monitor'!$O$7:$O$850,MATCH("EUR|6",'Spread Monitor'!$Y$7:$Y$850,0)),"")</f>
        <v/>
      </c>
      <c r="I54" s="22">
        <f>IFERROR(INDEX('Spread Monitor'!$Q$7:$Q$850,MATCH("EUR|6",'Spread Monitor'!$Y$7:$Y$850,0)),"")</f>
        <v/>
      </c>
      <c r="J54" s="22">
        <f>IFERROR(INDEX('Spread Monitor'!$R$7:$R$850,MATCH("EUR|6",'Spread Monitor'!$Y$7:$Y$850,0)),"")</f>
        <v/>
      </c>
      <c r="K54" s="23">
        <f>IFERROR(INDEX('Spread Monitor'!$S$7:$S$850,MATCH("EUR|6",'Spread Monitor'!$Y$7:$Y$850,0)),"")</f>
        <v/>
      </c>
    </row>
    <row r="55">
      <c r="A55" s="8">
        <f>IFERROR(INDEX('Spread Monitor'!$A$7:$A$850,MATCH("EUR|7",'Spread Monitor'!$Y$7:$Y$850,0)),"")</f>
        <v/>
      </c>
      <c r="B55" s="8">
        <f>IFERROR(INDEX('Spread Monitor'!$B$7:$B$850,MATCH("EUR|7",'Spread Monitor'!$Y$7:$Y$850,0)),"")</f>
        <v/>
      </c>
      <c r="C55" s="8">
        <f>IFERROR(INDEX('Spread Monitor'!$C$7:$C$850,MATCH("EUR|7",'Spread Monitor'!$Y$7:$Y$850,0)),"")</f>
        <v/>
      </c>
      <c r="D55" s="8">
        <f>IFERROR(INDEX('Spread Monitor'!$E$7:$E$850,MATCH("EUR|7",'Spread Monitor'!$Y$7:$Y$850,0)),"")</f>
        <v/>
      </c>
      <c r="E55" s="8">
        <f>IFERROR(INDEX('Spread Monitor'!$G$7:$G$850,MATCH("EUR|7",'Spread Monitor'!$Y$7:$Y$850,0)),"")</f>
        <v/>
      </c>
      <c r="F55" s="8">
        <f>IFERROR(INDEX('Spread Monitor'!$H$7:$H$850,MATCH("EUR|7",'Spread Monitor'!$Y$7:$Y$850,0)),"")</f>
        <v/>
      </c>
      <c r="G55" s="10">
        <f>IFERROR(INDEX('Spread Monitor'!$L$7:$L$850,MATCH("EUR|7",'Spread Monitor'!$Y$7:$Y$850,0)),"")</f>
        <v/>
      </c>
      <c r="H55" s="12">
        <f>IFERROR(INDEX('Spread Monitor'!$O$7:$O$850,MATCH("EUR|7",'Spread Monitor'!$Y$7:$Y$850,0)),"")</f>
        <v/>
      </c>
      <c r="I55" s="13">
        <f>IFERROR(INDEX('Spread Monitor'!$Q$7:$Q$850,MATCH("EUR|7",'Spread Monitor'!$Y$7:$Y$850,0)),"")</f>
        <v/>
      </c>
      <c r="J55" s="13">
        <f>IFERROR(INDEX('Spread Monitor'!$R$7:$R$850,MATCH("EUR|7",'Spread Monitor'!$Y$7:$Y$850,0)),"")</f>
        <v/>
      </c>
      <c r="K55" s="14">
        <f>IFERROR(INDEX('Spread Monitor'!$S$7:$S$850,MATCH("EUR|7",'Spread Monitor'!$Y$7:$Y$850,0)),"")</f>
        <v/>
      </c>
    </row>
    <row r="56">
      <c r="A56" s="17">
        <f>IFERROR(INDEX('Spread Monitor'!$A$7:$A$850,MATCH("EUR|8",'Spread Monitor'!$Y$7:$Y$850,0)),"")</f>
        <v/>
      </c>
      <c r="B56" s="17">
        <f>IFERROR(INDEX('Spread Monitor'!$B$7:$B$850,MATCH("EUR|8",'Spread Monitor'!$Y$7:$Y$850,0)),"")</f>
        <v/>
      </c>
      <c r="C56" s="17">
        <f>IFERROR(INDEX('Spread Monitor'!$C$7:$C$850,MATCH("EUR|8",'Spread Monitor'!$Y$7:$Y$850,0)),"")</f>
        <v/>
      </c>
      <c r="D56" s="17">
        <f>IFERROR(INDEX('Spread Monitor'!$E$7:$E$850,MATCH("EUR|8",'Spread Monitor'!$Y$7:$Y$850,0)),"")</f>
        <v/>
      </c>
      <c r="E56" s="17">
        <f>IFERROR(INDEX('Spread Monitor'!$G$7:$G$850,MATCH("EUR|8",'Spread Monitor'!$Y$7:$Y$850,0)),"")</f>
        <v/>
      </c>
      <c r="F56" s="17">
        <f>IFERROR(INDEX('Spread Monitor'!$H$7:$H$850,MATCH("EUR|8",'Spread Monitor'!$Y$7:$Y$850,0)),"")</f>
        <v/>
      </c>
      <c r="G56" s="19">
        <f>IFERROR(INDEX('Spread Monitor'!$L$7:$L$850,MATCH("EUR|8",'Spread Monitor'!$Y$7:$Y$850,0)),"")</f>
        <v/>
      </c>
      <c r="H56" s="21">
        <f>IFERROR(INDEX('Spread Monitor'!$O$7:$O$850,MATCH("EUR|8",'Spread Monitor'!$Y$7:$Y$850,0)),"")</f>
        <v/>
      </c>
      <c r="I56" s="22">
        <f>IFERROR(INDEX('Spread Monitor'!$Q$7:$Q$850,MATCH("EUR|8",'Spread Monitor'!$Y$7:$Y$850,0)),"")</f>
        <v/>
      </c>
      <c r="J56" s="22">
        <f>IFERROR(INDEX('Spread Monitor'!$R$7:$R$850,MATCH("EUR|8",'Spread Monitor'!$Y$7:$Y$850,0)),"")</f>
        <v/>
      </c>
      <c r="K56" s="23">
        <f>IFERROR(INDEX('Spread Monitor'!$S$7:$S$850,MATCH("EUR|8",'Spread Monitor'!$Y$7:$Y$850,0)),"")</f>
        <v/>
      </c>
    </row>
    <row r="57">
      <c r="A57" s="8">
        <f>IFERROR(INDEX('Spread Monitor'!$A$7:$A$850,MATCH("EUR|9",'Spread Monitor'!$Y$7:$Y$850,0)),"")</f>
        <v/>
      </c>
      <c r="B57" s="8">
        <f>IFERROR(INDEX('Spread Monitor'!$B$7:$B$850,MATCH("EUR|9",'Spread Monitor'!$Y$7:$Y$850,0)),"")</f>
        <v/>
      </c>
      <c r="C57" s="8">
        <f>IFERROR(INDEX('Spread Monitor'!$C$7:$C$850,MATCH("EUR|9",'Spread Monitor'!$Y$7:$Y$850,0)),"")</f>
        <v/>
      </c>
      <c r="D57" s="8">
        <f>IFERROR(INDEX('Spread Monitor'!$E$7:$E$850,MATCH("EUR|9",'Spread Monitor'!$Y$7:$Y$850,0)),"")</f>
        <v/>
      </c>
      <c r="E57" s="8">
        <f>IFERROR(INDEX('Spread Monitor'!$G$7:$G$850,MATCH("EUR|9",'Spread Monitor'!$Y$7:$Y$850,0)),"")</f>
        <v/>
      </c>
      <c r="F57" s="8">
        <f>IFERROR(INDEX('Spread Monitor'!$H$7:$H$850,MATCH("EUR|9",'Spread Monitor'!$Y$7:$Y$850,0)),"")</f>
        <v/>
      </c>
      <c r="G57" s="10">
        <f>IFERROR(INDEX('Spread Monitor'!$L$7:$L$850,MATCH("EUR|9",'Spread Monitor'!$Y$7:$Y$850,0)),"")</f>
        <v/>
      </c>
      <c r="H57" s="12">
        <f>IFERROR(INDEX('Spread Monitor'!$O$7:$O$850,MATCH("EUR|9",'Spread Monitor'!$Y$7:$Y$850,0)),"")</f>
        <v/>
      </c>
      <c r="I57" s="13">
        <f>IFERROR(INDEX('Spread Monitor'!$Q$7:$Q$850,MATCH("EUR|9",'Spread Monitor'!$Y$7:$Y$850,0)),"")</f>
        <v/>
      </c>
      <c r="J57" s="13">
        <f>IFERROR(INDEX('Spread Monitor'!$R$7:$R$850,MATCH("EUR|9",'Spread Monitor'!$Y$7:$Y$850,0)),"")</f>
        <v/>
      </c>
      <c r="K57" s="14">
        <f>IFERROR(INDEX('Spread Monitor'!$S$7:$S$850,MATCH("EUR|9",'Spread Monitor'!$Y$7:$Y$850,0)),"")</f>
        <v/>
      </c>
    </row>
    <row r="58">
      <c r="A58" s="17">
        <f>IFERROR(INDEX('Spread Monitor'!$A$7:$A$850,MATCH("EUR|10",'Spread Monitor'!$Y$7:$Y$850,0)),"")</f>
        <v/>
      </c>
      <c r="B58" s="17">
        <f>IFERROR(INDEX('Spread Monitor'!$B$7:$B$850,MATCH("EUR|10",'Spread Monitor'!$Y$7:$Y$850,0)),"")</f>
        <v/>
      </c>
      <c r="C58" s="17">
        <f>IFERROR(INDEX('Spread Monitor'!$C$7:$C$850,MATCH("EUR|10",'Spread Monitor'!$Y$7:$Y$850,0)),"")</f>
        <v/>
      </c>
      <c r="D58" s="17">
        <f>IFERROR(INDEX('Spread Monitor'!$E$7:$E$850,MATCH("EUR|10",'Spread Monitor'!$Y$7:$Y$850,0)),"")</f>
        <v/>
      </c>
      <c r="E58" s="17">
        <f>IFERROR(INDEX('Spread Monitor'!$G$7:$G$850,MATCH("EUR|10",'Spread Monitor'!$Y$7:$Y$850,0)),"")</f>
        <v/>
      </c>
      <c r="F58" s="17">
        <f>IFERROR(INDEX('Spread Monitor'!$H$7:$H$850,MATCH("EUR|10",'Spread Monitor'!$Y$7:$Y$850,0)),"")</f>
        <v/>
      </c>
      <c r="G58" s="19">
        <f>IFERROR(INDEX('Spread Monitor'!$L$7:$L$850,MATCH("EUR|10",'Spread Monitor'!$Y$7:$Y$850,0)),"")</f>
        <v/>
      </c>
      <c r="H58" s="21">
        <f>IFERROR(INDEX('Spread Monitor'!$O$7:$O$850,MATCH("EUR|10",'Spread Monitor'!$Y$7:$Y$850,0)),"")</f>
        <v/>
      </c>
      <c r="I58" s="22">
        <f>IFERROR(INDEX('Spread Monitor'!$Q$7:$Q$850,MATCH("EUR|10",'Spread Monitor'!$Y$7:$Y$850,0)),"")</f>
        <v/>
      </c>
      <c r="J58" s="22">
        <f>IFERROR(INDEX('Spread Monitor'!$R$7:$R$850,MATCH("EUR|10",'Spread Monitor'!$Y$7:$Y$850,0)),"")</f>
        <v/>
      </c>
      <c r="K58" s="23">
        <f>IFERROR(INDEX('Spread Monitor'!$S$7:$S$850,MATCH("EUR|10",'Spread Monitor'!$Y$7:$Y$850,0)),"")</f>
        <v/>
      </c>
    </row>
    <row r="61">
      <c r="A61" s="26" t="inlineStr">
        <is>
          <t>GBP - Top 10 that widened the most since 14.07.2026</t>
        </is>
      </c>
    </row>
    <row r="62" ht="26" customHeight="1">
      <c r="A62" s="27" t="inlineStr">
        <is>
          <t>ISIN</t>
        </is>
      </c>
      <c r="B62" s="27" t="inlineStr">
        <is>
          <t>Company</t>
        </is>
      </c>
      <c r="C62" s="27" t="inlineStr">
        <is>
          <t>Company description</t>
        </is>
      </c>
      <c r="D62" s="27" t="inlineStr">
        <is>
          <t>Sector</t>
        </is>
      </c>
      <c r="E62" s="27" t="inlineStr">
        <is>
          <t>Ccy</t>
        </is>
      </c>
      <c r="F62" s="27" t="inlineStr">
        <is>
          <t>Rating</t>
        </is>
      </c>
      <c r="G62" s="27" t="inlineStr">
        <is>
          <t>Maturity</t>
        </is>
      </c>
      <c r="H62" s="27" t="inlineStr">
        <is>
          <t>YTW (%)</t>
        </is>
      </c>
      <c r="I62" s="27" t="inlineStr">
        <is>
          <t>Spread today (bp)</t>
        </is>
      </c>
      <c r="J62" s="27" t="inlineStr">
        <is>
          <t>Spread on anchor (bp)</t>
        </is>
      </c>
      <c r="K62" s="27" t="inlineStr">
        <is>
          <t>Spread change (bp)</t>
        </is>
      </c>
    </row>
    <row r="63">
      <c r="A63" s="8">
        <f>IFERROR(INDEX('Spread Monitor'!$A$7:$A$850,MATCH("GBP|1",'Spread Monitor'!$X$7:$X$850,0)),"")</f>
        <v/>
      </c>
      <c r="B63" s="8">
        <f>IFERROR(INDEX('Spread Monitor'!$B$7:$B$850,MATCH("GBP|1",'Spread Monitor'!$X$7:$X$850,0)),"")</f>
        <v/>
      </c>
      <c r="C63" s="8">
        <f>IFERROR(INDEX('Spread Monitor'!$C$7:$C$850,MATCH("GBP|1",'Spread Monitor'!$X$7:$X$850,0)),"")</f>
        <v/>
      </c>
      <c r="D63" s="8">
        <f>IFERROR(INDEX('Spread Monitor'!$E$7:$E$850,MATCH("GBP|1",'Spread Monitor'!$X$7:$X$850,0)),"")</f>
        <v/>
      </c>
      <c r="E63" s="8">
        <f>IFERROR(INDEX('Spread Monitor'!$G$7:$G$850,MATCH("GBP|1",'Spread Monitor'!$X$7:$X$850,0)),"")</f>
        <v/>
      </c>
      <c r="F63" s="8">
        <f>IFERROR(INDEX('Spread Monitor'!$H$7:$H$850,MATCH("GBP|1",'Spread Monitor'!$X$7:$X$850,0)),"")</f>
        <v/>
      </c>
      <c r="G63" s="10">
        <f>IFERROR(INDEX('Spread Monitor'!$L$7:$L$850,MATCH("GBP|1",'Spread Monitor'!$X$7:$X$850,0)),"")</f>
        <v/>
      </c>
      <c r="H63" s="12">
        <f>IFERROR(INDEX('Spread Monitor'!$O$7:$O$850,MATCH("GBP|1",'Spread Monitor'!$X$7:$X$850,0)),"")</f>
        <v/>
      </c>
      <c r="I63" s="13">
        <f>IFERROR(INDEX('Spread Monitor'!$Q$7:$Q$850,MATCH("GBP|1",'Spread Monitor'!$X$7:$X$850,0)),"")</f>
        <v/>
      </c>
      <c r="J63" s="13">
        <f>IFERROR(INDEX('Spread Monitor'!$R$7:$R$850,MATCH("GBP|1",'Spread Monitor'!$X$7:$X$850,0)),"")</f>
        <v/>
      </c>
      <c r="K63" s="14">
        <f>IFERROR(INDEX('Spread Monitor'!$S$7:$S$850,MATCH("GBP|1",'Spread Monitor'!$X$7:$X$850,0)),"")</f>
        <v/>
      </c>
    </row>
    <row r="64">
      <c r="A64" s="17">
        <f>IFERROR(INDEX('Spread Monitor'!$A$7:$A$850,MATCH("GBP|2",'Spread Monitor'!$X$7:$X$850,0)),"")</f>
        <v/>
      </c>
      <c r="B64" s="17">
        <f>IFERROR(INDEX('Spread Monitor'!$B$7:$B$850,MATCH("GBP|2",'Spread Monitor'!$X$7:$X$850,0)),"")</f>
        <v/>
      </c>
      <c r="C64" s="17">
        <f>IFERROR(INDEX('Spread Monitor'!$C$7:$C$850,MATCH("GBP|2",'Spread Monitor'!$X$7:$X$850,0)),"")</f>
        <v/>
      </c>
      <c r="D64" s="17">
        <f>IFERROR(INDEX('Spread Monitor'!$E$7:$E$850,MATCH("GBP|2",'Spread Monitor'!$X$7:$X$850,0)),"")</f>
        <v/>
      </c>
      <c r="E64" s="17">
        <f>IFERROR(INDEX('Spread Monitor'!$G$7:$G$850,MATCH("GBP|2",'Spread Monitor'!$X$7:$X$850,0)),"")</f>
        <v/>
      </c>
      <c r="F64" s="17">
        <f>IFERROR(INDEX('Spread Monitor'!$H$7:$H$850,MATCH("GBP|2",'Spread Monitor'!$X$7:$X$850,0)),"")</f>
        <v/>
      </c>
      <c r="G64" s="19">
        <f>IFERROR(INDEX('Spread Monitor'!$L$7:$L$850,MATCH("GBP|2",'Spread Monitor'!$X$7:$X$850,0)),"")</f>
        <v/>
      </c>
      <c r="H64" s="21">
        <f>IFERROR(INDEX('Spread Monitor'!$O$7:$O$850,MATCH("GBP|2",'Spread Monitor'!$X$7:$X$850,0)),"")</f>
        <v/>
      </c>
      <c r="I64" s="22">
        <f>IFERROR(INDEX('Spread Monitor'!$Q$7:$Q$850,MATCH("GBP|2",'Spread Monitor'!$X$7:$X$850,0)),"")</f>
        <v/>
      </c>
      <c r="J64" s="22">
        <f>IFERROR(INDEX('Spread Monitor'!$R$7:$R$850,MATCH("GBP|2",'Spread Monitor'!$X$7:$X$850,0)),"")</f>
        <v/>
      </c>
      <c r="K64" s="23">
        <f>IFERROR(INDEX('Spread Monitor'!$S$7:$S$850,MATCH("GBP|2",'Spread Monitor'!$X$7:$X$850,0)),"")</f>
        <v/>
      </c>
    </row>
    <row r="65">
      <c r="A65" s="8">
        <f>IFERROR(INDEX('Spread Monitor'!$A$7:$A$850,MATCH("GBP|3",'Spread Monitor'!$X$7:$X$850,0)),"")</f>
        <v/>
      </c>
      <c r="B65" s="8">
        <f>IFERROR(INDEX('Spread Monitor'!$B$7:$B$850,MATCH("GBP|3",'Spread Monitor'!$X$7:$X$850,0)),"")</f>
        <v/>
      </c>
      <c r="C65" s="8">
        <f>IFERROR(INDEX('Spread Monitor'!$C$7:$C$850,MATCH("GBP|3",'Spread Monitor'!$X$7:$X$850,0)),"")</f>
        <v/>
      </c>
      <c r="D65" s="8">
        <f>IFERROR(INDEX('Spread Monitor'!$E$7:$E$850,MATCH("GBP|3",'Spread Monitor'!$X$7:$X$850,0)),"")</f>
        <v/>
      </c>
      <c r="E65" s="8">
        <f>IFERROR(INDEX('Spread Monitor'!$G$7:$G$850,MATCH("GBP|3",'Spread Monitor'!$X$7:$X$850,0)),"")</f>
        <v/>
      </c>
      <c r="F65" s="8">
        <f>IFERROR(INDEX('Spread Monitor'!$H$7:$H$850,MATCH("GBP|3",'Spread Monitor'!$X$7:$X$850,0)),"")</f>
        <v/>
      </c>
      <c r="G65" s="10">
        <f>IFERROR(INDEX('Spread Monitor'!$L$7:$L$850,MATCH("GBP|3",'Spread Monitor'!$X$7:$X$850,0)),"")</f>
        <v/>
      </c>
      <c r="H65" s="12">
        <f>IFERROR(INDEX('Spread Monitor'!$O$7:$O$850,MATCH("GBP|3",'Spread Monitor'!$X$7:$X$850,0)),"")</f>
        <v/>
      </c>
      <c r="I65" s="13">
        <f>IFERROR(INDEX('Spread Monitor'!$Q$7:$Q$850,MATCH("GBP|3",'Spread Monitor'!$X$7:$X$850,0)),"")</f>
        <v/>
      </c>
      <c r="J65" s="13">
        <f>IFERROR(INDEX('Spread Monitor'!$R$7:$R$850,MATCH("GBP|3",'Spread Monitor'!$X$7:$X$850,0)),"")</f>
        <v/>
      </c>
      <c r="K65" s="14">
        <f>IFERROR(INDEX('Spread Monitor'!$S$7:$S$850,MATCH("GBP|3",'Spread Monitor'!$X$7:$X$850,0)),"")</f>
        <v/>
      </c>
    </row>
    <row r="66">
      <c r="A66" s="17">
        <f>IFERROR(INDEX('Spread Monitor'!$A$7:$A$850,MATCH("GBP|4",'Spread Monitor'!$X$7:$X$850,0)),"")</f>
        <v/>
      </c>
      <c r="B66" s="17">
        <f>IFERROR(INDEX('Spread Monitor'!$B$7:$B$850,MATCH("GBP|4",'Spread Monitor'!$X$7:$X$850,0)),"")</f>
        <v/>
      </c>
      <c r="C66" s="17">
        <f>IFERROR(INDEX('Spread Monitor'!$C$7:$C$850,MATCH("GBP|4",'Spread Monitor'!$X$7:$X$850,0)),"")</f>
        <v/>
      </c>
      <c r="D66" s="17">
        <f>IFERROR(INDEX('Spread Monitor'!$E$7:$E$850,MATCH("GBP|4",'Spread Monitor'!$X$7:$X$850,0)),"")</f>
        <v/>
      </c>
      <c r="E66" s="17">
        <f>IFERROR(INDEX('Spread Monitor'!$G$7:$G$850,MATCH("GBP|4",'Spread Monitor'!$X$7:$X$850,0)),"")</f>
        <v/>
      </c>
      <c r="F66" s="17">
        <f>IFERROR(INDEX('Spread Monitor'!$H$7:$H$850,MATCH("GBP|4",'Spread Monitor'!$X$7:$X$850,0)),"")</f>
        <v/>
      </c>
      <c r="G66" s="19">
        <f>IFERROR(INDEX('Spread Monitor'!$L$7:$L$850,MATCH("GBP|4",'Spread Monitor'!$X$7:$X$850,0)),"")</f>
        <v/>
      </c>
      <c r="H66" s="21">
        <f>IFERROR(INDEX('Spread Monitor'!$O$7:$O$850,MATCH("GBP|4",'Spread Monitor'!$X$7:$X$850,0)),"")</f>
        <v/>
      </c>
      <c r="I66" s="22">
        <f>IFERROR(INDEX('Spread Monitor'!$Q$7:$Q$850,MATCH("GBP|4",'Spread Monitor'!$X$7:$X$850,0)),"")</f>
        <v/>
      </c>
      <c r="J66" s="22">
        <f>IFERROR(INDEX('Spread Monitor'!$R$7:$R$850,MATCH("GBP|4",'Spread Monitor'!$X$7:$X$850,0)),"")</f>
        <v/>
      </c>
      <c r="K66" s="23">
        <f>IFERROR(INDEX('Spread Monitor'!$S$7:$S$850,MATCH("GBP|4",'Spread Monitor'!$X$7:$X$850,0)),"")</f>
        <v/>
      </c>
    </row>
    <row r="67">
      <c r="A67" s="8">
        <f>IFERROR(INDEX('Spread Monitor'!$A$7:$A$850,MATCH("GBP|5",'Spread Monitor'!$X$7:$X$850,0)),"")</f>
        <v/>
      </c>
      <c r="B67" s="8">
        <f>IFERROR(INDEX('Spread Monitor'!$B$7:$B$850,MATCH("GBP|5",'Spread Monitor'!$X$7:$X$850,0)),"")</f>
        <v/>
      </c>
      <c r="C67" s="8">
        <f>IFERROR(INDEX('Spread Monitor'!$C$7:$C$850,MATCH("GBP|5",'Spread Monitor'!$X$7:$X$850,0)),"")</f>
        <v/>
      </c>
      <c r="D67" s="8">
        <f>IFERROR(INDEX('Spread Monitor'!$E$7:$E$850,MATCH("GBP|5",'Spread Monitor'!$X$7:$X$850,0)),"")</f>
        <v/>
      </c>
      <c r="E67" s="8">
        <f>IFERROR(INDEX('Spread Monitor'!$G$7:$G$850,MATCH("GBP|5",'Spread Monitor'!$X$7:$X$850,0)),"")</f>
        <v/>
      </c>
      <c r="F67" s="8">
        <f>IFERROR(INDEX('Spread Monitor'!$H$7:$H$850,MATCH("GBP|5",'Spread Monitor'!$X$7:$X$850,0)),"")</f>
        <v/>
      </c>
      <c r="G67" s="10">
        <f>IFERROR(INDEX('Spread Monitor'!$L$7:$L$850,MATCH("GBP|5",'Spread Monitor'!$X$7:$X$850,0)),"")</f>
        <v/>
      </c>
      <c r="H67" s="12">
        <f>IFERROR(INDEX('Spread Monitor'!$O$7:$O$850,MATCH("GBP|5",'Spread Monitor'!$X$7:$X$850,0)),"")</f>
        <v/>
      </c>
      <c r="I67" s="13">
        <f>IFERROR(INDEX('Spread Monitor'!$Q$7:$Q$850,MATCH("GBP|5",'Spread Monitor'!$X$7:$X$850,0)),"")</f>
        <v/>
      </c>
      <c r="J67" s="13">
        <f>IFERROR(INDEX('Spread Monitor'!$R$7:$R$850,MATCH("GBP|5",'Spread Monitor'!$X$7:$X$850,0)),"")</f>
        <v/>
      </c>
      <c r="K67" s="14">
        <f>IFERROR(INDEX('Spread Monitor'!$S$7:$S$850,MATCH("GBP|5",'Spread Monitor'!$X$7:$X$850,0)),"")</f>
        <v/>
      </c>
    </row>
    <row r="68">
      <c r="A68" s="17">
        <f>IFERROR(INDEX('Spread Monitor'!$A$7:$A$850,MATCH("GBP|6",'Spread Monitor'!$X$7:$X$850,0)),"")</f>
        <v/>
      </c>
      <c r="B68" s="17">
        <f>IFERROR(INDEX('Spread Monitor'!$B$7:$B$850,MATCH("GBP|6",'Spread Monitor'!$X$7:$X$850,0)),"")</f>
        <v/>
      </c>
      <c r="C68" s="17">
        <f>IFERROR(INDEX('Spread Monitor'!$C$7:$C$850,MATCH("GBP|6",'Spread Monitor'!$X$7:$X$850,0)),"")</f>
        <v/>
      </c>
      <c r="D68" s="17">
        <f>IFERROR(INDEX('Spread Monitor'!$E$7:$E$850,MATCH("GBP|6",'Spread Monitor'!$X$7:$X$850,0)),"")</f>
        <v/>
      </c>
      <c r="E68" s="17">
        <f>IFERROR(INDEX('Spread Monitor'!$G$7:$G$850,MATCH("GBP|6",'Spread Monitor'!$X$7:$X$850,0)),"")</f>
        <v/>
      </c>
      <c r="F68" s="17">
        <f>IFERROR(INDEX('Spread Monitor'!$H$7:$H$850,MATCH("GBP|6",'Spread Monitor'!$X$7:$X$850,0)),"")</f>
        <v/>
      </c>
      <c r="G68" s="19">
        <f>IFERROR(INDEX('Spread Monitor'!$L$7:$L$850,MATCH("GBP|6",'Spread Monitor'!$X$7:$X$850,0)),"")</f>
        <v/>
      </c>
      <c r="H68" s="21">
        <f>IFERROR(INDEX('Spread Monitor'!$O$7:$O$850,MATCH("GBP|6",'Spread Monitor'!$X$7:$X$850,0)),"")</f>
        <v/>
      </c>
      <c r="I68" s="22">
        <f>IFERROR(INDEX('Spread Monitor'!$Q$7:$Q$850,MATCH("GBP|6",'Spread Monitor'!$X$7:$X$850,0)),"")</f>
        <v/>
      </c>
      <c r="J68" s="22">
        <f>IFERROR(INDEX('Spread Monitor'!$R$7:$R$850,MATCH("GBP|6",'Spread Monitor'!$X$7:$X$850,0)),"")</f>
        <v/>
      </c>
      <c r="K68" s="23">
        <f>IFERROR(INDEX('Spread Monitor'!$S$7:$S$850,MATCH("GBP|6",'Spread Monitor'!$X$7:$X$850,0)),"")</f>
        <v/>
      </c>
    </row>
    <row r="69">
      <c r="A69" s="8">
        <f>IFERROR(INDEX('Spread Monitor'!$A$7:$A$850,MATCH("GBP|7",'Spread Monitor'!$X$7:$X$850,0)),"")</f>
        <v/>
      </c>
      <c r="B69" s="8">
        <f>IFERROR(INDEX('Spread Monitor'!$B$7:$B$850,MATCH("GBP|7",'Spread Monitor'!$X$7:$X$850,0)),"")</f>
        <v/>
      </c>
      <c r="C69" s="8">
        <f>IFERROR(INDEX('Spread Monitor'!$C$7:$C$850,MATCH("GBP|7",'Spread Monitor'!$X$7:$X$850,0)),"")</f>
        <v/>
      </c>
      <c r="D69" s="8">
        <f>IFERROR(INDEX('Spread Monitor'!$E$7:$E$850,MATCH("GBP|7",'Spread Monitor'!$X$7:$X$850,0)),"")</f>
        <v/>
      </c>
      <c r="E69" s="8">
        <f>IFERROR(INDEX('Spread Monitor'!$G$7:$G$850,MATCH("GBP|7",'Spread Monitor'!$X$7:$X$850,0)),"")</f>
        <v/>
      </c>
      <c r="F69" s="8">
        <f>IFERROR(INDEX('Spread Monitor'!$H$7:$H$850,MATCH("GBP|7",'Spread Monitor'!$X$7:$X$850,0)),"")</f>
        <v/>
      </c>
      <c r="G69" s="10">
        <f>IFERROR(INDEX('Spread Monitor'!$L$7:$L$850,MATCH("GBP|7",'Spread Monitor'!$X$7:$X$850,0)),"")</f>
        <v/>
      </c>
      <c r="H69" s="12">
        <f>IFERROR(INDEX('Spread Monitor'!$O$7:$O$850,MATCH("GBP|7",'Spread Monitor'!$X$7:$X$850,0)),"")</f>
        <v/>
      </c>
      <c r="I69" s="13">
        <f>IFERROR(INDEX('Spread Monitor'!$Q$7:$Q$850,MATCH("GBP|7",'Spread Monitor'!$X$7:$X$850,0)),"")</f>
        <v/>
      </c>
      <c r="J69" s="13">
        <f>IFERROR(INDEX('Spread Monitor'!$R$7:$R$850,MATCH("GBP|7",'Spread Monitor'!$X$7:$X$850,0)),"")</f>
        <v/>
      </c>
      <c r="K69" s="14">
        <f>IFERROR(INDEX('Spread Monitor'!$S$7:$S$850,MATCH("GBP|7",'Spread Monitor'!$X$7:$X$850,0)),"")</f>
        <v/>
      </c>
    </row>
    <row r="70">
      <c r="A70" s="17">
        <f>IFERROR(INDEX('Spread Monitor'!$A$7:$A$850,MATCH("GBP|8",'Spread Monitor'!$X$7:$X$850,0)),"")</f>
        <v/>
      </c>
      <c r="B70" s="17">
        <f>IFERROR(INDEX('Spread Monitor'!$B$7:$B$850,MATCH("GBP|8",'Spread Monitor'!$X$7:$X$850,0)),"")</f>
        <v/>
      </c>
      <c r="C70" s="17">
        <f>IFERROR(INDEX('Spread Monitor'!$C$7:$C$850,MATCH("GBP|8",'Spread Monitor'!$X$7:$X$850,0)),"")</f>
        <v/>
      </c>
      <c r="D70" s="17">
        <f>IFERROR(INDEX('Spread Monitor'!$E$7:$E$850,MATCH("GBP|8",'Spread Monitor'!$X$7:$X$850,0)),"")</f>
        <v/>
      </c>
      <c r="E70" s="17">
        <f>IFERROR(INDEX('Spread Monitor'!$G$7:$G$850,MATCH("GBP|8",'Spread Monitor'!$X$7:$X$850,0)),"")</f>
        <v/>
      </c>
      <c r="F70" s="17">
        <f>IFERROR(INDEX('Spread Monitor'!$H$7:$H$850,MATCH("GBP|8",'Spread Monitor'!$X$7:$X$850,0)),"")</f>
        <v/>
      </c>
      <c r="G70" s="19">
        <f>IFERROR(INDEX('Spread Monitor'!$L$7:$L$850,MATCH("GBP|8",'Spread Monitor'!$X$7:$X$850,0)),"")</f>
        <v/>
      </c>
      <c r="H70" s="21">
        <f>IFERROR(INDEX('Spread Monitor'!$O$7:$O$850,MATCH("GBP|8",'Spread Monitor'!$X$7:$X$850,0)),"")</f>
        <v/>
      </c>
      <c r="I70" s="22">
        <f>IFERROR(INDEX('Spread Monitor'!$Q$7:$Q$850,MATCH("GBP|8",'Spread Monitor'!$X$7:$X$850,0)),"")</f>
        <v/>
      </c>
      <c r="J70" s="22">
        <f>IFERROR(INDEX('Spread Monitor'!$R$7:$R$850,MATCH("GBP|8",'Spread Monitor'!$X$7:$X$850,0)),"")</f>
        <v/>
      </c>
      <c r="K70" s="23">
        <f>IFERROR(INDEX('Spread Monitor'!$S$7:$S$850,MATCH("GBP|8",'Spread Monitor'!$X$7:$X$850,0)),"")</f>
        <v/>
      </c>
    </row>
    <row r="71">
      <c r="A71" s="8">
        <f>IFERROR(INDEX('Spread Monitor'!$A$7:$A$850,MATCH("GBP|9",'Spread Monitor'!$X$7:$X$850,0)),"")</f>
        <v/>
      </c>
      <c r="B71" s="8">
        <f>IFERROR(INDEX('Spread Monitor'!$B$7:$B$850,MATCH("GBP|9",'Spread Monitor'!$X$7:$X$850,0)),"")</f>
        <v/>
      </c>
      <c r="C71" s="8">
        <f>IFERROR(INDEX('Spread Monitor'!$C$7:$C$850,MATCH("GBP|9",'Spread Monitor'!$X$7:$X$850,0)),"")</f>
        <v/>
      </c>
      <c r="D71" s="8">
        <f>IFERROR(INDEX('Spread Monitor'!$E$7:$E$850,MATCH("GBP|9",'Spread Monitor'!$X$7:$X$850,0)),"")</f>
        <v/>
      </c>
      <c r="E71" s="8">
        <f>IFERROR(INDEX('Spread Monitor'!$G$7:$G$850,MATCH("GBP|9",'Spread Monitor'!$X$7:$X$850,0)),"")</f>
        <v/>
      </c>
      <c r="F71" s="8">
        <f>IFERROR(INDEX('Spread Monitor'!$H$7:$H$850,MATCH("GBP|9",'Spread Monitor'!$X$7:$X$850,0)),"")</f>
        <v/>
      </c>
      <c r="G71" s="10">
        <f>IFERROR(INDEX('Spread Monitor'!$L$7:$L$850,MATCH("GBP|9",'Spread Monitor'!$X$7:$X$850,0)),"")</f>
        <v/>
      </c>
      <c r="H71" s="12">
        <f>IFERROR(INDEX('Spread Monitor'!$O$7:$O$850,MATCH("GBP|9",'Spread Monitor'!$X$7:$X$850,0)),"")</f>
        <v/>
      </c>
      <c r="I71" s="13">
        <f>IFERROR(INDEX('Spread Monitor'!$Q$7:$Q$850,MATCH("GBP|9",'Spread Monitor'!$X$7:$X$850,0)),"")</f>
        <v/>
      </c>
      <c r="J71" s="13">
        <f>IFERROR(INDEX('Spread Monitor'!$R$7:$R$850,MATCH("GBP|9",'Spread Monitor'!$X$7:$X$850,0)),"")</f>
        <v/>
      </c>
      <c r="K71" s="14">
        <f>IFERROR(INDEX('Spread Monitor'!$S$7:$S$850,MATCH("GBP|9",'Spread Monitor'!$X$7:$X$850,0)),"")</f>
        <v/>
      </c>
    </row>
    <row r="72">
      <c r="A72" s="17">
        <f>IFERROR(INDEX('Spread Monitor'!$A$7:$A$850,MATCH("GBP|10",'Spread Monitor'!$X$7:$X$850,0)),"")</f>
        <v/>
      </c>
      <c r="B72" s="17">
        <f>IFERROR(INDEX('Spread Monitor'!$B$7:$B$850,MATCH("GBP|10",'Spread Monitor'!$X$7:$X$850,0)),"")</f>
        <v/>
      </c>
      <c r="C72" s="17">
        <f>IFERROR(INDEX('Spread Monitor'!$C$7:$C$850,MATCH("GBP|10",'Spread Monitor'!$X$7:$X$850,0)),"")</f>
        <v/>
      </c>
      <c r="D72" s="17">
        <f>IFERROR(INDEX('Spread Monitor'!$E$7:$E$850,MATCH("GBP|10",'Spread Monitor'!$X$7:$X$850,0)),"")</f>
        <v/>
      </c>
      <c r="E72" s="17">
        <f>IFERROR(INDEX('Spread Monitor'!$G$7:$G$850,MATCH("GBP|10",'Spread Monitor'!$X$7:$X$850,0)),"")</f>
        <v/>
      </c>
      <c r="F72" s="17">
        <f>IFERROR(INDEX('Spread Monitor'!$H$7:$H$850,MATCH("GBP|10",'Spread Monitor'!$X$7:$X$850,0)),"")</f>
        <v/>
      </c>
      <c r="G72" s="19">
        <f>IFERROR(INDEX('Spread Monitor'!$L$7:$L$850,MATCH("GBP|10",'Spread Monitor'!$X$7:$X$850,0)),"")</f>
        <v/>
      </c>
      <c r="H72" s="21">
        <f>IFERROR(INDEX('Spread Monitor'!$O$7:$O$850,MATCH("GBP|10",'Spread Monitor'!$X$7:$X$850,0)),"")</f>
        <v/>
      </c>
      <c r="I72" s="22">
        <f>IFERROR(INDEX('Spread Monitor'!$Q$7:$Q$850,MATCH("GBP|10",'Spread Monitor'!$X$7:$X$850,0)),"")</f>
        <v/>
      </c>
      <c r="J72" s="22">
        <f>IFERROR(INDEX('Spread Monitor'!$R$7:$R$850,MATCH("GBP|10",'Spread Monitor'!$X$7:$X$850,0)),"")</f>
        <v/>
      </c>
      <c r="K72" s="23">
        <f>IFERROR(INDEX('Spread Monitor'!$S$7:$S$850,MATCH("GBP|10",'Spread Monitor'!$X$7:$X$850,0)),"")</f>
        <v/>
      </c>
    </row>
    <row r="75">
      <c r="A75" s="28" t="inlineStr">
        <is>
          <t>GBP - Top 10 that tightened the most since 14.07.2026</t>
        </is>
      </c>
    </row>
    <row r="76" ht="26" customHeight="1">
      <c r="A76" s="27" t="inlineStr">
        <is>
          <t>ISIN</t>
        </is>
      </c>
      <c r="B76" s="27" t="inlineStr">
        <is>
          <t>Company</t>
        </is>
      </c>
      <c r="C76" s="27" t="inlineStr">
        <is>
          <t>Company description</t>
        </is>
      </c>
      <c r="D76" s="27" t="inlineStr">
        <is>
          <t>Sector</t>
        </is>
      </c>
      <c r="E76" s="27" t="inlineStr">
        <is>
          <t>Ccy</t>
        </is>
      </c>
      <c r="F76" s="27" t="inlineStr">
        <is>
          <t>Rating</t>
        </is>
      </c>
      <c r="G76" s="27" t="inlineStr">
        <is>
          <t>Maturity</t>
        </is>
      </c>
      <c r="H76" s="27" t="inlineStr">
        <is>
          <t>YTW (%)</t>
        </is>
      </c>
      <c r="I76" s="27" t="inlineStr">
        <is>
          <t>Spread today (bp)</t>
        </is>
      </c>
      <c r="J76" s="27" t="inlineStr">
        <is>
          <t>Spread on anchor (bp)</t>
        </is>
      </c>
      <c r="K76" s="27" t="inlineStr">
        <is>
          <t>Spread change (bp)</t>
        </is>
      </c>
    </row>
    <row r="77">
      <c r="A77" s="8">
        <f>IFERROR(INDEX('Spread Monitor'!$A$7:$A$850,MATCH("GBP|1",'Spread Monitor'!$Y$7:$Y$850,0)),"")</f>
        <v/>
      </c>
      <c r="B77" s="8">
        <f>IFERROR(INDEX('Spread Monitor'!$B$7:$B$850,MATCH("GBP|1",'Spread Monitor'!$Y$7:$Y$850,0)),"")</f>
        <v/>
      </c>
      <c r="C77" s="8">
        <f>IFERROR(INDEX('Spread Monitor'!$C$7:$C$850,MATCH("GBP|1",'Spread Monitor'!$Y$7:$Y$850,0)),"")</f>
        <v/>
      </c>
      <c r="D77" s="8">
        <f>IFERROR(INDEX('Spread Monitor'!$E$7:$E$850,MATCH("GBP|1",'Spread Monitor'!$Y$7:$Y$850,0)),"")</f>
        <v/>
      </c>
      <c r="E77" s="8">
        <f>IFERROR(INDEX('Spread Monitor'!$G$7:$G$850,MATCH("GBP|1",'Spread Monitor'!$Y$7:$Y$850,0)),"")</f>
        <v/>
      </c>
      <c r="F77" s="8">
        <f>IFERROR(INDEX('Spread Monitor'!$H$7:$H$850,MATCH("GBP|1",'Spread Monitor'!$Y$7:$Y$850,0)),"")</f>
        <v/>
      </c>
      <c r="G77" s="10">
        <f>IFERROR(INDEX('Spread Monitor'!$L$7:$L$850,MATCH("GBP|1",'Spread Monitor'!$Y$7:$Y$850,0)),"")</f>
        <v/>
      </c>
      <c r="H77" s="12">
        <f>IFERROR(INDEX('Spread Monitor'!$O$7:$O$850,MATCH("GBP|1",'Spread Monitor'!$Y$7:$Y$850,0)),"")</f>
        <v/>
      </c>
      <c r="I77" s="13">
        <f>IFERROR(INDEX('Spread Monitor'!$Q$7:$Q$850,MATCH("GBP|1",'Spread Monitor'!$Y$7:$Y$850,0)),"")</f>
        <v/>
      </c>
      <c r="J77" s="13">
        <f>IFERROR(INDEX('Spread Monitor'!$R$7:$R$850,MATCH("GBP|1",'Spread Monitor'!$Y$7:$Y$850,0)),"")</f>
        <v/>
      </c>
      <c r="K77" s="14">
        <f>IFERROR(INDEX('Spread Monitor'!$S$7:$S$850,MATCH("GBP|1",'Spread Monitor'!$Y$7:$Y$850,0)),"")</f>
        <v/>
      </c>
    </row>
    <row r="78">
      <c r="A78" s="17">
        <f>IFERROR(INDEX('Spread Monitor'!$A$7:$A$850,MATCH("GBP|2",'Spread Monitor'!$Y$7:$Y$850,0)),"")</f>
        <v/>
      </c>
      <c r="B78" s="17">
        <f>IFERROR(INDEX('Spread Monitor'!$B$7:$B$850,MATCH("GBP|2",'Spread Monitor'!$Y$7:$Y$850,0)),"")</f>
        <v/>
      </c>
      <c r="C78" s="17">
        <f>IFERROR(INDEX('Spread Monitor'!$C$7:$C$850,MATCH("GBP|2",'Spread Monitor'!$Y$7:$Y$850,0)),"")</f>
        <v/>
      </c>
      <c r="D78" s="17">
        <f>IFERROR(INDEX('Spread Monitor'!$E$7:$E$850,MATCH("GBP|2",'Spread Monitor'!$Y$7:$Y$850,0)),"")</f>
        <v/>
      </c>
      <c r="E78" s="17">
        <f>IFERROR(INDEX('Spread Monitor'!$G$7:$G$850,MATCH("GBP|2",'Spread Monitor'!$Y$7:$Y$850,0)),"")</f>
        <v/>
      </c>
      <c r="F78" s="17">
        <f>IFERROR(INDEX('Spread Monitor'!$H$7:$H$850,MATCH("GBP|2",'Spread Monitor'!$Y$7:$Y$850,0)),"")</f>
        <v/>
      </c>
      <c r="G78" s="19">
        <f>IFERROR(INDEX('Spread Monitor'!$L$7:$L$850,MATCH("GBP|2",'Spread Monitor'!$Y$7:$Y$850,0)),"")</f>
        <v/>
      </c>
      <c r="H78" s="21">
        <f>IFERROR(INDEX('Spread Monitor'!$O$7:$O$850,MATCH("GBP|2",'Spread Monitor'!$Y$7:$Y$850,0)),"")</f>
        <v/>
      </c>
      <c r="I78" s="22">
        <f>IFERROR(INDEX('Spread Monitor'!$Q$7:$Q$850,MATCH("GBP|2",'Spread Monitor'!$Y$7:$Y$850,0)),"")</f>
        <v/>
      </c>
      <c r="J78" s="22">
        <f>IFERROR(INDEX('Spread Monitor'!$R$7:$R$850,MATCH("GBP|2",'Spread Monitor'!$Y$7:$Y$850,0)),"")</f>
        <v/>
      </c>
      <c r="K78" s="23">
        <f>IFERROR(INDEX('Spread Monitor'!$S$7:$S$850,MATCH("GBP|2",'Spread Monitor'!$Y$7:$Y$850,0)),"")</f>
        <v/>
      </c>
    </row>
    <row r="79">
      <c r="A79" s="8">
        <f>IFERROR(INDEX('Spread Monitor'!$A$7:$A$850,MATCH("GBP|3",'Spread Monitor'!$Y$7:$Y$850,0)),"")</f>
        <v/>
      </c>
      <c r="B79" s="8">
        <f>IFERROR(INDEX('Spread Monitor'!$B$7:$B$850,MATCH("GBP|3",'Spread Monitor'!$Y$7:$Y$850,0)),"")</f>
        <v/>
      </c>
      <c r="C79" s="8">
        <f>IFERROR(INDEX('Spread Monitor'!$C$7:$C$850,MATCH("GBP|3",'Spread Monitor'!$Y$7:$Y$850,0)),"")</f>
        <v/>
      </c>
      <c r="D79" s="8">
        <f>IFERROR(INDEX('Spread Monitor'!$E$7:$E$850,MATCH("GBP|3",'Spread Monitor'!$Y$7:$Y$850,0)),"")</f>
        <v/>
      </c>
      <c r="E79" s="8">
        <f>IFERROR(INDEX('Spread Monitor'!$G$7:$G$850,MATCH("GBP|3",'Spread Monitor'!$Y$7:$Y$850,0)),"")</f>
        <v/>
      </c>
      <c r="F79" s="8">
        <f>IFERROR(INDEX('Spread Monitor'!$H$7:$H$850,MATCH("GBP|3",'Spread Monitor'!$Y$7:$Y$850,0)),"")</f>
        <v/>
      </c>
      <c r="G79" s="10">
        <f>IFERROR(INDEX('Spread Monitor'!$L$7:$L$850,MATCH("GBP|3",'Spread Monitor'!$Y$7:$Y$850,0)),"")</f>
        <v/>
      </c>
      <c r="H79" s="12">
        <f>IFERROR(INDEX('Spread Monitor'!$O$7:$O$850,MATCH("GBP|3",'Spread Monitor'!$Y$7:$Y$850,0)),"")</f>
        <v/>
      </c>
      <c r="I79" s="13">
        <f>IFERROR(INDEX('Spread Monitor'!$Q$7:$Q$850,MATCH("GBP|3",'Spread Monitor'!$Y$7:$Y$850,0)),"")</f>
        <v/>
      </c>
      <c r="J79" s="13">
        <f>IFERROR(INDEX('Spread Monitor'!$R$7:$R$850,MATCH("GBP|3",'Spread Monitor'!$Y$7:$Y$850,0)),"")</f>
        <v/>
      </c>
      <c r="K79" s="14">
        <f>IFERROR(INDEX('Spread Monitor'!$S$7:$S$850,MATCH("GBP|3",'Spread Monitor'!$Y$7:$Y$850,0)),"")</f>
        <v/>
      </c>
    </row>
    <row r="80">
      <c r="A80" s="17">
        <f>IFERROR(INDEX('Spread Monitor'!$A$7:$A$850,MATCH("GBP|4",'Spread Monitor'!$Y$7:$Y$850,0)),"")</f>
        <v/>
      </c>
      <c r="B80" s="17">
        <f>IFERROR(INDEX('Spread Monitor'!$B$7:$B$850,MATCH("GBP|4",'Spread Monitor'!$Y$7:$Y$850,0)),"")</f>
        <v/>
      </c>
      <c r="C80" s="17">
        <f>IFERROR(INDEX('Spread Monitor'!$C$7:$C$850,MATCH("GBP|4",'Spread Monitor'!$Y$7:$Y$850,0)),"")</f>
        <v/>
      </c>
      <c r="D80" s="17">
        <f>IFERROR(INDEX('Spread Monitor'!$E$7:$E$850,MATCH("GBP|4",'Spread Monitor'!$Y$7:$Y$850,0)),"")</f>
        <v/>
      </c>
      <c r="E80" s="17">
        <f>IFERROR(INDEX('Spread Monitor'!$G$7:$G$850,MATCH("GBP|4",'Spread Monitor'!$Y$7:$Y$850,0)),"")</f>
        <v/>
      </c>
      <c r="F80" s="17">
        <f>IFERROR(INDEX('Spread Monitor'!$H$7:$H$850,MATCH("GBP|4",'Spread Monitor'!$Y$7:$Y$850,0)),"")</f>
        <v/>
      </c>
      <c r="G80" s="19">
        <f>IFERROR(INDEX('Spread Monitor'!$L$7:$L$850,MATCH("GBP|4",'Spread Monitor'!$Y$7:$Y$850,0)),"")</f>
        <v/>
      </c>
      <c r="H80" s="21">
        <f>IFERROR(INDEX('Spread Monitor'!$O$7:$O$850,MATCH("GBP|4",'Spread Monitor'!$Y$7:$Y$850,0)),"")</f>
        <v/>
      </c>
      <c r="I80" s="22">
        <f>IFERROR(INDEX('Spread Monitor'!$Q$7:$Q$850,MATCH("GBP|4",'Spread Monitor'!$Y$7:$Y$850,0)),"")</f>
        <v/>
      </c>
      <c r="J80" s="22">
        <f>IFERROR(INDEX('Spread Monitor'!$R$7:$R$850,MATCH("GBP|4",'Spread Monitor'!$Y$7:$Y$850,0)),"")</f>
        <v/>
      </c>
      <c r="K80" s="23">
        <f>IFERROR(INDEX('Spread Monitor'!$S$7:$S$850,MATCH("GBP|4",'Spread Monitor'!$Y$7:$Y$850,0)),"")</f>
        <v/>
      </c>
    </row>
    <row r="81">
      <c r="A81" s="8">
        <f>IFERROR(INDEX('Spread Monitor'!$A$7:$A$850,MATCH("GBP|5",'Spread Monitor'!$Y$7:$Y$850,0)),"")</f>
        <v/>
      </c>
      <c r="B81" s="8">
        <f>IFERROR(INDEX('Spread Monitor'!$B$7:$B$850,MATCH("GBP|5",'Spread Monitor'!$Y$7:$Y$850,0)),"")</f>
        <v/>
      </c>
      <c r="C81" s="8">
        <f>IFERROR(INDEX('Spread Monitor'!$C$7:$C$850,MATCH("GBP|5",'Spread Monitor'!$Y$7:$Y$850,0)),"")</f>
        <v/>
      </c>
      <c r="D81" s="8">
        <f>IFERROR(INDEX('Spread Monitor'!$E$7:$E$850,MATCH("GBP|5",'Spread Monitor'!$Y$7:$Y$850,0)),"")</f>
        <v/>
      </c>
      <c r="E81" s="8">
        <f>IFERROR(INDEX('Spread Monitor'!$G$7:$G$850,MATCH("GBP|5",'Spread Monitor'!$Y$7:$Y$850,0)),"")</f>
        <v/>
      </c>
      <c r="F81" s="8">
        <f>IFERROR(INDEX('Spread Monitor'!$H$7:$H$850,MATCH("GBP|5",'Spread Monitor'!$Y$7:$Y$850,0)),"")</f>
        <v/>
      </c>
      <c r="G81" s="10">
        <f>IFERROR(INDEX('Spread Monitor'!$L$7:$L$850,MATCH("GBP|5",'Spread Monitor'!$Y$7:$Y$850,0)),"")</f>
        <v/>
      </c>
      <c r="H81" s="12">
        <f>IFERROR(INDEX('Spread Monitor'!$O$7:$O$850,MATCH("GBP|5",'Spread Monitor'!$Y$7:$Y$850,0)),"")</f>
        <v/>
      </c>
      <c r="I81" s="13">
        <f>IFERROR(INDEX('Spread Monitor'!$Q$7:$Q$850,MATCH("GBP|5",'Spread Monitor'!$Y$7:$Y$850,0)),"")</f>
        <v/>
      </c>
      <c r="J81" s="13">
        <f>IFERROR(INDEX('Spread Monitor'!$R$7:$R$850,MATCH("GBP|5",'Spread Monitor'!$Y$7:$Y$850,0)),"")</f>
        <v/>
      </c>
      <c r="K81" s="14">
        <f>IFERROR(INDEX('Spread Monitor'!$S$7:$S$850,MATCH("GBP|5",'Spread Monitor'!$Y$7:$Y$850,0)),"")</f>
        <v/>
      </c>
    </row>
    <row r="82">
      <c r="A82" s="17">
        <f>IFERROR(INDEX('Spread Monitor'!$A$7:$A$850,MATCH("GBP|6",'Spread Monitor'!$Y$7:$Y$850,0)),"")</f>
        <v/>
      </c>
      <c r="B82" s="17">
        <f>IFERROR(INDEX('Spread Monitor'!$B$7:$B$850,MATCH("GBP|6",'Spread Monitor'!$Y$7:$Y$850,0)),"")</f>
        <v/>
      </c>
      <c r="C82" s="17">
        <f>IFERROR(INDEX('Spread Monitor'!$C$7:$C$850,MATCH("GBP|6",'Spread Monitor'!$Y$7:$Y$850,0)),"")</f>
        <v/>
      </c>
      <c r="D82" s="17">
        <f>IFERROR(INDEX('Spread Monitor'!$E$7:$E$850,MATCH("GBP|6",'Spread Monitor'!$Y$7:$Y$850,0)),"")</f>
        <v/>
      </c>
      <c r="E82" s="17">
        <f>IFERROR(INDEX('Spread Monitor'!$G$7:$G$850,MATCH("GBP|6",'Spread Monitor'!$Y$7:$Y$850,0)),"")</f>
        <v/>
      </c>
      <c r="F82" s="17">
        <f>IFERROR(INDEX('Spread Monitor'!$H$7:$H$850,MATCH("GBP|6",'Spread Monitor'!$Y$7:$Y$850,0)),"")</f>
        <v/>
      </c>
      <c r="G82" s="19">
        <f>IFERROR(INDEX('Spread Monitor'!$L$7:$L$850,MATCH("GBP|6",'Spread Monitor'!$Y$7:$Y$850,0)),"")</f>
        <v/>
      </c>
      <c r="H82" s="21">
        <f>IFERROR(INDEX('Spread Monitor'!$O$7:$O$850,MATCH("GBP|6",'Spread Monitor'!$Y$7:$Y$850,0)),"")</f>
        <v/>
      </c>
      <c r="I82" s="22">
        <f>IFERROR(INDEX('Spread Monitor'!$Q$7:$Q$850,MATCH("GBP|6",'Spread Monitor'!$Y$7:$Y$850,0)),"")</f>
        <v/>
      </c>
      <c r="J82" s="22">
        <f>IFERROR(INDEX('Spread Monitor'!$R$7:$R$850,MATCH("GBP|6",'Spread Monitor'!$Y$7:$Y$850,0)),"")</f>
        <v/>
      </c>
      <c r="K82" s="23">
        <f>IFERROR(INDEX('Spread Monitor'!$S$7:$S$850,MATCH("GBP|6",'Spread Monitor'!$Y$7:$Y$850,0)),"")</f>
        <v/>
      </c>
    </row>
    <row r="83">
      <c r="A83" s="8">
        <f>IFERROR(INDEX('Spread Monitor'!$A$7:$A$850,MATCH("GBP|7",'Spread Monitor'!$Y$7:$Y$850,0)),"")</f>
        <v/>
      </c>
      <c r="B83" s="8">
        <f>IFERROR(INDEX('Spread Monitor'!$B$7:$B$850,MATCH("GBP|7",'Spread Monitor'!$Y$7:$Y$850,0)),"")</f>
        <v/>
      </c>
      <c r="C83" s="8">
        <f>IFERROR(INDEX('Spread Monitor'!$C$7:$C$850,MATCH("GBP|7",'Spread Monitor'!$Y$7:$Y$850,0)),"")</f>
        <v/>
      </c>
      <c r="D83" s="8">
        <f>IFERROR(INDEX('Spread Monitor'!$E$7:$E$850,MATCH("GBP|7",'Spread Monitor'!$Y$7:$Y$850,0)),"")</f>
        <v/>
      </c>
      <c r="E83" s="8">
        <f>IFERROR(INDEX('Spread Monitor'!$G$7:$G$850,MATCH("GBP|7",'Spread Monitor'!$Y$7:$Y$850,0)),"")</f>
        <v/>
      </c>
      <c r="F83" s="8">
        <f>IFERROR(INDEX('Spread Monitor'!$H$7:$H$850,MATCH("GBP|7",'Spread Monitor'!$Y$7:$Y$850,0)),"")</f>
        <v/>
      </c>
      <c r="G83" s="10">
        <f>IFERROR(INDEX('Spread Monitor'!$L$7:$L$850,MATCH("GBP|7",'Spread Monitor'!$Y$7:$Y$850,0)),"")</f>
        <v/>
      </c>
      <c r="H83" s="12">
        <f>IFERROR(INDEX('Spread Monitor'!$O$7:$O$850,MATCH("GBP|7",'Spread Monitor'!$Y$7:$Y$850,0)),"")</f>
        <v/>
      </c>
      <c r="I83" s="13">
        <f>IFERROR(INDEX('Spread Monitor'!$Q$7:$Q$850,MATCH("GBP|7",'Spread Monitor'!$Y$7:$Y$850,0)),"")</f>
        <v/>
      </c>
      <c r="J83" s="13">
        <f>IFERROR(INDEX('Spread Monitor'!$R$7:$R$850,MATCH("GBP|7",'Spread Monitor'!$Y$7:$Y$850,0)),"")</f>
        <v/>
      </c>
      <c r="K83" s="14">
        <f>IFERROR(INDEX('Spread Monitor'!$S$7:$S$850,MATCH("GBP|7",'Spread Monitor'!$Y$7:$Y$850,0)),"")</f>
        <v/>
      </c>
    </row>
    <row r="84">
      <c r="A84" s="17">
        <f>IFERROR(INDEX('Spread Monitor'!$A$7:$A$850,MATCH("GBP|8",'Spread Monitor'!$Y$7:$Y$850,0)),"")</f>
        <v/>
      </c>
      <c r="B84" s="17">
        <f>IFERROR(INDEX('Spread Monitor'!$B$7:$B$850,MATCH("GBP|8",'Spread Monitor'!$Y$7:$Y$850,0)),"")</f>
        <v/>
      </c>
      <c r="C84" s="17">
        <f>IFERROR(INDEX('Spread Monitor'!$C$7:$C$850,MATCH("GBP|8",'Spread Monitor'!$Y$7:$Y$850,0)),"")</f>
        <v/>
      </c>
      <c r="D84" s="17">
        <f>IFERROR(INDEX('Spread Monitor'!$E$7:$E$850,MATCH("GBP|8",'Spread Monitor'!$Y$7:$Y$850,0)),"")</f>
        <v/>
      </c>
      <c r="E84" s="17">
        <f>IFERROR(INDEX('Spread Monitor'!$G$7:$G$850,MATCH("GBP|8",'Spread Monitor'!$Y$7:$Y$850,0)),"")</f>
        <v/>
      </c>
      <c r="F84" s="17">
        <f>IFERROR(INDEX('Spread Monitor'!$H$7:$H$850,MATCH("GBP|8",'Spread Monitor'!$Y$7:$Y$850,0)),"")</f>
        <v/>
      </c>
      <c r="G84" s="19">
        <f>IFERROR(INDEX('Spread Monitor'!$L$7:$L$850,MATCH("GBP|8",'Spread Monitor'!$Y$7:$Y$850,0)),"")</f>
        <v/>
      </c>
      <c r="H84" s="21">
        <f>IFERROR(INDEX('Spread Monitor'!$O$7:$O$850,MATCH("GBP|8",'Spread Monitor'!$Y$7:$Y$850,0)),"")</f>
        <v/>
      </c>
      <c r="I84" s="22">
        <f>IFERROR(INDEX('Spread Monitor'!$Q$7:$Q$850,MATCH("GBP|8",'Spread Monitor'!$Y$7:$Y$850,0)),"")</f>
        <v/>
      </c>
      <c r="J84" s="22">
        <f>IFERROR(INDEX('Spread Monitor'!$R$7:$R$850,MATCH("GBP|8",'Spread Monitor'!$Y$7:$Y$850,0)),"")</f>
        <v/>
      </c>
      <c r="K84" s="23">
        <f>IFERROR(INDEX('Spread Monitor'!$S$7:$S$850,MATCH("GBP|8",'Spread Monitor'!$Y$7:$Y$850,0)),"")</f>
        <v/>
      </c>
    </row>
    <row r="85">
      <c r="A85" s="8">
        <f>IFERROR(INDEX('Spread Monitor'!$A$7:$A$850,MATCH("GBP|9",'Spread Monitor'!$Y$7:$Y$850,0)),"")</f>
        <v/>
      </c>
      <c r="B85" s="8">
        <f>IFERROR(INDEX('Spread Monitor'!$B$7:$B$850,MATCH("GBP|9",'Spread Monitor'!$Y$7:$Y$850,0)),"")</f>
        <v/>
      </c>
      <c r="C85" s="8">
        <f>IFERROR(INDEX('Spread Monitor'!$C$7:$C$850,MATCH("GBP|9",'Spread Monitor'!$Y$7:$Y$850,0)),"")</f>
        <v/>
      </c>
      <c r="D85" s="8">
        <f>IFERROR(INDEX('Spread Monitor'!$E$7:$E$850,MATCH("GBP|9",'Spread Monitor'!$Y$7:$Y$850,0)),"")</f>
        <v/>
      </c>
      <c r="E85" s="8">
        <f>IFERROR(INDEX('Spread Monitor'!$G$7:$G$850,MATCH("GBP|9",'Spread Monitor'!$Y$7:$Y$850,0)),"")</f>
        <v/>
      </c>
      <c r="F85" s="8">
        <f>IFERROR(INDEX('Spread Monitor'!$H$7:$H$850,MATCH("GBP|9",'Spread Monitor'!$Y$7:$Y$850,0)),"")</f>
        <v/>
      </c>
      <c r="G85" s="10">
        <f>IFERROR(INDEX('Spread Monitor'!$L$7:$L$850,MATCH("GBP|9",'Spread Monitor'!$Y$7:$Y$850,0)),"")</f>
        <v/>
      </c>
      <c r="H85" s="12">
        <f>IFERROR(INDEX('Spread Monitor'!$O$7:$O$850,MATCH("GBP|9",'Spread Monitor'!$Y$7:$Y$850,0)),"")</f>
        <v/>
      </c>
      <c r="I85" s="13">
        <f>IFERROR(INDEX('Spread Monitor'!$Q$7:$Q$850,MATCH("GBP|9",'Spread Monitor'!$Y$7:$Y$850,0)),"")</f>
        <v/>
      </c>
      <c r="J85" s="13">
        <f>IFERROR(INDEX('Spread Monitor'!$R$7:$R$850,MATCH("GBP|9",'Spread Monitor'!$Y$7:$Y$850,0)),"")</f>
        <v/>
      </c>
      <c r="K85" s="14">
        <f>IFERROR(INDEX('Spread Monitor'!$S$7:$S$850,MATCH("GBP|9",'Spread Monitor'!$Y$7:$Y$850,0)),"")</f>
        <v/>
      </c>
    </row>
    <row r="86">
      <c r="A86" s="17">
        <f>IFERROR(INDEX('Spread Monitor'!$A$7:$A$850,MATCH("GBP|10",'Spread Monitor'!$Y$7:$Y$850,0)),"")</f>
        <v/>
      </c>
      <c r="B86" s="17">
        <f>IFERROR(INDEX('Spread Monitor'!$B$7:$B$850,MATCH("GBP|10",'Spread Monitor'!$Y$7:$Y$850,0)),"")</f>
        <v/>
      </c>
      <c r="C86" s="17">
        <f>IFERROR(INDEX('Spread Monitor'!$C$7:$C$850,MATCH("GBP|10",'Spread Monitor'!$Y$7:$Y$850,0)),"")</f>
        <v/>
      </c>
      <c r="D86" s="17">
        <f>IFERROR(INDEX('Spread Monitor'!$E$7:$E$850,MATCH("GBP|10",'Spread Monitor'!$Y$7:$Y$850,0)),"")</f>
        <v/>
      </c>
      <c r="E86" s="17">
        <f>IFERROR(INDEX('Spread Monitor'!$G$7:$G$850,MATCH("GBP|10",'Spread Monitor'!$Y$7:$Y$850,0)),"")</f>
        <v/>
      </c>
      <c r="F86" s="17">
        <f>IFERROR(INDEX('Spread Monitor'!$H$7:$H$850,MATCH("GBP|10",'Spread Monitor'!$Y$7:$Y$850,0)),"")</f>
        <v/>
      </c>
      <c r="G86" s="19">
        <f>IFERROR(INDEX('Spread Monitor'!$L$7:$L$850,MATCH("GBP|10",'Spread Monitor'!$Y$7:$Y$850,0)),"")</f>
        <v/>
      </c>
      <c r="H86" s="21">
        <f>IFERROR(INDEX('Spread Monitor'!$O$7:$O$850,MATCH("GBP|10",'Spread Monitor'!$Y$7:$Y$850,0)),"")</f>
        <v/>
      </c>
      <c r="I86" s="22">
        <f>IFERROR(INDEX('Spread Monitor'!$Q$7:$Q$850,MATCH("GBP|10",'Spread Monitor'!$Y$7:$Y$850,0)),"")</f>
        <v/>
      </c>
      <c r="J86" s="22">
        <f>IFERROR(INDEX('Spread Monitor'!$R$7:$R$850,MATCH("GBP|10",'Spread Monitor'!$Y$7:$Y$850,0)),"")</f>
        <v/>
      </c>
      <c r="K86" s="23">
        <f>IFERROR(INDEX('Spread Monitor'!$S$7:$S$850,MATCH("GBP|10",'Spread Monitor'!$Y$7:$Y$850,0)),"")</f>
        <v/>
      </c>
    </row>
    <row r="89">
      <c r="A89" s="26" t="inlineStr">
        <is>
          <t>CHF - Top 10 that widened the most since 14.07.2026</t>
        </is>
      </c>
    </row>
    <row r="90" ht="26" customHeight="1">
      <c r="A90" s="27" t="inlineStr">
        <is>
          <t>ISIN</t>
        </is>
      </c>
      <c r="B90" s="27" t="inlineStr">
        <is>
          <t>Company</t>
        </is>
      </c>
      <c r="C90" s="27" t="inlineStr">
        <is>
          <t>Company description</t>
        </is>
      </c>
      <c r="D90" s="27" t="inlineStr">
        <is>
          <t>Sector</t>
        </is>
      </c>
      <c r="E90" s="27" t="inlineStr">
        <is>
          <t>Ccy</t>
        </is>
      </c>
      <c r="F90" s="27" t="inlineStr">
        <is>
          <t>Rating</t>
        </is>
      </c>
      <c r="G90" s="27" t="inlineStr">
        <is>
          <t>Maturity</t>
        </is>
      </c>
      <c r="H90" s="27" t="inlineStr">
        <is>
          <t>YTW (%)</t>
        </is>
      </c>
      <c r="I90" s="27" t="inlineStr">
        <is>
          <t>Spread today (bp)</t>
        </is>
      </c>
      <c r="J90" s="27" t="inlineStr">
        <is>
          <t>Spread on anchor (bp)</t>
        </is>
      </c>
      <c r="K90" s="27" t="inlineStr">
        <is>
          <t>Spread change (bp)</t>
        </is>
      </c>
    </row>
    <row r="91">
      <c r="A91" s="8">
        <f>IFERROR(INDEX('Spread Monitor'!$A$7:$A$850,MATCH("CHF|1",'Spread Monitor'!$X$7:$X$850,0)),"")</f>
        <v/>
      </c>
      <c r="B91" s="8">
        <f>IFERROR(INDEX('Spread Monitor'!$B$7:$B$850,MATCH("CHF|1",'Spread Monitor'!$X$7:$X$850,0)),"")</f>
        <v/>
      </c>
      <c r="C91" s="8">
        <f>IFERROR(INDEX('Spread Monitor'!$C$7:$C$850,MATCH("CHF|1",'Spread Monitor'!$X$7:$X$850,0)),"")</f>
        <v/>
      </c>
      <c r="D91" s="8">
        <f>IFERROR(INDEX('Spread Monitor'!$E$7:$E$850,MATCH("CHF|1",'Spread Monitor'!$X$7:$X$850,0)),"")</f>
        <v/>
      </c>
      <c r="E91" s="8">
        <f>IFERROR(INDEX('Spread Monitor'!$G$7:$G$850,MATCH("CHF|1",'Spread Monitor'!$X$7:$X$850,0)),"")</f>
        <v/>
      </c>
      <c r="F91" s="8">
        <f>IFERROR(INDEX('Spread Monitor'!$H$7:$H$850,MATCH("CHF|1",'Spread Monitor'!$X$7:$X$850,0)),"")</f>
        <v/>
      </c>
      <c r="G91" s="10">
        <f>IFERROR(INDEX('Spread Monitor'!$L$7:$L$850,MATCH("CHF|1",'Spread Monitor'!$X$7:$X$850,0)),"")</f>
        <v/>
      </c>
      <c r="H91" s="12">
        <f>IFERROR(INDEX('Spread Monitor'!$O$7:$O$850,MATCH("CHF|1",'Spread Monitor'!$X$7:$X$850,0)),"")</f>
        <v/>
      </c>
      <c r="I91" s="13">
        <f>IFERROR(INDEX('Spread Monitor'!$Q$7:$Q$850,MATCH("CHF|1",'Spread Monitor'!$X$7:$X$850,0)),"")</f>
        <v/>
      </c>
      <c r="J91" s="13">
        <f>IFERROR(INDEX('Spread Monitor'!$R$7:$R$850,MATCH("CHF|1",'Spread Monitor'!$X$7:$X$850,0)),"")</f>
        <v/>
      </c>
      <c r="K91" s="14">
        <f>IFERROR(INDEX('Spread Monitor'!$S$7:$S$850,MATCH("CHF|1",'Spread Monitor'!$X$7:$X$850,0)),"")</f>
        <v/>
      </c>
    </row>
    <row r="92">
      <c r="A92" s="17">
        <f>IFERROR(INDEX('Spread Monitor'!$A$7:$A$850,MATCH("CHF|2",'Spread Monitor'!$X$7:$X$850,0)),"")</f>
        <v/>
      </c>
      <c r="B92" s="17">
        <f>IFERROR(INDEX('Spread Monitor'!$B$7:$B$850,MATCH("CHF|2",'Spread Monitor'!$X$7:$X$850,0)),"")</f>
        <v/>
      </c>
      <c r="C92" s="17">
        <f>IFERROR(INDEX('Spread Monitor'!$C$7:$C$850,MATCH("CHF|2",'Spread Monitor'!$X$7:$X$850,0)),"")</f>
        <v/>
      </c>
      <c r="D92" s="17">
        <f>IFERROR(INDEX('Spread Monitor'!$E$7:$E$850,MATCH("CHF|2",'Spread Monitor'!$X$7:$X$850,0)),"")</f>
        <v/>
      </c>
      <c r="E92" s="17">
        <f>IFERROR(INDEX('Spread Monitor'!$G$7:$G$850,MATCH("CHF|2",'Spread Monitor'!$X$7:$X$850,0)),"")</f>
        <v/>
      </c>
      <c r="F92" s="17">
        <f>IFERROR(INDEX('Spread Monitor'!$H$7:$H$850,MATCH("CHF|2",'Spread Monitor'!$X$7:$X$850,0)),"")</f>
        <v/>
      </c>
      <c r="G92" s="19">
        <f>IFERROR(INDEX('Spread Monitor'!$L$7:$L$850,MATCH("CHF|2",'Spread Monitor'!$X$7:$X$850,0)),"")</f>
        <v/>
      </c>
      <c r="H92" s="21">
        <f>IFERROR(INDEX('Spread Monitor'!$O$7:$O$850,MATCH("CHF|2",'Spread Monitor'!$X$7:$X$850,0)),"")</f>
        <v/>
      </c>
      <c r="I92" s="22">
        <f>IFERROR(INDEX('Spread Monitor'!$Q$7:$Q$850,MATCH("CHF|2",'Spread Monitor'!$X$7:$X$850,0)),"")</f>
        <v/>
      </c>
      <c r="J92" s="22">
        <f>IFERROR(INDEX('Spread Monitor'!$R$7:$R$850,MATCH("CHF|2",'Spread Monitor'!$X$7:$X$850,0)),"")</f>
        <v/>
      </c>
      <c r="K92" s="23">
        <f>IFERROR(INDEX('Spread Monitor'!$S$7:$S$850,MATCH("CHF|2",'Spread Monitor'!$X$7:$X$850,0)),"")</f>
        <v/>
      </c>
    </row>
    <row r="93">
      <c r="A93" s="8">
        <f>IFERROR(INDEX('Spread Monitor'!$A$7:$A$850,MATCH("CHF|3",'Spread Monitor'!$X$7:$X$850,0)),"")</f>
        <v/>
      </c>
      <c r="B93" s="8">
        <f>IFERROR(INDEX('Spread Monitor'!$B$7:$B$850,MATCH("CHF|3",'Spread Monitor'!$X$7:$X$850,0)),"")</f>
        <v/>
      </c>
      <c r="C93" s="8">
        <f>IFERROR(INDEX('Spread Monitor'!$C$7:$C$850,MATCH("CHF|3",'Spread Monitor'!$X$7:$X$850,0)),"")</f>
        <v/>
      </c>
      <c r="D93" s="8">
        <f>IFERROR(INDEX('Spread Monitor'!$E$7:$E$850,MATCH("CHF|3",'Spread Monitor'!$X$7:$X$850,0)),"")</f>
        <v/>
      </c>
      <c r="E93" s="8">
        <f>IFERROR(INDEX('Spread Monitor'!$G$7:$G$850,MATCH("CHF|3",'Spread Monitor'!$X$7:$X$850,0)),"")</f>
        <v/>
      </c>
      <c r="F93" s="8">
        <f>IFERROR(INDEX('Spread Monitor'!$H$7:$H$850,MATCH("CHF|3",'Spread Monitor'!$X$7:$X$850,0)),"")</f>
        <v/>
      </c>
      <c r="G93" s="10">
        <f>IFERROR(INDEX('Spread Monitor'!$L$7:$L$850,MATCH("CHF|3",'Spread Monitor'!$X$7:$X$850,0)),"")</f>
        <v/>
      </c>
      <c r="H93" s="12">
        <f>IFERROR(INDEX('Spread Monitor'!$O$7:$O$850,MATCH("CHF|3",'Spread Monitor'!$X$7:$X$850,0)),"")</f>
        <v/>
      </c>
      <c r="I93" s="13">
        <f>IFERROR(INDEX('Spread Monitor'!$Q$7:$Q$850,MATCH("CHF|3",'Spread Monitor'!$X$7:$X$850,0)),"")</f>
        <v/>
      </c>
      <c r="J93" s="13">
        <f>IFERROR(INDEX('Spread Monitor'!$R$7:$R$850,MATCH("CHF|3",'Spread Monitor'!$X$7:$X$850,0)),"")</f>
        <v/>
      </c>
      <c r="K93" s="14">
        <f>IFERROR(INDEX('Spread Monitor'!$S$7:$S$850,MATCH("CHF|3",'Spread Monitor'!$X$7:$X$850,0)),"")</f>
        <v/>
      </c>
    </row>
    <row r="94">
      <c r="A94" s="17">
        <f>IFERROR(INDEX('Spread Monitor'!$A$7:$A$850,MATCH("CHF|4",'Spread Monitor'!$X$7:$X$850,0)),"")</f>
        <v/>
      </c>
      <c r="B94" s="17">
        <f>IFERROR(INDEX('Spread Monitor'!$B$7:$B$850,MATCH("CHF|4",'Spread Monitor'!$X$7:$X$850,0)),"")</f>
        <v/>
      </c>
      <c r="C94" s="17">
        <f>IFERROR(INDEX('Spread Monitor'!$C$7:$C$850,MATCH("CHF|4",'Spread Monitor'!$X$7:$X$850,0)),"")</f>
        <v/>
      </c>
      <c r="D94" s="17">
        <f>IFERROR(INDEX('Spread Monitor'!$E$7:$E$850,MATCH("CHF|4",'Spread Monitor'!$X$7:$X$850,0)),"")</f>
        <v/>
      </c>
      <c r="E94" s="17">
        <f>IFERROR(INDEX('Spread Monitor'!$G$7:$G$850,MATCH("CHF|4",'Spread Monitor'!$X$7:$X$850,0)),"")</f>
        <v/>
      </c>
      <c r="F94" s="17">
        <f>IFERROR(INDEX('Spread Monitor'!$H$7:$H$850,MATCH("CHF|4",'Spread Monitor'!$X$7:$X$850,0)),"")</f>
        <v/>
      </c>
      <c r="G94" s="19">
        <f>IFERROR(INDEX('Spread Monitor'!$L$7:$L$850,MATCH("CHF|4",'Spread Monitor'!$X$7:$X$850,0)),"")</f>
        <v/>
      </c>
      <c r="H94" s="21">
        <f>IFERROR(INDEX('Spread Monitor'!$O$7:$O$850,MATCH("CHF|4",'Spread Monitor'!$X$7:$X$850,0)),"")</f>
        <v/>
      </c>
      <c r="I94" s="22">
        <f>IFERROR(INDEX('Spread Monitor'!$Q$7:$Q$850,MATCH("CHF|4",'Spread Monitor'!$X$7:$X$850,0)),"")</f>
        <v/>
      </c>
      <c r="J94" s="22">
        <f>IFERROR(INDEX('Spread Monitor'!$R$7:$R$850,MATCH("CHF|4",'Spread Monitor'!$X$7:$X$850,0)),"")</f>
        <v/>
      </c>
      <c r="K94" s="23">
        <f>IFERROR(INDEX('Spread Monitor'!$S$7:$S$850,MATCH("CHF|4",'Spread Monitor'!$X$7:$X$850,0)),"")</f>
        <v/>
      </c>
    </row>
    <row r="95">
      <c r="A95" s="8">
        <f>IFERROR(INDEX('Spread Monitor'!$A$7:$A$850,MATCH("CHF|5",'Spread Monitor'!$X$7:$X$850,0)),"")</f>
        <v/>
      </c>
      <c r="B95" s="8">
        <f>IFERROR(INDEX('Spread Monitor'!$B$7:$B$850,MATCH("CHF|5",'Spread Monitor'!$X$7:$X$850,0)),"")</f>
        <v/>
      </c>
      <c r="C95" s="8">
        <f>IFERROR(INDEX('Spread Monitor'!$C$7:$C$850,MATCH("CHF|5",'Spread Monitor'!$X$7:$X$850,0)),"")</f>
        <v/>
      </c>
      <c r="D95" s="8">
        <f>IFERROR(INDEX('Spread Monitor'!$E$7:$E$850,MATCH("CHF|5",'Spread Monitor'!$X$7:$X$850,0)),"")</f>
        <v/>
      </c>
      <c r="E95" s="8">
        <f>IFERROR(INDEX('Spread Monitor'!$G$7:$G$850,MATCH("CHF|5",'Spread Monitor'!$X$7:$X$850,0)),"")</f>
        <v/>
      </c>
      <c r="F95" s="8">
        <f>IFERROR(INDEX('Spread Monitor'!$H$7:$H$850,MATCH("CHF|5",'Spread Monitor'!$X$7:$X$850,0)),"")</f>
        <v/>
      </c>
      <c r="G95" s="10">
        <f>IFERROR(INDEX('Spread Monitor'!$L$7:$L$850,MATCH("CHF|5",'Spread Monitor'!$X$7:$X$850,0)),"")</f>
        <v/>
      </c>
      <c r="H95" s="12">
        <f>IFERROR(INDEX('Spread Monitor'!$O$7:$O$850,MATCH("CHF|5",'Spread Monitor'!$X$7:$X$850,0)),"")</f>
        <v/>
      </c>
      <c r="I95" s="13">
        <f>IFERROR(INDEX('Spread Monitor'!$Q$7:$Q$850,MATCH("CHF|5",'Spread Monitor'!$X$7:$X$850,0)),"")</f>
        <v/>
      </c>
      <c r="J95" s="13">
        <f>IFERROR(INDEX('Spread Monitor'!$R$7:$R$850,MATCH("CHF|5",'Spread Monitor'!$X$7:$X$850,0)),"")</f>
        <v/>
      </c>
      <c r="K95" s="14">
        <f>IFERROR(INDEX('Spread Monitor'!$S$7:$S$850,MATCH("CHF|5",'Spread Monitor'!$X$7:$X$850,0)),"")</f>
        <v/>
      </c>
    </row>
    <row r="96">
      <c r="A96" s="17">
        <f>IFERROR(INDEX('Spread Monitor'!$A$7:$A$850,MATCH("CHF|6",'Spread Monitor'!$X$7:$X$850,0)),"")</f>
        <v/>
      </c>
      <c r="B96" s="17">
        <f>IFERROR(INDEX('Spread Monitor'!$B$7:$B$850,MATCH("CHF|6",'Spread Monitor'!$X$7:$X$850,0)),"")</f>
        <v/>
      </c>
      <c r="C96" s="17">
        <f>IFERROR(INDEX('Spread Monitor'!$C$7:$C$850,MATCH("CHF|6",'Spread Monitor'!$X$7:$X$850,0)),"")</f>
        <v/>
      </c>
      <c r="D96" s="17">
        <f>IFERROR(INDEX('Spread Monitor'!$E$7:$E$850,MATCH("CHF|6",'Spread Monitor'!$X$7:$X$850,0)),"")</f>
        <v/>
      </c>
      <c r="E96" s="17">
        <f>IFERROR(INDEX('Spread Monitor'!$G$7:$G$850,MATCH("CHF|6",'Spread Monitor'!$X$7:$X$850,0)),"")</f>
        <v/>
      </c>
      <c r="F96" s="17">
        <f>IFERROR(INDEX('Spread Monitor'!$H$7:$H$850,MATCH("CHF|6",'Spread Monitor'!$X$7:$X$850,0)),"")</f>
        <v/>
      </c>
      <c r="G96" s="19">
        <f>IFERROR(INDEX('Spread Monitor'!$L$7:$L$850,MATCH("CHF|6",'Spread Monitor'!$X$7:$X$850,0)),"")</f>
        <v/>
      </c>
      <c r="H96" s="21">
        <f>IFERROR(INDEX('Spread Monitor'!$O$7:$O$850,MATCH("CHF|6",'Spread Monitor'!$X$7:$X$850,0)),"")</f>
        <v/>
      </c>
      <c r="I96" s="22">
        <f>IFERROR(INDEX('Spread Monitor'!$Q$7:$Q$850,MATCH("CHF|6",'Spread Monitor'!$X$7:$X$850,0)),"")</f>
        <v/>
      </c>
      <c r="J96" s="22">
        <f>IFERROR(INDEX('Spread Monitor'!$R$7:$R$850,MATCH("CHF|6",'Spread Monitor'!$X$7:$X$850,0)),"")</f>
        <v/>
      </c>
      <c r="K96" s="23">
        <f>IFERROR(INDEX('Spread Monitor'!$S$7:$S$850,MATCH("CHF|6",'Spread Monitor'!$X$7:$X$850,0)),"")</f>
        <v/>
      </c>
    </row>
    <row r="97">
      <c r="A97" s="8">
        <f>IFERROR(INDEX('Spread Monitor'!$A$7:$A$850,MATCH("CHF|7",'Spread Monitor'!$X$7:$X$850,0)),"")</f>
        <v/>
      </c>
      <c r="B97" s="8">
        <f>IFERROR(INDEX('Spread Monitor'!$B$7:$B$850,MATCH("CHF|7",'Spread Monitor'!$X$7:$X$850,0)),"")</f>
        <v/>
      </c>
      <c r="C97" s="8">
        <f>IFERROR(INDEX('Spread Monitor'!$C$7:$C$850,MATCH("CHF|7",'Spread Monitor'!$X$7:$X$850,0)),"")</f>
        <v/>
      </c>
      <c r="D97" s="8">
        <f>IFERROR(INDEX('Spread Monitor'!$E$7:$E$850,MATCH("CHF|7",'Spread Monitor'!$X$7:$X$850,0)),"")</f>
        <v/>
      </c>
      <c r="E97" s="8">
        <f>IFERROR(INDEX('Spread Monitor'!$G$7:$G$850,MATCH("CHF|7",'Spread Monitor'!$X$7:$X$850,0)),"")</f>
        <v/>
      </c>
      <c r="F97" s="8">
        <f>IFERROR(INDEX('Spread Monitor'!$H$7:$H$850,MATCH("CHF|7",'Spread Monitor'!$X$7:$X$850,0)),"")</f>
        <v/>
      </c>
      <c r="G97" s="10">
        <f>IFERROR(INDEX('Spread Monitor'!$L$7:$L$850,MATCH("CHF|7",'Spread Monitor'!$X$7:$X$850,0)),"")</f>
        <v/>
      </c>
      <c r="H97" s="12">
        <f>IFERROR(INDEX('Spread Monitor'!$O$7:$O$850,MATCH("CHF|7",'Spread Monitor'!$X$7:$X$850,0)),"")</f>
        <v/>
      </c>
      <c r="I97" s="13">
        <f>IFERROR(INDEX('Spread Monitor'!$Q$7:$Q$850,MATCH("CHF|7",'Spread Monitor'!$X$7:$X$850,0)),"")</f>
        <v/>
      </c>
      <c r="J97" s="13">
        <f>IFERROR(INDEX('Spread Monitor'!$R$7:$R$850,MATCH("CHF|7",'Spread Monitor'!$X$7:$X$850,0)),"")</f>
        <v/>
      </c>
      <c r="K97" s="14">
        <f>IFERROR(INDEX('Spread Monitor'!$S$7:$S$850,MATCH("CHF|7",'Spread Monitor'!$X$7:$X$850,0)),"")</f>
        <v/>
      </c>
    </row>
    <row r="98">
      <c r="A98" s="17">
        <f>IFERROR(INDEX('Spread Monitor'!$A$7:$A$850,MATCH("CHF|8",'Spread Monitor'!$X$7:$X$850,0)),"")</f>
        <v/>
      </c>
      <c r="B98" s="17">
        <f>IFERROR(INDEX('Spread Monitor'!$B$7:$B$850,MATCH("CHF|8",'Spread Monitor'!$X$7:$X$850,0)),"")</f>
        <v/>
      </c>
      <c r="C98" s="17">
        <f>IFERROR(INDEX('Spread Monitor'!$C$7:$C$850,MATCH("CHF|8",'Spread Monitor'!$X$7:$X$850,0)),"")</f>
        <v/>
      </c>
      <c r="D98" s="17">
        <f>IFERROR(INDEX('Spread Monitor'!$E$7:$E$850,MATCH("CHF|8",'Spread Monitor'!$X$7:$X$850,0)),"")</f>
        <v/>
      </c>
      <c r="E98" s="17">
        <f>IFERROR(INDEX('Spread Monitor'!$G$7:$G$850,MATCH("CHF|8",'Spread Monitor'!$X$7:$X$850,0)),"")</f>
        <v/>
      </c>
      <c r="F98" s="17">
        <f>IFERROR(INDEX('Spread Monitor'!$H$7:$H$850,MATCH("CHF|8",'Spread Monitor'!$X$7:$X$850,0)),"")</f>
        <v/>
      </c>
      <c r="G98" s="19">
        <f>IFERROR(INDEX('Spread Monitor'!$L$7:$L$850,MATCH("CHF|8",'Spread Monitor'!$X$7:$X$850,0)),"")</f>
        <v/>
      </c>
      <c r="H98" s="21">
        <f>IFERROR(INDEX('Spread Monitor'!$O$7:$O$850,MATCH("CHF|8",'Spread Monitor'!$X$7:$X$850,0)),"")</f>
        <v/>
      </c>
      <c r="I98" s="22">
        <f>IFERROR(INDEX('Spread Monitor'!$Q$7:$Q$850,MATCH("CHF|8",'Spread Monitor'!$X$7:$X$850,0)),"")</f>
        <v/>
      </c>
      <c r="J98" s="22">
        <f>IFERROR(INDEX('Spread Monitor'!$R$7:$R$850,MATCH("CHF|8",'Spread Monitor'!$X$7:$X$850,0)),"")</f>
        <v/>
      </c>
      <c r="K98" s="23">
        <f>IFERROR(INDEX('Spread Monitor'!$S$7:$S$850,MATCH("CHF|8",'Spread Monitor'!$X$7:$X$850,0)),"")</f>
        <v/>
      </c>
    </row>
    <row r="99">
      <c r="A99" s="8">
        <f>IFERROR(INDEX('Spread Monitor'!$A$7:$A$850,MATCH("CHF|9",'Spread Monitor'!$X$7:$X$850,0)),"")</f>
        <v/>
      </c>
      <c r="B99" s="8">
        <f>IFERROR(INDEX('Spread Monitor'!$B$7:$B$850,MATCH("CHF|9",'Spread Monitor'!$X$7:$X$850,0)),"")</f>
        <v/>
      </c>
      <c r="C99" s="8">
        <f>IFERROR(INDEX('Spread Monitor'!$C$7:$C$850,MATCH("CHF|9",'Spread Monitor'!$X$7:$X$850,0)),"")</f>
        <v/>
      </c>
      <c r="D99" s="8">
        <f>IFERROR(INDEX('Spread Monitor'!$E$7:$E$850,MATCH("CHF|9",'Spread Monitor'!$X$7:$X$850,0)),"")</f>
        <v/>
      </c>
      <c r="E99" s="8">
        <f>IFERROR(INDEX('Spread Monitor'!$G$7:$G$850,MATCH("CHF|9",'Spread Monitor'!$X$7:$X$850,0)),"")</f>
        <v/>
      </c>
      <c r="F99" s="8">
        <f>IFERROR(INDEX('Spread Monitor'!$H$7:$H$850,MATCH("CHF|9",'Spread Monitor'!$X$7:$X$850,0)),"")</f>
        <v/>
      </c>
      <c r="G99" s="10">
        <f>IFERROR(INDEX('Spread Monitor'!$L$7:$L$850,MATCH("CHF|9",'Spread Monitor'!$X$7:$X$850,0)),"")</f>
        <v/>
      </c>
      <c r="H99" s="12">
        <f>IFERROR(INDEX('Spread Monitor'!$O$7:$O$850,MATCH("CHF|9",'Spread Monitor'!$X$7:$X$850,0)),"")</f>
        <v/>
      </c>
      <c r="I99" s="13">
        <f>IFERROR(INDEX('Spread Monitor'!$Q$7:$Q$850,MATCH("CHF|9",'Spread Monitor'!$X$7:$X$850,0)),"")</f>
        <v/>
      </c>
      <c r="J99" s="13">
        <f>IFERROR(INDEX('Spread Monitor'!$R$7:$R$850,MATCH("CHF|9",'Spread Monitor'!$X$7:$X$850,0)),"")</f>
        <v/>
      </c>
      <c r="K99" s="14">
        <f>IFERROR(INDEX('Spread Monitor'!$S$7:$S$850,MATCH("CHF|9",'Spread Monitor'!$X$7:$X$850,0)),"")</f>
        <v/>
      </c>
    </row>
    <row r="100">
      <c r="A100" s="17">
        <f>IFERROR(INDEX('Spread Monitor'!$A$7:$A$850,MATCH("CHF|10",'Spread Monitor'!$X$7:$X$850,0)),"")</f>
        <v/>
      </c>
      <c r="B100" s="17">
        <f>IFERROR(INDEX('Spread Monitor'!$B$7:$B$850,MATCH("CHF|10",'Spread Monitor'!$X$7:$X$850,0)),"")</f>
        <v/>
      </c>
      <c r="C100" s="17">
        <f>IFERROR(INDEX('Spread Monitor'!$C$7:$C$850,MATCH("CHF|10",'Spread Monitor'!$X$7:$X$850,0)),"")</f>
        <v/>
      </c>
      <c r="D100" s="17">
        <f>IFERROR(INDEX('Spread Monitor'!$E$7:$E$850,MATCH("CHF|10",'Spread Monitor'!$X$7:$X$850,0)),"")</f>
        <v/>
      </c>
      <c r="E100" s="17">
        <f>IFERROR(INDEX('Spread Monitor'!$G$7:$G$850,MATCH("CHF|10",'Spread Monitor'!$X$7:$X$850,0)),"")</f>
        <v/>
      </c>
      <c r="F100" s="17">
        <f>IFERROR(INDEX('Spread Monitor'!$H$7:$H$850,MATCH("CHF|10",'Spread Monitor'!$X$7:$X$850,0)),"")</f>
        <v/>
      </c>
      <c r="G100" s="19">
        <f>IFERROR(INDEX('Spread Monitor'!$L$7:$L$850,MATCH("CHF|10",'Spread Monitor'!$X$7:$X$850,0)),"")</f>
        <v/>
      </c>
      <c r="H100" s="21">
        <f>IFERROR(INDEX('Spread Monitor'!$O$7:$O$850,MATCH("CHF|10",'Spread Monitor'!$X$7:$X$850,0)),"")</f>
        <v/>
      </c>
      <c r="I100" s="22">
        <f>IFERROR(INDEX('Spread Monitor'!$Q$7:$Q$850,MATCH("CHF|10",'Spread Monitor'!$X$7:$X$850,0)),"")</f>
        <v/>
      </c>
      <c r="J100" s="22">
        <f>IFERROR(INDEX('Spread Monitor'!$R$7:$R$850,MATCH("CHF|10",'Spread Monitor'!$X$7:$X$850,0)),"")</f>
        <v/>
      </c>
      <c r="K100" s="23">
        <f>IFERROR(INDEX('Spread Monitor'!$S$7:$S$850,MATCH("CHF|10",'Spread Monitor'!$X$7:$X$850,0)),"")</f>
        <v/>
      </c>
    </row>
    <row r="103">
      <c r="A103" s="28" t="inlineStr">
        <is>
          <t>CHF - Top 10 that tightened the most since 14.07.2026</t>
        </is>
      </c>
    </row>
    <row r="104" ht="26" customHeight="1">
      <c r="A104" s="27" t="inlineStr">
        <is>
          <t>ISIN</t>
        </is>
      </c>
      <c r="B104" s="27" t="inlineStr">
        <is>
          <t>Company</t>
        </is>
      </c>
      <c r="C104" s="27" t="inlineStr">
        <is>
          <t>Company description</t>
        </is>
      </c>
      <c r="D104" s="27" t="inlineStr">
        <is>
          <t>Sector</t>
        </is>
      </c>
      <c r="E104" s="27" t="inlineStr">
        <is>
          <t>Ccy</t>
        </is>
      </c>
      <c r="F104" s="27" t="inlineStr">
        <is>
          <t>Rating</t>
        </is>
      </c>
      <c r="G104" s="27" t="inlineStr">
        <is>
          <t>Maturity</t>
        </is>
      </c>
      <c r="H104" s="27" t="inlineStr">
        <is>
          <t>YTW (%)</t>
        </is>
      </c>
      <c r="I104" s="27" t="inlineStr">
        <is>
          <t>Spread today (bp)</t>
        </is>
      </c>
      <c r="J104" s="27" t="inlineStr">
        <is>
          <t>Spread on anchor (bp)</t>
        </is>
      </c>
      <c r="K104" s="27" t="inlineStr">
        <is>
          <t>Spread change (bp)</t>
        </is>
      </c>
    </row>
    <row r="105">
      <c r="A105" s="8">
        <f>IFERROR(INDEX('Spread Monitor'!$A$7:$A$850,MATCH("CHF|1",'Spread Monitor'!$Y$7:$Y$850,0)),"")</f>
        <v/>
      </c>
      <c r="B105" s="8">
        <f>IFERROR(INDEX('Spread Monitor'!$B$7:$B$850,MATCH("CHF|1",'Spread Monitor'!$Y$7:$Y$850,0)),"")</f>
        <v/>
      </c>
      <c r="C105" s="8">
        <f>IFERROR(INDEX('Spread Monitor'!$C$7:$C$850,MATCH("CHF|1",'Spread Monitor'!$Y$7:$Y$850,0)),"")</f>
        <v/>
      </c>
      <c r="D105" s="8">
        <f>IFERROR(INDEX('Spread Monitor'!$E$7:$E$850,MATCH("CHF|1",'Spread Monitor'!$Y$7:$Y$850,0)),"")</f>
        <v/>
      </c>
      <c r="E105" s="8">
        <f>IFERROR(INDEX('Spread Monitor'!$G$7:$G$850,MATCH("CHF|1",'Spread Monitor'!$Y$7:$Y$850,0)),"")</f>
        <v/>
      </c>
      <c r="F105" s="8">
        <f>IFERROR(INDEX('Spread Monitor'!$H$7:$H$850,MATCH("CHF|1",'Spread Monitor'!$Y$7:$Y$850,0)),"")</f>
        <v/>
      </c>
      <c r="G105" s="10">
        <f>IFERROR(INDEX('Spread Monitor'!$L$7:$L$850,MATCH("CHF|1",'Spread Monitor'!$Y$7:$Y$850,0)),"")</f>
        <v/>
      </c>
      <c r="H105" s="12">
        <f>IFERROR(INDEX('Spread Monitor'!$O$7:$O$850,MATCH("CHF|1",'Spread Monitor'!$Y$7:$Y$850,0)),"")</f>
        <v/>
      </c>
      <c r="I105" s="13">
        <f>IFERROR(INDEX('Spread Monitor'!$Q$7:$Q$850,MATCH("CHF|1",'Spread Monitor'!$Y$7:$Y$850,0)),"")</f>
        <v/>
      </c>
      <c r="J105" s="13">
        <f>IFERROR(INDEX('Spread Monitor'!$R$7:$R$850,MATCH("CHF|1",'Spread Monitor'!$Y$7:$Y$850,0)),"")</f>
        <v/>
      </c>
      <c r="K105" s="14">
        <f>IFERROR(INDEX('Spread Monitor'!$S$7:$S$850,MATCH("CHF|1",'Spread Monitor'!$Y$7:$Y$850,0)),"")</f>
        <v/>
      </c>
    </row>
    <row r="106">
      <c r="A106" s="17">
        <f>IFERROR(INDEX('Spread Monitor'!$A$7:$A$850,MATCH("CHF|2",'Spread Monitor'!$Y$7:$Y$850,0)),"")</f>
        <v/>
      </c>
      <c r="B106" s="17">
        <f>IFERROR(INDEX('Spread Monitor'!$B$7:$B$850,MATCH("CHF|2",'Spread Monitor'!$Y$7:$Y$850,0)),"")</f>
        <v/>
      </c>
      <c r="C106" s="17">
        <f>IFERROR(INDEX('Spread Monitor'!$C$7:$C$850,MATCH("CHF|2",'Spread Monitor'!$Y$7:$Y$850,0)),"")</f>
        <v/>
      </c>
      <c r="D106" s="17">
        <f>IFERROR(INDEX('Spread Monitor'!$E$7:$E$850,MATCH("CHF|2",'Spread Monitor'!$Y$7:$Y$850,0)),"")</f>
        <v/>
      </c>
      <c r="E106" s="17">
        <f>IFERROR(INDEX('Spread Monitor'!$G$7:$G$850,MATCH("CHF|2",'Spread Monitor'!$Y$7:$Y$850,0)),"")</f>
        <v/>
      </c>
      <c r="F106" s="17">
        <f>IFERROR(INDEX('Spread Monitor'!$H$7:$H$850,MATCH("CHF|2",'Spread Monitor'!$Y$7:$Y$850,0)),"")</f>
        <v/>
      </c>
      <c r="G106" s="19">
        <f>IFERROR(INDEX('Spread Monitor'!$L$7:$L$850,MATCH("CHF|2",'Spread Monitor'!$Y$7:$Y$850,0)),"")</f>
        <v/>
      </c>
      <c r="H106" s="21">
        <f>IFERROR(INDEX('Spread Monitor'!$O$7:$O$850,MATCH("CHF|2",'Spread Monitor'!$Y$7:$Y$850,0)),"")</f>
        <v/>
      </c>
      <c r="I106" s="22">
        <f>IFERROR(INDEX('Spread Monitor'!$Q$7:$Q$850,MATCH("CHF|2",'Spread Monitor'!$Y$7:$Y$850,0)),"")</f>
        <v/>
      </c>
      <c r="J106" s="22">
        <f>IFERROR(INDEX('Spread Monitor'!$R$7:$R$850,MATCH("CHF|2",'Spread Monitor'!$Y$7:$Y$850,0)),"")</f>
        <v/>
      </c>
      <c r="K106" s="23">
        <f>IFERROR(INDEX('Spread Monitor'!$S$7:$S$850,MATCH("CHF|2",'Spread Monitor'!$Y$7:$Y$850,0)),"")</f>
        <v/>
      </c>
    </row>
    <row r="107">
      <c r="A107" s="8">
        <f>IFERROR(INDEX('Spread Monitor'!$A$7:$A$850,MATCH("CHF|3",'Spread Monitor'!$Y$7:$Y$850,0)),"")</f>
        <v/>
      </c>
      <c r="B107" s="8">
        <f>IFERROR(INDEX('Spread Monitor'!$B$7:$B$850,MATCH("CHF|3",'Spread Monitor'!$Y$7:$Y$850,0)),"")</f>
        <v/>
      </c>
      <c r="C107" s="8">
        <f>IFERROR(INDEX('Spread Monitor'!$C$7:$C$850,MATCH("CHF|3",'Spread Monitor'!$Y$7:$Y$850,0)),"")</f>
        <v/>
      </c>
      <c r="D107" s="8">
        <f>IFERROR(INDEX('Spread Monitor'!$E$7:$E$850,MATCH("CHF|3",'Spread Monitor'!$Y$7:$Y$850,0)),"")</f>
        <v/>
      </c>
      <c r="E107" s="8">
        <f>IFERROR(INDEX('Spread Monitor'!$G$7:$G$850,MATCH("CHF|3",'Spread Monitor'!$Y$7:$Y$850,0)),"")</f>
        <v/>
      </c>
      <c r="F107" s="8">
        <f>IFERROR(INDEX('Spread Monitor'!$H$7:$H$850,MATCH("CHF|3",'Spread Monitor'!$Y$7:$Y$850,0)),"")</f>
        <v/>
      </c>
      <c r="G107" s="10">
        <f>IFERROR(INDEX('Spread Monitor'!$L$7:$L$850,MATCH("CHF|3",'Spread Monitor'!$Y$7:$Y$850,0)),"")</f>
        <v/>
      </c>
      <c r="H107" s="12">
        <f>IFERROR(INDEX('Spread Monitor'!$O$7:$O$850,MATCH("CHF|3",'Spread Monitor'!$Y$7:$Y$850,0)),"")</f>
        <v/>
      </c>
      <c r="I107" s="13">
        <f>IFERROR(INDEX('Spread Monitor'!$Q$7:$Q$850,MATCH("CHF|3",'Spread Monitor'!$Y$7:$Y$850,0)),"")</f>
        <v/>
      </c>
      <c r="J107" s="13">
        <f>IFERROR(INDEX('Spread Monitor'!$R$7:$R$850,MATCH("CHF|3",'Spread Monitor'!$Y$7:$Y$850,0)),"")</f>
        <v/>
      </c>
      <c r="K107" s="14">
        <f>IFERROR(INDEX('Spread Monitor'!$S$7:$S$850,MATCH("CHF|3",'Spread Monitor'!$Y$7:$Y$850,0)),"")</f>
        <v/>
      </c>
    </row>
    <row r="108">
      <c r="A108" s="17">
        <f>IFERROR(INDEX('Spread Monitor'!$A$7:$A$850,MATCH("CHF|4",'Spread Monitor'!$Y$7:$Y$850,0)),"")</f>
        <v/>
      </c>
      <c r="B108" s="17">
        <f>IFERROR(INDEX('Spread Monitor'!$B$7:$B$850,MATCH("CHF|4",'Spread Monitor'!$Y$7:$Y$850,0)),"")</f>
        <v/>
      </c>
      <c r="C108" s="17">
        <f>IFERROR(INDEX('Spread Monitor'!$C$7:$C$850,MATCH("CHF|4",'Spread Monitor'!$Y$7:$Y$850,0)),"")</f>
        <v/>
      </c>
      <c r="D108" s="17">
        <f>IFERROR(INDEX('Spread Monitor'!$E$7:$E$850,MATCH("CHF|4",'Spread Monitor'!$Y$7:$Y$850,0)),"")</f>
        <v/>
      </c>
      <c r="E108" s="17">
        <f>IFERROR(INDEX('Spread Monitor'!$G$7:$G$850,MATCH("CHF|4",'Spread Monitor'!$Y$7:$Y$850,0)),"")</f>
        <v/>
      </c>
      <c r="F108" s="17">
        <f>IFERROR(INDEX('Spread Monitor'!$H$7:$H$850,MATCH("CHF|4",'Spread Monitor'!$Y$7:$Y$850,0)),"")</f>
        <v/>
      </c>
      <c r="G108" s="19">
        <f>IFERROR(INDEX('Spread Monitor'!$L$7:$L$850,MATCH("CHF|4",'Spread Monitor'!$Y$7:$Y$850,0)),"")</f>
        <v/>
      </c>
      <c r="H108" s="21">
        <f>IFERROR(INDEX('Spread Monitor'!$O$7:$O$850,MATCH("CHF|4",'Spread Monitor'!$Y$7:$Y$850,0)),"")</f>
        <v/>
      </c>
      <c r="I108" s="22">
        <f>IFERROR(INDEX('Spread Monitor'!$Q$7:$Q$850,MATCH("CHF|4",'Spread Monitor'!$Y$7:$Y$850,0)),"")</f>
        <v/>
      </c>
      <c r="J108" s="22">
        <f>IFERROR(INDEX('Spread Monitor'!$R$7:$R$850,MATCH("CHF|4",'Spread Monitor'!$Y$7:$Y$850,0)),"")</f>
        <v/>
      </c>
      <c r="K108" s="23">
        <f>IFERROR(INDEX('Spread Monitor'!$S$7:$S$850,MATCH("CHF|4",'Spread Monitor'!$Y$7:$Y$850,0)),"")</f>
        <v/>
      </c>
    </row>
    <row r="109">
      <c r="A109" s="8">
        <f>IFERROR(INDEX('Spread Monitor'!$A$7:$A$850,MATCH("CHF|5",'Spread Monitor'!$Y$7:$Y$850,0)),"")</f>
        <v/>
      </c>
      <c r="B109" s="8">
        <f>IFERROR(INDEX('Spread Monitor'!$B$7:$B$850,MATCH("CHF|5",'Spread Monitor'!$Y$7:$Y$850,0)),"")</f>
        <v/>
      </c>
      <c r="C109" s="8">
        <f>IFERROR(INDEX('Spread Monitor'!$C$7:$C$850,MATCH("CHF|5",'Spread Monitor'!$Y$7:$Y$850,0)),"")</f>
        <v/>
      </c>
      <c r="D109" s="8">
        <f>IFERROR(INDEX('Spread Monitor'!$E$7:$E$850,MATCH("CHF|5",'Spread Monitor'!$Y$7:$Y$850,0)),"")</f>
        <v/>
      </c>
      <c r="E109" s="8">
        <f>IFERROR(INDEX('Spread Monitor'!$G$7:$G$850,MATCH("CHF|5",'Spread Monitor'!$Y$7:$Y$850,0)),"")</f>
        <v/>
      </c>
      <c r="F109" s="8">
        <f>IFERROR(INDEX('Spread Monitor'!$H$7:$H$850,MATCH("CHF|5",'Spread Monitor'!$Y$7:$Y$850,0)),"")</f>
        <v/>
      </c>
      <c r="G109" s="10">
        <f>IFERROR(INDEX('Spread Monitor'!$L$7:$L$850,MATCH("CHF|5",'Spread Monitor'!$Y$7:$Y$850,0)),"")</f>
        <v/>
      </c>
      <c r="H109" s="12">
        <f>IFERROR(INDEX('Spread Monitor'!$O$7:$O$850,MATCH("CHF|5",'Spread Monitor'!$Y$7:$Y$850,0)),"")</f>
        <v/>
      </c>
      <c r="I109" s="13">
        <f>IFERROR(INDEX('Spread Monitor'!$Q$7:$Q$850,MATCH("CHF|5",'Spread Monitor'!$Y$7:$Y$850,0)),"")</f>
        <v/>
      </c>
      <c r="J109" s="13">
        <f>IFERROR(INDEX('Spread Monitor'!$R$7:$R$850,MATCH("CHF|5",'Spread Monitor'!$Y$7:$Y$850,0)),"")</f>
        <v/>
      </c>
      <c r="K109" s="14">
        <f>IFERROR(INDEX('Spread Monitor'!$S$7:$S$850,MATCH("CHF|5",'Spread Monitor'!$Y$7:$Y$850,0)),"")</f>
        <v/>
      </c>
    </row>
    <row r="110">
      <c r="A110" s="17">
        <f>IFERROR(INDEX('Spread Monitor'!$A$7:$A$850,MATCH("CHF|6",'Spread Monitor'!$Y$7:$Y$850,0)),"")</f>
        <v/>
      </c>
      <c r="B110" s="17">
        <f>IFERROR(INDEX('Spread Monitor'!$B$7:$B$850,MATCH("CHF|6",'Spread Monitor'!$Y$7:$Y$850,0)),"")</f>
        <v/>
      </c>
      <c r="C110" s="17">
        <f>IFERROR(INDEX('Spread Monitor'!$C$7:$C$850,MATCH("CHF|6",'Spread Monitor'!$Y$7:$Y$850,0)),"")</f>
        <v/>
      </c>
      <c r="D110" s="17">
        <f>IFERROR(INDEX('Spread Monitor'!$E$7:$E$850,MATCH("CHF|6",'Spread Monitor'!$Y$7:$Y$850,0)),"")</f>
        <v/>
      </c>
      <c r="E110" s="17">
        <f>IFERROR(INDEX('Spread Monitor'!$G$7:$G$850,MATCH("CHF|6",'Spread Monitor'!$Y$7:$Y$850,0)),"")</f>
        <v/>
      </c>
      <c r="F110" s="17">
        <f>IFERROR(INDEX('Spread Monitor'!$H$7:$H$850,MATCH("CHF|6",'Spread Monitor'!$Y$7:$Y$850,0)),"")</f>
        <v/>
      </c>
      <c r="G110" s="19">
        <f>IFERROR(INDEX('Spread Monitor'!$L$7:$L$850,MATCH("CHF|6",'Spread Monitor'!$Y$7:$Y$850,0)),"")</f>
        <v/>
      </c>
      <c r="H110" s="21">
        <f>IFERROR(INDEX('Spread Monitor'!$O$7:$O$850,MATCH("CHF|6",'Spread Monitor'!$Y$7:$Y$850,0)),"")</f>
        <v/>
      </c>
      <c r="I110" s="22">
        <f>IFERROR(INDEX('Spread Monitor'!$Q$7:$Q$850,MATCH("CHF|6",'Spread Monitor'!$Y$7:$Y$850,0)),"")</f>
        <v/>
      </c>
      <c r="J110" s="22">
        <f>IFERROR(INDEX('Spread Monitor'!$R$7:$R$850,MATCH("CHF|6",'Spread Monitor'!$Y$7:$Y$850,0)),"")</f>
        <v/>
      </c>
      <c r="K110" s="23">
        <f>IFERROR(INDEX('Spread Monitor'!$S$7:$S$850,MATCH("CHF|6",'Spread Monitor'!$Y$7:$Y$850,0)),"")</f>
        <v/>
      </c>
    </row>
    <row r="111">
      <c r="A111" s="8">
        <f>IFERROR(INDEX('Spread Monitor'!$A$7:$A$850,MATCH("CHF|7",'Spread Monitor'!$Y$7:$Y$850,0)),"")</f>
        <v/>
      </c>
      <c r="B111" s="8">
        <f>IFERROR(INDEX('Spread Monitor'!$B$7:$B$850,MATCH("CHF|7",'Spread Monitor'!$Y$7:$Y$850,0)),"")</f>
        <v/>
      </c>
      <c r="C111" s="8">
        <f>IFERROR(INDEX('Spread Monitor'!$C$7:$C$850,MATCH("CHF|7",'Spread Monitor'!$Y$7:$Y$850,0)),"")</f>
        <v/>
      </c>
      <c r="D111" s="8">
        <f>IFERROR(INDEX('Spread Monitor'!$E$7:$E$850,MATCH("CHF|7",'Spread Monitor'!$Y$7:$Y$850,0)),"")</f>
        <v/>
      </c>
      <c r="E111" s="8">
        <f>IFERROR(INDEX('Spread Monitor'!$G$7:$G$850,MATCH("CHF|7",'Spread Monitor'!$Y$7:$Y$850,0)),"")</f>
        <v/>
      </c>
      <c r="F111" s="8">
        <f>IFERROR(INDEX('Spread Monitor'!$H$7:$H$850,MATCH("CHF|7",'Spread Monitor'!$Y$7:$Y$850,0)),"")</f>
        <v/>
      </c>
      <c r="G111" s="10">
        <f>IFERROR(INDEX('Spread Monitor'!$L$7:$L$850,MATCH("CHF|7",'Spread Monitor'!$Y$7:$Y$850,0)),"")</f>
        <v/>
      </c>
      <c r="H111" s="12">
        <f>IFERROR(INDEX('Spread Monitor'!$O$7:$O$850,MATCH("CHF|7",'Spread Monitor'!$Y$7:$Y$850,0)),"")</f>
        <v/>
      </c>
      <c r="I111" s="13">
        <f>IFERROR(INDEX('Spread Monitor'!$Q$7:$Q$850,MATCH("CHF|7",'Spread Monitor'!$Y$7:$Y$850,0)),"")</f>
        <v/>
      </c>
      <c r="J111" s="13">
        <f>IFERROR(INDEX('Spread Monitor'!$R$7:$R$850,MATCH("CHF|7",'Spread Monitor'!$Y$7:$Y$850,0)),"")</f>
        <v/>
      </c>
      <c r="K111" s="14">
        <f>IFERROR(INDEX('Spread Monitor'!$S$7:$S$850,MATCH("CHF|7",'Spread Monitor'!$Y$7:$Y$850,0)),"")</f>
        <v/>
      </c>
    </row>
    <row r="112">
      <c r="A112" s="17">
        <f>IFERROR(INDEX('Spread Monitor'!$A$7:$A$850,MATCH("CHF|8",'Spread Monitor'!$Y$7:$Y$850,0)),"")</f>
        <v/>
      </c>
      <c r="B112" s="17">
        <f>IFERROR(INDEX('Spread Monitor'!$B$7:$B$850,MATCH("CHF|8",'Spread Monitor'!$Y$7:$Y$850,0)),"")</f>
        <v/>
      </c>
      <c r="C112" s="17">
        <f>IFERROR(INDEX('Spread Monitor'!$C$7:$C$850,MATCH("CHF|8",'Spread Monitor'!$Y$7:$Y$850,0)),"")</f>
        <v/>
      </c>
      <c r="D112" s="17">
        <f>IFERROR(INDEX('Spread Monitor'!$E$7:$E$850,MATCH("CHF|8",'Spread Monitor'!$Y$7:$Y$850,0)),"")</f>
        <v/>
      </c>
      <c r="E112" s="17">
        <f>IFERROR(INDEX('Spread Monitor'!$G$7:$G$850,MATCH("CHF|8",'Spread Monitor'!$Y$7:$Y$850,0)),"")</f>
        <v/>
      </c>
      <c r="F112" s="17">
        <f>IFERROR(INDEX('Spread Monitor'!$H$7:$H$850,MATCH("CHF|8",'Spread Monitor'!$Y$7:$Y$850,0)),"")</f>
        <v/>
      </c>
      <c r="G112" s="19">
        <f>IFERROR(INDEX('Spread Monitor'!$L$7:$L$850,MATCH("CHF|8",'Spread Monitor'!$Y$7:$Y$850,0)),"")</f>
        <v/>
      </c>
      <c r="H112" s="21">
        <f>IFERROR(INDEX('Spread Monitor'!$O$7:$O$850,MATCH("CHF|8",'Spread Monitor'!$Y$7:$Y$850,0)),"")</f>
        <v/>
      </c>
      <c r="I112" s="22">
        <f>IFERROR(INDEX('Spread Monitor'!$Q$7:$Q$850,MATCH("CHF|8",'Spread Monitor'!$Y$7:$Y$850,0)),"")</f>
        <v/>
      </c>
      <c r="J112" s="22">
        <f>IFERROR(INDEX('Spread Monitor'!$R$7:$R$850,MATCH("CHF|8",'Spread Monitor'!$Y$7:$Y$850,0)),"")</f>
        <v/>
      </c>
      <c r="K112" s="23">
        <f>IFERROR(INDEX('Spread Monitor'!$S$7:$S$850,MATCH("CHF|8",'Spread Monitor'!$Y$7:$Y$850,0)),"")</f>
        <v/>
      </c>
    </row>
    <row r="113">
      <c r="A113" s="8">
        <f>IFERROR(INDEX('Spread Monitor'!$A$7:$A$850,MATCH("CHF|9",'Spread Monitor'!$Y$7:$Y$850,0)),"")</f>
        <v/>
      </c>
      <c r="B113" s="8">
        <f>IFERROR(INDEX('Spread Monitor'!$B$7:$B$850,MATCH("CHF|9",'Spread Monitor'!$Y$7:$Y$850,0)),"")</f>
        <v/>
      </c>
      <c r="C113" s="8">
        <f>IFERROR(INDEX('Spread Monitor'!$C$7:$C$850,MATCH("CHF|9",'Spread Monitor'!$Y$7:$Y$850,0)),"")</f>
        <v/>
      </c>
      <c r="D113" s="8">
        <f>IFERROR(INDEX('Spread Monitor'!$E$7:$E$850,MATCH("CHF|9",'Spread Monitor'!$Y$7:$Y$850,0)),"")</f>
        <v/>
      </c>
      <c r="E113" s="8">
        <f>IFERROR(INDEX('Spread Monitor'!$G$7:$G$850,MATCH("CHF|9",'Spread Monitor'!$Y$7:$Y$850,0)),"")</f>
        <v/>
      </c>
      <c r="F113" s="8">
        <f>IFERROR(INDEX('Spread Monitor'!$H$7:$H$850,MATCH("CHF|9",'Spread Monitor'!$Y$7:$Y$850,0)),"")</f>
        <v/>
      </c>
      <c r="G113" s="10">
        <f>IFERROR(INDEX('Spread Monitor'!$L$7:$L$850,MATCH("CHF|9",'Spread Monitor'!$Y$7:$Y$850,0)),"")</f>
        <v/>
      </c>
      <c r="H113" s="12">
        <f>IFERROR(INDEX('Spread Monitor'!$O$7:$O$850,MATCH("CHF|9",'Spread Monitor'!$Y$7:$Y$850,0)),"")</f>
        <v/>
      </c>
      <c r="I113" s="13">
        <f>IFERROR(INDEX('Spread Monitor'!$Q$7:$Q$850,MATCH("CHF|9",'Spread Monitor'!$Y$7:$Y$850,0)),"")</f>
        <v/>
      </c>
      <c r="J113" s="13">
        <f>IFERROR(INDEX('Spread Monitor'!$R$7:$R$850,MATCH("CHF|9",'Spread Monitor'!$Y$7:$Y$850,0)),"")</f>
        <v/>
      </c>
      <c r="K113" s="14">
        <f>IFERROR(INDEX('Spread Monitor'!$S$7:$S$850,MATCH("CHF|9",'Spread Monitor'!$Y$7:$Y$850,0)),"")</f>
        <v/>
      </c>
    </row>
    <row r="114">
      <c r="A114" s="17">
        <f>IFERROR(INDEX('Spread Monitor'!$A$7:$A$850,MATCH("CHF|10",'Spread Monitor'!$Y$7:$Y$850,0)),"")</f>
        <v/>
      </c>
      <c r="B114" s="17">
        <f>IFERROR(INDEX('Spread Monitor'!$B$7:$B$850,MATCH("CHF|10",'Spread Monitor'!$Y$7:$Y$850,0)),"")</f>
        <v/>
      </c>
      <c r="C114" s="17">
        <f>IFERROR(INDEX('Spread Monitor'!$C$7:$C$850,MATCH("CHF|10",'Spread Monitor'!$Y$7:$Y$850,0)),"")</f>
        <v/>
      </c>
      <c r="D114" s="17">
        <f>IFERROR(INDEX('Spread Monitor'!$E$7:$E$850,MATCH("CHF|10",'Spread Monitor'!$Y$7:$Y$850,0)),"")</f>
        <v/>
      </c>
      <c r="E114" s="17">
        <f>IFERROR(INDEX('Spread Monitor'!$G$7:$G$850,MATCH("CHF|10",'Spread Monitor'!$Y$7:$Y$850,0)),"")</f>
        <v/>
      </c>
      <c r="F114" s="17">
        <f>IFERROR(INDEX('Spread Monitor'!$H$7:$H$850,MATCH("CHF|10",'Spread Monitor'!$Y$7:$Y$850,0)),"")</f>
        <v/>
      </c>
      <c r="G114" s="19">
        <f>IFERROR(INDEX('Spread Monitor'!$L$7:$L$850,MATCH("CHF|10",'Spread Monitor'!$Y$7:$Y$850,0)),"")</f>
        <v/>
      </c>
      <c r="H114" s="21">
        <f>IFERROR(INDEX('Spread Monitor'!$O$7:$O$850,MATCH("CHF|10",'Spread Monitor'!$Y$7:$Y$850,0)),"")</f>
        <v/>
      </c>
      <c r="I114" s="22">
        <f>IFERROR(INDEX('Spread Monitor'!$Q$7:$Q$850,MATCH("CHF|10",'Spread Monitor'!$Y$7:$Y$850,0)),"")</f>
        <v/>
      </c>
      <c r="J114" s="22">
        <f>IFERROR(INDEX('Spread Monitor'!$R$7:$R$850,MATCH("CHF|10",'Spread Monitor'!$Y$7:$Y$850,0)),"")</f>
        <v/>
      </c>
      <c r="K114" s="23">
        <f>IFERROR(INDEX('Spread Monitor'!$S$7:$S$850,MATCH("CHF|10",'Spread Monitor'!$Y$7:$Y$850,0)),"")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AA5B1"/>
    <outlinePr summaryBelow="1" summaryRight="1"/>
    <pageSetUpPr/>
  </sheetPr>
  <dimension ref="A1:B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29" t="inlineStr">
        <is>
          <t>ISIN</t>
        </is>
      </c>
      <c r="B1" s="29" t="inlineStr">
        <is>
          <t>Company description</t>
        </is>
      </c>
    </row>
    <row r="2">
      <c r="A2" s="30" t="inlineStr">
        <is>
          <t>US88579YBJ91</t>
        </is>
      </c>
      <c r="B2" s="30" t="inlineStr">
        <is>
          <t>US industrial and consumer company</t>
        </is>
      </c>
    </row>
    <row r="3">
      <c r="A3" s="30" t="inlineStr">
        <is>
          <t>XS2534976886</t>
        </is>
      </c>
      <c r="B3" s="30" t="inlineStr">
        <is>
          <t>Italian diversified utility in electricity, renewables, gas, water, waste management</t>
        </is>
      </c>
    </row>
    <row r="4">
      <c r="A4" s="30" t="inlineStr">
        <is>
          <t>XS2583205906</t>
        </is>
      </c>
      <c r="B4" s="30" t="inlineStr">
        <is>
          <t>Italian diversified utility in electricity, renewables, gas, water, waste management</t>
        </is>
      </c>
    </row>
    <row r="5">
      <c r="A5" s="30" t="inlineStr">
        <is>
          <t>XS2575555938</t>
        </is>
      </c>
      <c r="B5" s="30" t="inlineStr">
        <is>
          <t xml:space="preserve">Provides power and automation technologies </t>
        </is>
      </c>
    </row>
    <row r="6">
      <c r="A6" s="30" t="inlineStr">
        <is>
          <t>XS1709529520</t>
        </is>
      </c>
      <c r="B6" s="30" t="inlineStr">
        <is>
          <t>Abu Dhabi Crude Oil Pipeline L.L.C. operates as a pipeline company.</t>
        </is>
      </c>
    </row>
    <row r="7">
      <c r="A7" s="30" t="inlineStr">
        <is>
          <t>XS1402929746</t>
        </is>
      </c>
      <c r="B7" s="30" t="inlineStr">
        <is>
          <t>United Arab Emirates Government</t>
        </is>
      </c>
    </row>
    <row r="8">
      <c r="A8" s="30" t="inlineStr">
        <is>
          <t>XS2600248335</t>
        </is>
      </c>
      <c r="B8" s="30" t="inlineStr">
        <is>
          <t>Abu Dhabi majority state-owned energy company</t>
        </is>
      </c>
    </row>
    <row r="9">
      <c r="A9" s="30" t="inlineStr">
        <is>
          <t>FR0014006ND8</t>
        </is>
      </c>
      <c r="B9" s="30" t="inlineStr">
        <is>
          <t>operates managed and franchised hotels, resort and vacation facility</t>
        </is>
      </c>
    </row>
    <row r="10">
      <c r="A10" s="30" t="inlineStr">
        <is>
          <t>XS1799545329</t>
        </is>
      </c>
      <c r="B10" s="30" t="inlineStr">
        <is>
          <t>Spanish engineering and contracting company</t>
        </is>
      </c>
    </row>
    <row r="11">
      <c r="A11" s="30" t="inlineStr">
        <is>
          <t>XS2109438205</t>
        </is>
      </c>
      <c r="B11" s="30" t="inlineStr">
        <is>
          <t>Provides rail transportation, catering and tourism services, majority state-owned</t>
        </is>
      </c>
    </row>
    <row r="12">
      <c r="A12" s="30" t="inlineStr">
        <is>
          <t>XS1636266832</t>
        </is>
      </c>
      <c r="B12" s="30" t="inlineStr">
        <is>
          <t>Indian operator of shipping port and special economic zones</t>
        </is>
      </c>
    </row>
    <row r="13">
      <c r="A13" s="30" t="inlineStr">
        <is>
          <t>USY00130VS35</t>
        </is>
      </c>
      <c r="B13" s="30" t="inlineStr">
        <is>
          <t>Indian operator of shipping port and special economic zones</t>
        </is>
      </c>
    </row>
    <row r="14">
      <c r="A14" s="30" t="inlineStr">
        <is>
          <t>USY00130RP42</t>
        </is>
      </c>
      <c r="B14" s="30" t="inlineStr">
        <is>
          <t>Indian operator of shipping port and special economic zones</t>
        </is>
      </c>
    </row>
    <row r="15">
      <c r="A15" s="30" t="inlineStr">
        <is>
          <t>USY00130XS17</t>
        </is>
      </c>
      <c r="B15" s="30" t="inlineStr">
        <is>
          <t>Indian operator of shipping port and special economic zones</t>
        </is>
      </c>
    </row>
    <row r="16">
      <c r="A16" s="30" t="inlineStr">
        <is>
          <t>USY00130YU53</t>
        </is>
      </c>
      <c r="B16" s="30" t="inlineStr">
        <is>
          <t>Indian operator of shipping port and special economic zones</t>
        </is>
      </c>
    </row>
    <row r="17">
      <c r="A17" s="30" t="inlineStr">
        <is>
          <t>CH0539032950</t>
        </is>
      </c>
      <c r="B17" s="30" t="inlineStr">
        <is>
          <t>A personnel and temporary employment company</t>
        </is>
      </c>
    </row>
    <row r="18">
      <c r="A18" s="30" t="inlineStr">
        <is>
          <t>CH1214797206</t>
        </is>
      </c>
      <c r="B18" s="30" t="inlineStr">
        <is>
          <t>A personnel and temporary employment company</t>
        </is>
      </c>
    </row>
    <row r="19">
      <c r="A19" s="30" t="inlineStr">
        <is>
          <t>USL00849AA47</t>
        </is>
      </c>
      <c r="B19" s="30" t="inlineStr">
        <is>
          <t>Agricultural company in South America</t>
        </is>
      </c>
    </row>
    <row r="20">
      <c r="A20" s="30" t="inlineStr">
        <is>
          <t>XS2555178644</t>
        </is>
      </c>
      <c r="B20" s="30" t="inlineStr">
        <is>
          <t>Adidas AG manufactures sports shoes and sports equipment.</t>
        </is>
      </c>
    </row>
    <row r="21">
      <c r="A21" s="30" t="inlineStr">
        <is>
          <t>XS2555179378</t>
        </is>
      </c>
      <c r="B21" s="30" t="inlineStr">
        <is>
          <t>Adidas AG manufactures sports shoes and sports equipment.</t>
        </is>
      </c>
    </row>
    <row r="22">
      <c r="A22" s="30" t="inlineStr">
        <is>
          <t>USP0608AAB28</t>
        </is>
      </c>
      <c r="B22" s="30" t="inlineStr">
        <is>
          <t xml:space="preserve">Utility company </t>
        </is>
      </c>
    </row>
    <row r="23">
      <c r="A23" s="30" t="inlineStr">
        <is>
          <t>CH0569237701</t>
        </is>
      </c>
      <c r="B23" s="30" t="inlineStr">
        <is>
          <t>Provides banking solutions</t>
        </is>
      </c>
    </row>
    <row r="24">
      <c r="A24" s="30" t="inlineStr">
        <is>
          <t>US00828EER62</t>
        </is>
      </c>
      <c r="B24" s="30" t="inlineStr">
        <is>
          <t>Regional multilateral development finance institution</t>
        </is>
      </c>
    </row>
    <row r="25">
      <c r="A25" s="30" t="inlineStr">
        <is>
          <t>XS2434390600</t>
        </is>
      </c>
      <c r="B25" s="30" t="inlineStr">
        <is>
          <t>Regional multilateral development finance institution</t>
        </is>
      </c>
    </row>
    <row r="26">
      <c r="A26" s="30" t="inlineStr">
        <is>
          <t>US00828EEP07</t>
        </is>
      </c>
      <c r="B26" s="30" t="inlineStr">
        <is>
          <t>A multilateral development bank</t>
        </is>
      </c>
    </row>
    <row r="27">
      <c r="A27" s="30" t="inlineStr">
        <is>
          <t>XS2343006958</t>
        </is>
      </c>
      <c r="B27" s="30" t="inlineStr">
        <is>
          <t>Operates as a bank</t>
        </is>
      </c>
    </row>
    <row r="28">
      <c r="A28" s="30" t="inlineStr">
        <is>
          <t>FR001400F5D1</t>
        </is>
      </c>
      <c r="B28" s="30" t="inlineStr">
        <is>
          <t>Operates as a public development bank</t>
        </is>
      </c>
    </row>
    <row r="29">
      <c r="A29" s="30" t="inlineStr">
        <is>
          <t>FR0013190188</t>
        </is>
      </c>
      <c r="B29" s="30" t="inlineStr">
        <is>
          <t>Operates as a public development bank</t>
        </is>
      </c>
    </row>
    <row r="30">
      <c r="A30" s="30" t="inlineStr">
        <is>
          <t>FR001400F5D1</t>
        </is>
      </c>
      <c r="B30" s="30" t="inlineStr">
        <is>
          <t>Operates as a public development bank</t>
        </is>
      </c>
    </row>
    <row r="31">
      <c r="A31" s="30" t="inlineStr">
        <is>
          <t>FR001400FVZ1</t>
        </is>
      </c>
      <c r="B31" s="30" t="inlineStr">
        <is>
          <t>Operates as a public development bank</t>
        </is>
      </c>
    </row>
    <row r="32">
      <c r="A32" s="30" t="inlineStr">
        <is>
          <t>FR001400CRX1</t>
        </is>
      </c>
      <c r="B32" s="30" t="inlineStr">
        <is>
          <t>Operates as a public development bank</t>
        </is>
      </c>
    </row>
    <row r="33">
      <c r="A33" s="30" t="inlineStr">
        <is>
          <t>FR0013190188</t>
        </is>
      </c>
      <c r="B33" s="30" t="inlineStr">
        <is>
          <t>Operates as a public development bank</t>
        </is>
      </c>
    </row>
    <row r="34">
      <c r="A34" s="30" t="inlineStr">
        <is>
          <t>USE0R75RAB28</t>
        </is>
      </c>
      <c r="B34" s="30" t="inlineStr">
        <is>
          <t>Holding company of oil pipeline</t>
        </is>
      </c>
    </row>
    <row r="35">
      <c r="A35" s="30" t="inlineStr">
        <is>
          <t>FR0014004AE8</t>
        </is>
      </c>
      <c r="B35" s="30" t="inlineStr">
        <is>
          <t>Offers air transportation services</t>
        </is>
      </c>
    </row>
    <row r="36">
      <c r="A36" s="30" t="inlineStr">
        <is>
          <t>FR001400F2Q0</t>
        </is>
      </c>
      <c r="B36" s="30" t="inlineStr">
        <is>
          <t>Offers air transportation services</t>
        </is>
      </c>
    </row>
    <row r="37">
      <c r="A37" s="30" t="inlineStr">
        <is>
          <t>FR001400F2R8</t>
        </is>
      </c>
      <c r="B37" s="30" t="inlineStr">
        <is>
          <t>Offers air transportation services</t>
        </is>
      </c>
    </row>
    <row r="38">
      <c r="A38" s="30" t="inlineStr">
        <is>
          <t>XS2627338580</t>
        </is>
      </c>
      <c r="B38" s="30" t="inlineStr">
        <is>
          <t>Abu Dhabi property company with partial state ownership</t>
        </is>
      </c>
    </row>
    <row r="39">
      <c r="A39" s="30" t="inlineStr">
        <is>
          <t>XS2627338580</t>
        </is>
      </c>
      <c r="B39" s="30" t="inlineStr">
        <is>
          <t>Abu Dhbai partially state-owned property company</t>
        </is>
      </c>
    </row>
    <row r="40">
      <c r="A40" s="30" t="inlineStr">
        <is>
          <t>XS2068063465</t>
        </is>
      </c>
      <c r="B40" s="30" t="inlineStr">
        <is>
          <t>Abu Dhabi property company with partial state ownership</t>
        </is>
      </c>
    </row>
    <row r="41">
      <c r="A41" s="30" t="inlineStr">
        <is>
          <t>US01609WAQ50</t>
        </is>
      </c>
      <c r="B41" s="30" t="inlineStr">
        <is>
          <t>World largest online b2b trading platform for small businesses</t>
        </is>
      </c>
    </row>
    <row r="42">
      <c r="A42" s="30" t="inlineStr">
        <is>
          <t>XS1400167133</t>
        </is>
      </c>
      <c r="B42" s="30" t="inlineStr">
        <is>
          <t xml:space="preserve">Dutch utilities company distributing electricity, natural gas and heat </t>
        </is>
      </c>
    </row>
    <row r="43">
      <c r="A43" s="30" t="inlineStr">
        <is>
          <t>XS2641777235</t>
        </is>
      </c>
      <c r="B43" s="30" t="inlineStr">
        <is>
          <t>Saudi partially state-owned food and dairy company</t>
        </is>
      </c>
    </row>
    <row r="44">
      <c r="A44" s="30" t="inlineStr">
        <is>
          <t>USP01703AD22</t>
        </is>
      </c>
      <c r="B44" s="30" t="inlineStr">
        <is>
          <t>One of the largest PET and PTA producers in the Americas</t>
        </is>
      </c>
    </row>
    <row r="45">
      <c r="A45" s="30" t="inlineStr">
        <is>
          <t>US02079KAD90</t>
        </is>
      </c>
      <c r="B45" s="30" t="inlineStr">
        <is>
          <t>World's leading internet search engine</t>
        </is>
      </c>
    </row>
    <row r="46">
      <c r="A46" s="30" t="inlineStr">
        <is>
          <t>US02079KAC18</t>
        </is>
      </c>
      <c r="B46" s="30" t="inlineStr">
        <is>
          <t>World's leading internet search engine</t>
        </is>
      </c>
    </row>
    <row r="47">
      <c r="A47" s="30" t="inlineStr">
        <is>
          <t>US02079KAE73</t>
        </is>
      </c>
      <c r="B47" s="30" t="inlineStr">
        <is>
          <t>World's leading internet search engine</t>
        </is>
      </c>
    </row>
    <row r="48">
      <c r="A48" s="30" t="inlineStr">
        <is>
          <t>CH1251030123</t>
        </is>
      </c>
      <c r="B48" s="30" t="inlineStr">
        <is>
          <t>Generates, transmits and distributes electricity throughout Europe</t>
        </is>
      </c>
    </row>
    <row r="49">
      <c r="A49" s="30" t="inlineStr">
        <is>
          <t>US023135CM69</t>
        </is>
      </c>
      <c r="B49" s="30" t="inlineStr">
        <is>
          <t>Online retailer that offers a wide range of products</t>
        </is>
      </c>
    </row>
    <row r="50">
      <c r="A50" s="30" t="inlineStr">
        <is>
          <t>US023135CR56</t>
        </is>
      </c>
      <c r="B50" s="30" t="inlineStr">
        <is>
          <t>Online retailer that offers a wide range of products</t>
        </is>
      </c>
    </row>
    <row r="51">
      <c r="A51" s="30" t="inlineStr">
        <is>
          <t>US023135CN43</t>
        </is>
      </c>
      <c r="B51" s="30" t="inlineStr">
        <is>
          <t>Online retailer that offers a wide range of products</t>
        </is>
      </c>
    </row>
    <row r="52">
      <c r="A52" s="30" t="inlineStr">
        <is>
          <t>US023135CP90</t>
        </is>
      </c>
      <c r="B52" s="30" t="inlineStr">
        <is>
          <t>Online retailer that offers a wide range of products</t>
        </is>
      </c>
    </row>
    <row r="53">
      <c r="A53" s="30" t="inlineStr">
        <is>
          <t>US023135CQ73</t>
        </is>
      </c>
      <c r="B53" s="30" t="inlineStr">
        <is>
          <t>Online retailer that offers a wide range of products</t>
        </is>
      </c>
    </row>
    <row r="54">
      <c r="A54" s="30" t="inlineStr">
        <is>
          <t>XS0699618350</t>
        </is>
      </c>
      <c r="B54" s="30" t="inlineStr">
        <is>
          <t>provides telecommunications services</t>
        </is>
      </c>
    </row>
    <row r="55">
      <c r="A55" s="30" t="inlineStr">
        <is>
          <t>USG0R209AA85</t>
        </is>
      </c>
      <c r="B55" s="30" t="inlineStr">
        <is>
          <t>One of the largest global airlines</t>
        </is>
      </c>
    </row>
    <row r="56">
      <c r="A56" s="30" t="inlineStr">
        <is>
          <t>USG0R209AB68</t>
        </is>
      </c>
      <c r="B56" s="30" t="inlineStr">
        <is>
          <t>One of the largest global airlines</t>
        </is>
      </c>
    </row>
    <row r="57">
      <c r="A57" s="30" t="inlineStr">
        <is>
          <t>US025816DB21</t>
        </is>
      </c>
      <c r="B57" s="30" t="inlineStr">
        <is>
          <t>Global payments company</t>
        </is>
      </c>
    </row>
    <row r="58">
      <c r="A58" s="30" t="inlineStr">
        <is>
          <t>US026874DH71</t>
        </is>
      </c>
      <c r="B58" s="30" t="inlineStr">
        <is>
          <t>American multinational insurance corporation</t>
        </is>
      </c>
    </row>
    <row r="59">
      <c r="A59" s="30" t="inlineStr">
        <is>
          <t>XS2355105292</t>
        </is>
      </c>
      <c r="B59" s="30" t="inlineStr">
        <is>
          <t>Produces and markets beer and malt and non-alcoholic beverages</t>
        </is>
      </c>
    </row>
    <row r="60">
      <c r="A60" s="30" t="inlineStr">
        <is>
          <t>USG0446NAM68</t>
        </is>
      </c>
      <c r="B60" s="30" t="inlineStr">
        <is>
          <t>Global leader in the mining and natural resources sectors</t>
        </is>
      </c>
    </row>
    <row r="61">
      <c r="A61" s="30" t="inlineStr">
        <is>
          <t>XS1686846061</t>
        </is>
      </c>
      <c r="B61" s="30" t="inlineStr">
        <is>
          <t>Global leader in the mining and natural resources sectors</t>
        </is>
      </c>
    </row>
    <row r="62">
      <c r="A62" s="30" t="inlineStr">
        <is>
          <t>XS1962515372</t>
        </is>
      </c>
      <c r="B62" s="30" t="inlineStr">
        <is>
          <t>Mining of diamonds, copper, platinum, coal, nickel, iron ore and others minerals</t>
        </is>
      </c>
    </row>
    <row r="63">
      <c r="A63" s="30" t="inlineStr">
        <is>
          <t>US03512TAF84</t>
        </is>
      </c>
      <c r="B63" s="30" t="inlineStr">
        <is>
          <t>Provides gold mining and exploration services</t>
        </is>
      </c>
    </row>
    <row r="64">
      <c r="A64" s="30" t="inlineStr">
        <is>
          <t>BE6258029741</t>
        </is>
      </c>
      <c r="B64" s="30" t="inlineStr">
        <is>
          <t>the world's largest brewing company</t>
        </is>
      </c>
    </row>
    <row r="65">
      <c r="A65" s="30" t="inlineStr">
        <is>
          <t>BE6295393936</t>
        </is>
      </c>
      <c r="B65" s="30" t="inlineStr">
        <is>
          <t>the world's largest brewing company</t>
        </is>
      </c>
    </row>
    <row r="66">
      <c r="A66" s="30" t="inlineStr">
        <is>
          <t>BE6312821612</t>
        </is>
      </c>
      <c r="B66" s="30" t="inlineStr">
        <is>
          <t>World's largest brewing company</t>
        </is>
      </c>
    </row>
    <row r="67">
      <c r="A67" s="30" t="inlineStr">
        <is>
          <t>XS1789699607</t>
        </is>
      </c>
      <c r="B67" s="30" t="inlineStr">
        <is>
          <t>Danish operator of container vessels, tankers and supply ships</t>
        </is>
      </c>
    </row>
    <row r="68">
      <c r="A68" s="30" t="inlineStr">
        <is>
          <t>US037833EV87</t>
        </is>
      </c>
      <c r="B68" s="30" t="inlineStr">
        <is>
          <t>Leading global designer and seller of premium electronic devices</t>
        </is>
      </c>
    </row>
    <row r="69">
      <c r="A69" s="30" t="inlineStr">
        <is>
          <t>US037833BG48</t>
        </is>
      </c>
      <c r="B69" s="30" t="inlineStr">
        <is>
          <t>Leading global designer and seller of premium electronic devices</t>
        </is>
      </c>
    </row>
    <row r="70">
      <c r="A70" s="30" t="inlineStr">
        <is>
          <t>US037833ES58</t>
        </is>
      </c>
      <c r="B70" s="30" t="inlineStr">
        <is>
          <t>Leading global designer and seller of premium electronic devices</t>
        </is>
      </c>
    </row>
    <row r="71">
      <c r="A71" s="30" t="inlineStr">
        <is>
          <t>US037833ET32</t>
        </is>
      </c>
      <c r="B71" s="30" t="inlineStr">
        <is>
          <t>Leading global designer and seller of premium electronic devices</t>
        </is>
      </c>
    </row>
    <row r="72">
      <c r="A72" s="30" t="inlineStr">
        <is>
          <t>US037833EU05</t>
        </is>
      </c>
      <c r="B72" s="30" t="inlineStr">
        <is>
          <t>Leading global designer and seller of premium electronic devices</t>
        </is>
      </c>
    </row>
    <row r="73">
      <c r="A73" s="30" t="inlineStr">
        <is>
          <t>US037833EW60</t>
        </is>
      </c>
      <c r="B73" s="30" t="inlineStr">
        <is>
          <t>Leading global designer and seller of premium electronic devices</t>
        </is>
      </c>
    </row>
    <row r="74">
      <c r="A74" s="30" t="inlineStr">
        <is>
          <t>XS1269175466</t>
        </is>
      </c>
      <c r="B74" s="30" t="inlineStr">
        <is>
          <t xml:space="preserve">Leading global designer and seller of premium electronic devices </t>
        </is>
      </c>
    </row>
    <row r="75">
      <c r="A75" s="30" t="inlineStr">
        <is>
          <t>XS1269176191</t>
        </is>
      </c>
      <c r="B75" s="30" t="inlineStr">
        <is>
          <t xml:space="preserve">Leading global designer and seller of premium electronic devices </t>
        </is>
      </c>
    </row>
    <row r="76">
      <c r="A76" s="30" t="inlineStr">
        <is>
          <t>XS1619312173</t>
        </is>
      </c>
      <c r="B76" s="30" t="inlineStr">
        <is>
          <t>Leading global designer and seller of premium electronic devices</t>
        </is>
      </c>
    </row>
    <row r="77">
      <c r="A77" s="30" t="inlineStr">
        <is>
          <t>XS2346972263</t>
        </is>
      </c>
      <c r="B77" s="30" t="inlineStr">
        <is>
          <t>Turkish household appliances manufacturer</t>
        </is>
      </c>
    </row>
    <row r="78">
      <c r="A78" s="30" t="inlineStr">
        <is>
          <t>XS2082324018</t>
        </is>
      </c>
      <c r="B78" s="30" t="inlineStr">
        <is>
          <t>World's largest producer of steel</t>
        </is>
      </c>
    </row>
    <row r="79">
      <c r="A79" s="30" t="inlineStr">
        <is>
          <t>USU04354AC78</t>
        </is>
      </c>
      <c r="B79" s="30" t="inlineStr">
        <is>
          <t>A natural gas company</t>
        </is>
      </c>
    </row>
    <row r="80">
      <c r="A80" s="30" t="inlineStr">
        <is>
          <t>USU04354AF00</t>
        </is>
      </c>
      <c r="B80" s="30" t="inlineStr">
        <is>
          <t>A natural gas company</t>
        </is>
      </c>
    </row>
    <row r="81">
      <c r="A81" s="30" t="inlineStr">
        <is>
          <t>XS2521786272</t>
        </is>
      </c>
      <c r="B81" s="30" t="inlineStr">
        <is>
          <t>Regional multilateral development finance institution</t>
        </is>
      </c>
    </row>
    <row r="82">
      <c r="A82" s="30" t="inlineStr">
        <is>
          <t>US04522KAJ51</t>
        </is>
      </c>
      <c r="B82" s="30" t="inlineStr">
        <is>
          <t>Regional multilateral development finance institution</t>
        </is>
      </c>
    </row>
    <row r="83">
      <c r="A83" s="30" t="inlineStr">
        <is>
          <t>XS2586011491</t>
        </is>
      </c>
      <c r="B83" s="30" t="inlineStr">
        <is>
          <t>Asian multilateral development finance institution</t>
        </is>
      </c>
    </row>
    <row r="84">
      <c r="A84" s="30" t="inlineStr">
        <is>
          <t>XS2574249871</t>
        </is>
      </c>
      <c r="B84" s="30" t="inlineStr">
        <is>
          <t xml:space="preserve">A multilateral development bank offering sovereign and non-sovereign financing </t>
        </is>
      </c>
    </row>
    <row r="85">
      <c r="A85" s="30" t="inlineStr">
        <is>
          <t>XS2631416950</t>
        </is>
      </c>
      <c r="B85" s="30" t="inlineStr">
        <is>
          <t>is a global innovation leader in the chip industry that provides chipmakers.</t>
        </is>
      </c>
    </row>
    <row r="86">
      <c r="A86" s="30" t="inlineStr">
        <is>
          <t>XS2056491587</t>
        </is>
      </c>
      <c r="B86" s="30" t="inlineStr">
        <is>
          <t>Largest insurer group in Italy</t>
        </is>
      </c>
    </row>
    <row r="87">
      <c r="A87" s="30" t="inlineStr">
        <is>
          <t>US04636NAB91</t>
        </is>
      </c>
      <c r="B87" s="30" t="inlineStr">
        <is>
          <t>Anglo-Swedish multinational pharmaceutical company</t>
        </is>
      </c>
    </row>
    <row r="88">
      <c r="A88" s="30" t="inlineStr">
        <is>
          <t>US046353AT52</t>
        </is>
      </c>
      <c r="B88" s="30" t="inlineStr">
        <is>
          <t>Anglo-Swedish multinational pharmaceutical company</t>
        </is>
      </c>
    </row>
    <row r="89">
      <c r="A89" s="30" t="inlineStr">
        <is>
          <t>XS0330497149</t>
        </is>
      </c>
      <c r="B89" s="30" t="inlineStr">
        <is>
          <t xml:space="preserve">Anglo-Swedish multinational pharmaceutical company </t>
        </is>
      </c>
    </row>
    <row r="90">
      <c r="A90" s="30" t="inlineStr">
        <is>
          <t>XS2593105393</t>
        </is>
      </c>
      <c r="B90" s="30" t="inlineStr">
        <is>
          <t>Anglo-Swedish multinational pharmaceutical company</t>
        </is>
      </c>
    </row>
    <row r="91">
      <c r="A91" s="30" t="inlineStr">
        <is>
          <t>XS2347663507</t>
        </is>
      </c>
      <c r="B91" s="30" t="inlineStr">
        <is>
          <t>Anglo-Swedish multinational pharmaceutical company</t>
        </is>
      </c>
    </row>
    <row r="92">
      <c r="A92" s="30" t="inlineStr">
        <is>
          <t>XS2593105476</t>
        </is>
      </c>
      <c r="B92" s="30" t="inlineStr">
        <is>
          <t>Anglo-Swedish multinational pharmaceutical company</t>
        </is>
      </c>
    </row>
    <row r="93">
      <c r="A93" s="30" t="inlineStr">
        <is>
          <t>XS0291949120</t>
        </is>
      </c>
      <c r="B93" s="30" t="inlineStr">
        <is>
          <t xml:space="preserve">One of the largest US telecom companies </t>
        </is>
      </c>
    </row>
    <row r="94">
      <c r="A94" s="30" t="inlineStr">
        <is>
          <t>USP0592VAA63</t>
        </is>
      </c>
      <c r="B94" s="30" t="inlineStr">
        <is>
          <t>Operates as a health and wellness company</t>
        </is>
      </c>
    </row>
    <row r="95">
      <c r="A95" s="30" t="inlineStr">
        <is>
          <t>XS1496758092</t>
        </is>
      </c>
      <c r="B95" s="30" t="inlineStr">
        <is>
          <t>Fourth-largest bank in Australia in terms of total deposits</t>
        </is>
      </c>
    </row>
    <row r="96">
      <c r="A96" s="30" t="inlineStr">
        <is>
          <t>XS1528093799</t>
        </is>
      </c>
      <c r="B96" s="30" t="inlineStr">
        <is>
          <t>Italian infrastructure construction service company</t>
        </is>
      </c>
    </row>
    <row r="97">
      <c r="A97" s="30" t="inlineStr">
        <is>
          <t>USU05375AS64</t>
        </is>
      </c>
      <c r="B97" s="30" t="inlineStr">
        <is>
          <t>American car rental company</t>
        </is>
      </c>
    </row>
    <row r="98">
      <c r="A98" s="30" t="inlineStr">
        <is>
          <t>XS2431029441</t>
        </is>
      </c>
      <c r="B98" s="30" t="inlineStr">
        <is>
          <t>Global insurance group</t>
        </is>
      </c>
    </row>
    <row r="99">
      <c r="A99" s="30" t="inlineStr">
        <is>
          <t>XS2573807778</t>
        </is>
      </c>
      <c r="B99" s="30" t="inlineStr">
        <is>
          <t>Global Insurance group</t>
        </is>
      </c>
    </row>
    <row r="100">
      <c r="A100" s="30" t="inlineStr">
        <is>
          <t>CH1232107180</t>
        </is>
      </c>
      <c r="B100" s="30" t="inlineStr">
        <is>
          <t xml:space="preserve">Offers group and individual life, health, accident, liability property, and transportation insurance </t>
        </is>
      </c>
    </row>
    <row r="101">
      <c r="A101" s="30" t="inlineStr">
        <is>
          <t>CH0494734376</t>
        </is>
      </c>
      <c r="B101" s="30" t="inlineStr">
        <is>
          <t xml:space="preserve">Attracts desposits and offers retail and commercial banking services </t>
        </is>
      </c>
    </row>
    <row r="102">
      <c r="A102" s="30" t="inlineStr">
        <is>
          <t>AT0000A34CN3</t>
        </is>
      </c>
      <c r="B102" s="30" t="inlineStr">
        <is>
          <t>Largest bank in Romania</t>
        </is>
      </c>
    </row>
    <row r="103">
      <c r="A103" s="30" t="inlineStr">
        <is>
          <t>AT0000A34CN3</t>
        </is>
      </c>
      <c r="B103" s="30" t="inlineStr">
        <is>
          <t>Largest bank in Romania</t>
        </is>
      </c>
    </row>
    <row r="104">
      <c r="A104" s="30" t="inlineStr">
        <is>
          <t>US05946KAQ40</t>
        </is>
      </c>
      <c r="B104" s="30" t="inlineStr">
        <is>
          <t>International banking group</t>
        </is>
      </c>
    </row>
    <row r="105">
      <c r="A105" s="30" t="inlineStr">
        <is>
          <t>XS2072815066</t>
        </is>
      </c>
      <c r="B105" s="30" t="inlineStr">
        <is>
          <t>Operates as one of the largest bank in Italy</t>
        </is>
      </c>
    </row>
    <row r="106">
      <c r="A106" s="30" t="inlineStr">
        <is>
          <t>US05971BAE92</t>
        </is>
      </c>
      <c r="B106" s="30" t="inlineStr">
        <is>
          <t>Provides banking and investment services in Brazil</t>
        </is>
      </c>
    </row>
    <row r="107">
      <c r="A107" s="30" t="inlineStr">
        <is>
          <t>US05971BAG41</t>
        </is>
      </c>
      <c r="B107" s="30" t="inlineStr">
        <is>
          <t>Provides banking and investment services in Brazil</t>
        </is>
      </c>
    </row>
    <row r="108">
      <c r="A108" s="30" t="inlineStr">
        <is>
          <t>US05971BAK52</t>
        </is>
      </c>
      <c r="B108" s="30" t="inlineStr">
        <is>
          <t>Provides banking and investment services in Brazil</t>
        </is>
      </c>
    </row>
    <row r="109">
      <c r="A109" s="30" t="inlineStr">
        <is>
          <t>XS2528155893</t>
        </is>
      </c>
      <c r="B109" s="30" t="inlineStr">
        <is>
          <t>One of the largest Spanish banks</t>
        </is>
      </c>
    </row>
    <row r="110">
      <c r="A110" s="30" t="inlineStr">
        <is>
          <t>USP3772WAH53</t>
        </is>
      </c>
      <c r="B110" s="30" t="inlineStr">
        <is>
          <t>Largest Brazilian and Latin American bank by assets</t>
        </is>
      </c>
    </row>
    <row r="111">
      <c r="A111" s="30" t="inlineStr">
        <is>
          <t>USP2000TAA36</t>
        </is>
      </c>
      <c r="B111" s="30" t="inlineStr">
        <is>
          <t>Largest Brazilian and Latin American bank by assets</t>
        </is>
      </c>
    </row>
    <row r="112">
      <c r="A112" s="30" t="inlineStr">
        <is>
          <t>USP3772WAK82</t>
        </is>
      </c>
      <c r="B112" s="30" t="inlineStr">
        <is>
          <t>Largest Brazilian and Latin American bank by assets</t>
        </is>
      </c>
    </row>
    <row r="113">
      <c r="A113" s="30" t="inlineStr">
        <is>
          <t>USP2000TAE57</t>
        </is>
      </c>
      <c r="B113" s="30" t="inlineStr">
        <is>
          <t>Largest Brazilian and Latin American bank by assets</t>
        </is>
      </c>
    </row>
    <row r="114">
      <c r="A114" s="30" t="inlineStr">
        <is>
          <t>USG07402DP58</t>
        </is>
      </c>
      <c r="B114" s="30" t="inlineStr">
        <is>
          <t>Largest Brazilian and Latin American bank by assets</t>
        </is>
      </c>
    </row>
    <row r="115">
      <c r="A115" s="30" t="inlineStr">
        <is>
          <t>USP3772WAF97</t>
        </is>
      </c>
      <c r="B115" s="30" t="inlineStr">
        <is>
          <t>Largest Brazilian and Latin American bank by assets</t>
        </is>
      </c>
    </row>
    <row r="116">
      <c r="A116" s="30" t="inlineStr">
        <is>
          <t>US05971WAD56</t>
        </is>
      </c>
      <c r="B116" s="30" t="inlineStr">
        <is>
          <t>Largest bank in Chile</t>
        </is>
      </c>
    </row>
    <row r="117">
      <c r="A117" s="30" t="inlineStr">
        <is>
          <t>CH1142700363</t>
        </is>
      </c>
      <c r="B117" s="30" t="inlineStr">
        <is>
          <t>Largest bank in Chile</t>
        </is>
      </c>
    </row>
    <row r="118">
      <c r="A118" s="30" t="inlineStr">
        <is>
          <t>US05964HAR66</t>
        </is>
      </c>
      <c r="B118" s="30" t="inlineStr">
        <is>
          <t>Spain's largest banking group</t>
        </is>
      </c>
    </row>
    <row r="119">
      <c r="A119" s="30" t="inlineStr">
        <is>
          <t>XS2450068379</t>
        </is>
      </c>
      <c r="B119" s="30" t="inlineStr">
        <is>
          <t>Spain's largest banking group</t>
        </is>
      </c>
    </row>
    <row r="120">
      <c r="A120" s="30" t="inlineStr">
        <is>
          <t>XS2247936342</t>
        </is>
      </c>
      <c r="B120" s="30" t="inlineStr">
        <is>
          <t>Spain's largest banking group</t>
        </is>
      </c>
    </row>
    <row r="121">
      <c r="A121" s="30" t="inlineStr">
        <is>
          <t>CH1227937724</t>
        </is>
      </c>
      <c r="B121" s="30" t="inlineStr">
        <is>
          <t>Spain's largest banking group</t>
        </is>
      </c>
    </row>
    <row r="122">
      <c r="A122" s="30" t="inlineStr">
        <is>
          <t>US05964HAN52</t>
        </is>
      </c>
      <c r="B122" s="30" t="inlineStr">
        <is>
          <t>Spain's largest banking group</t>
        </is>
      </c>
    </row>
    <row r="123">
      <c r="A123" s="30" t="inlineStr">
        <is>
          <t>US05971KAL35</t>
        </is>
      </c>
      <c r="B123" s="30" t="inlineStr">
        <is>
          <t>Spain's largest banking group</t>
        </is>
      </c>
    </row>
    <row r="124">
      <c r="A124" s="30" t="inlineStr">
        <is>
          <t>XS2393518597</t>
        </is>
      </c>
      <c r="B124" s="30" t="inlineStr">
        <is>
          <t>Spain's largest banking group</t>
        </is>
      </c>
    </row>
    <row r="125">
      <c r="A125" s="30" t="inlineStr">
        <is>
          <t>XS2575952424</t>
        </is>
      </c>
      <c r="B125" s="30" t="inlineStr">
        <is>
          <t>Spain's largest banking group</t>
        </is>
      </c>
    </row>
    <row r="126">
      <c r="A126" s="30" t="inlineStr">
        <is>
          <t>XS2575952697</t>
        </is>
      </c>
      <c r="B126" s="30" t="inlineStr">
        <is>
          <t>Spain's largest banking group</t>
        </is>
      </c>
    </row>
    <row r="127">
      <c r="A127" s="30" t="inlineStr">
        <is>
          <t>US05968LAM46</t>
        </is>
      </c>
      <c r="B127" s="30" t="inlineStr">
        <is>
          <t>Operates as an investment company</t>
        </is>
      </c>
    </row>
    <row r="128">
      <c r="A128" s="30" t="inlineStr">
        <is>
          <t>CH1290222293</t>
        </is>
      </c>
      <c r="B128" s="30" t="inlineStr">
        <is>
          <t>Swiss private banking institution</t>
        </is>
      </c>
    </row>
    <row r="129">
      <c r="A129" s="30" t="inlineStr">
        <is>
          <t>XS2577785921</t>
        </is>
      </c>
      <c r="B129" s="30" t="inlineStr">
        <is>
          <t>Indonesia's largest lender and commercial bank by assets</t>
        </is>
      </c>
    </row>
    <row r="130">
      <c r="A130" s="30" t="inlineStr">
        <is>
          <t>XS2038039074</t>
        </is>
      </c>
      <c r="B130" s="30" t="inlineStr">
        <is>
          <t>One of the largest bank in US</t>
        </is>
      </c>
    </row>
    <row r="131">
      <c r="A131" s="30" t="inlineStr">
        <is>
          <t>US06051GLE79</t>
        </is>
      </c>
      <c r="B131" s="30" t="inlineStr">
        <is>
          <t>One of the largest US banks</t>
        </is>
      </c>
    </row>
    <row r="132">
      <c r="A132" s="30" t="inlineStr">
        <is>
          <t>XS1458411276</t>
        </is>
      </c>
      <c r="B132" s="30" t="inlineStr">
        <is>
          <t>One of the largest US banks</t>
        </is>
      </c>
    </row>
    <row r="133">
      <c r="A133" s="30" t="inlineStr">
        <is>
          <t>US06368LGV27</t>
        </is>
      </c>
      <c r="B133" s="30" t="inlineStr">
        <is>
          <t>Canadian chartered bank which operates throughout the world</t>
        </is>
      </c>
    </row>
    <row r="134">
      <c r="A134" s="30" t="inlineStr">
        <is>
          <t>CH1243018814</t>
        </is>
      </c>
      <c r="B134" s="30" t="inlineStr">
        <is>
          <t>Canadian chartered bank which operates throughout the world</t>
        </is>
      </c>
    </row>
    <row r="135">
      <c r="A135" s="30" t="inlineStr">
        <is>
          <t>CH1232107131</t>
        </is>
      </c>
      <c r="B135" s="30" t="inlineStr">
        <is>
          <t>Swiss cantonal bank</t>
        </is>
      </c>
    </row>
    <row r="136">
      <c r="A136" s="30" t="inlineStr">
        <is>
          <t>FR001400F794</t>
        </is>
      </c>
      <c r="B136" s="30" t="inlineStr">
        <is>
          <t>French cooperative bank</t>
        </is>
      </c>
    </row>
    <row r="137">
      <c r="A137" s="30" t="inlineStr">
        <is>
          <t>FR0013515749</t>
        </is>
      </c>
      <c r="B137" s="30" t="inlineStr">
        <is>
          <t>French cooperative bank</t>
        </is>
      </c>
    </row>
    <row r="138">
      <c r="A138" s="30" t="inlineStr">
        <is>
          <t>FR0014007UQ3</t>
        </is>
      </c>
      <c r="B138" s="30" t="inlineStr">
        <is>
          <t>French cooperative bank</t>
        </is>
      </c>
    </row>
    <row r="139">
      <c r="A139" s="30" t="inlineStr">
        <is>
          <t>FR001400FBN9</t>
        </is>
      </c>
      <c r="B139" s="30" t="inlineStr">
        <is>
          <t>French cooperative bank</t>
        </is>
      </c>
    </row>
    <row r="140">
      <c r="A140" s="30" t="inlineStr">
        <is>
          <t>FR001400FBR0</t>
        </is>
      </c>
      <c r="B140" s="30" t="inlineStr">
        <is>
          <t>French cooperative bank</t>
        </is>
      </c>
    </row>
    <row r="141">
      <c r="A141" s="30" t="inlineStr">
        <is>
          <t>CH1242969199</t>
        </is>
      </c>
      <c r="B141" s="30" t="inlineStr">
        <is>
          <t>French cooperative bank</t>
        </is>
      </c>
    </row>
    <row r="142">
      <c r="A142" s="30" t="inlineStr">
        <is>
          <t>CH0483180920</t>
        </is>
      </c>
      <c r="B142" s="30" t="inlineStr">
        <is>
          <t>Offers commercial and corporate banking services</t>
        </is>
      </c>
    </row>
    <row r="143">
      <c r="A143" s="30" t="inlineStr">
        <is>
          <t>FR001400F6V1</t>
        </is>
      </c>
      <c r="B143" s="30" t="inlineStr">
        <is>
          <t>Provides commercial banking services in France</t>
        </is>
      </c>
    </row>
    <row r="144">
      <c r="A144" s="30" t="inlineStr">
        <is>
          <t>XS2662538425</t>
        </is>
      </c>
      <c r="B144" s="30" t="inlineStr">
        <is>
          <t>One of the largest UK banks</t>
        </is>
      </c>
    </row>
    <row r="145">
      <c r="A145" s="30" t="inlineStr">
        <is>
          <t>US06738ECP88</t>
        </is>
      </c>
      <c r="B145" s="30" t="inlineStr">
        <is>
          <t xml:space="preserve">One of the largest UK banks </t>
        </is>
      </c>
    </row>
    <row r="146">
      <c r="A146" s="30" t="inlineStr">
        <is>
          <t>XS1757394322</t>
        </is>
      </c>
      <c r="B146" s="30" t="inlineStr">
        <is>
          <t>One of the largest UK banks</t>
        </is>
      </c>
    </row>
    <row r="147">
      <c r="A147" s="30" t="inlineStr">
        <is>
          <t>XS2430951660</t>
        </is>
      </c>
      <c r="B147" s="30" t="inlineStr">
        <is>
          <t>One of the largest UK banks</t>
        </is>
      </c>
    </row>
    <row r="148">
      <c r="A148" s="30" t="inlineStr">
        <is>
          <t>US05526DBY04</t>
        </is>
      </c>
      <c r="B148" s="30" t="inlineStr">
        <is>
          <t>Tobacco company</t>
        </is>
      </c>
    </row>
    <row r="149">
      <c r="A149" s="30" t="inlineStr">
        <is>
          <t>US05526DBZ78</t>
        </is>
      </c>
      <c r="B149" s="30" t="inlineStr">
        <is>
          <t>Manufactures, markets and sells cigarettes and other tobacco products</t>
        </is>
      </c>
    </row>
    <row r="150">
      <c r="A150" s="30" t="inlineStr">
        <is>
          <t>US054989AA67</t>
        </is>
      </c>
      <c r="B150" s="30" t="inlineStr">
        <is>
          <t>Tobacco company</t>
        </is>
      </c>
    </row>
    <row r="151">
      <c r="A151" s="30" t="inlineStr">
        <is>
          <t>US05526DBJ37</t>
        </is>
      </c>
      <c r="B151" s="30" t="inlineStr">
        <is>
          <t>Tobacco company</t>
        </is>
      </c>
    </row>
    <row r="152">
      <c r="A152" s="30" t="inlineStr">
        <is>
          <t>US05526DBW48</t>
        </is>
      </c>
      <c r="B152" s="30" t="inlineStr">
        <is>
          <t>Tobacco company</t>
        </is>
      </c>
    </row>
    <row r="153">
      <c r="A153" s="30" t="inlineStr">
        <is>
          <t>US05526DBV64</t>
        </is>
      </c>
      <c r="B153" s="30" t="inlineStr">
        <is>
          <t>Tobacco company</t>
        </is>
      </c>
    </row>
    <row r="154">
      <c r="A154" s="30" t="inlineStr">
        <is>
          <t>XS1664647499</t>
        </is>
      </c>
      <c r="B154" s="30" t="inlineStr">
        <is>
          <t>Tobacco company</t>
        </is>
      </c>
    </row>
    <row r="155">
      <c r="A155" s="30" t="inlineStr">
        <is>
          <t>XS1664644983</t>
        </is>
      </c>
      <c r="B155" s="30" t="inlineStr">
        <is>
          <t>B.A.T. International Finance P.L.C. provides tobacco products.</t>
        </is>
      </c>
    </row>
    <row r="156">
      <c r="A156" s="30" t="inlineStr">
        <is>
          <t>US05530QAP54</t>
        </is>
      </c>
      <c r="B156" s="30" t="inlineStr">
        <is>
          <t>Tobacco company</t>
        </is>
      </c>
    </row>
    <row r="157">
      <c r="A157" s="30" t="inlineStr">
        <is>
          <t>XS2589367528</t>
        </is>
      </c>
      <c r="B157" s="30" t="inlineStr">
        <is>
          <t>Tobacco company</t>
        </is>
      </c>
    </row>
    <row r="158">
      <c r="A158" s="30" t="inlineStr">
        <is>
          <t>USU51407AE17</t>
        </is>
      </c>
      <c r="B158" s="30" t="inlineStr">
        <is>
          <t>A specialty retailer that operates in US and Canada</t>
        </is>
      </c>
    </row>
    <row r="159">
      <c r="A159" s="30" t="inlineStr">
        <is>
          <t>XS1840618059</t>
        </is>
      </c>
      <c r="B159" s="30" t="inlineStr">
        <is>
          <t>Multinational pharmaceutical and life sciences company</t>
        </is>
      </c>
    </row>
    <row r="160">
      <c r="A160" s="30" t="inlineStr">
        <is>
          <t>BE0000304130</t>
        </is>
      </c>
      <c r="B160" s="30" t="inlineStr">
        <is>
          <t>Belgium government bond</t>
        </is>
      </c>
    </row>
    <row r="161">
      <c r="A161" s="30" t="inlineStr">
        <is>
          <t>US084670BS67</t>
        </is>
      </c>
      <c r="B161" s="30" t="inlineStr">
        <is>
          <t>Holding company that owns subsidaries in a variety of business sectors</t>
        </is>
      </c>
    </row>
    <row r="162">
      <c r="A162" s="30" t="inlineStr">
        <is>
          <t>XS1200679071</t>
        </is>
      </c>
      <c r="B162" s="30" t="inlineStr">
        <is>
          <t>Holding company that owns subsidaries in a variety of business sectors</t>
        </is>
      </c>
    </row>
    <row r="163">
      <c r="A163" s="30" t="inlineStr">
        <is>
          <t>US055451AY40</t>
        </is>
      </c>
      <c r="B163" s="30" t="inlineStr">
        <is>
          <t>Largest mining company in the industry</t>
        </is>
      </c>
    </row>
    <row r="164">
      <c r="A164" s="30" t="inlineStr">
        <is>
          <t>US055451AZ15</t>
        </is>
      </c>
      <c r="B164" s="30" t="inlineStr">
        <is>
          <t>Largest mining company in the industry</t>
        </is>
      </c>
    </row>
    <row r="165">
      <c r="A165" s="30" t="inlineStr">
        <is>
          <t>US055451BA54</t>
        </is>
      </c>
      <c r="B165" s="30" t="inlineStr">
        <is>
          <t>Largest mining company in the industry</t>
        </is>
      </c>
    </row>
    <row r="166">
      <c r="A166" s="30" t="inlineStr">
        <is>
          <t>XS2595379590</t>
        </is>
      </c>
      <c r="B166" s="30" t="inlineStr">
        <is>
          <t>Bank of England</t>
        </is>
      </c>
    </row>
    <row r="167">
      <c r="A167" s="30" t="inlineStr">
        <is>
          <t>XS1910245676</t>
        </is>
      </c>
      <c r="B167" s="30" t="inlineStr">
        <is>
          <t>European car manufacturer focused entirely on the premium segment</t>
        </is>
      </c>
    </row>
    <row r="168">
      <c r="A168" s="30" t="inlineStr">
        <is>
          <t>DE000A1ZZ028</t>
        </is>
      </c>
      <c r="B168" s="30" t="inlineStr">
        <is>
          <t>European car manufacturer focused entirely on the premium segment</t>
        </is>
      </c>
    </row>
    <row r="169">
      <c r="A169" s="30" t="inlineStr">
        <is>
          <t>FR001400I7U8</t>
        </is>
      </c>
      <c r="B169" s="30" t="inlineStr">
        <is>
          <t>France's largest bank with a world leading position</t>
        </is>
      </c>
    </row>
    <row r="170">
      <c r="A170" s="30" t="inlineStr">
        <is>
          <t>US09659X2R20</t>
        </is>
      </c>
      <c r="B170" s="30" t="inlineStr">
        <is>
          <t>France's largest bank with a world leading position</t>
        </is>
      </c>
    </row>
    <row r="171">
      <c r="A171" s="30" t="inlineStr">
        <is>
          <t>XS1939253917</t>
        </is>
      </c>
      <c r="B171" s="30" t="inlineStr">
        <is>
          <t>France's largest bank with a world leading position</t>
        </is>
      </c>
    </row>
    <row r="172">
      <c r="A172" s="30" t="inlineStr">
        <is>
          <t>FR0014008NE2</t>
        </is>
      </c>
      <c r="B172" s="30" t="inlineStr">
        <is>
          <t>France's largest bank with a world leading position</t>
        </is>
      </c>
    </row>
    <row r="173">
      <c r="A173" s="30" t="inlineStr">
        <is>
          <t>FR001400F0V4</t>
        </is>
      </c>
      <c r="B173" s="30" t="inlineStr">
        <is>
          <t>France's largest bank with a world leading position</t>
        </is>
      </c>
    </row>
    <row r="174">
      <c r="A174" s="30" t="inlineStr">
        <is>
          <t>XS1614416193</t>
        </is>
      </c>
      <c r="B174" s="30" t="inlineStr">
        <is>
          <t>France's largest bank with a world leading position</t>
        </is>
      </c>
    </row>
    <row r="175">
      <c r="A175" s="30" t="inlineStr">
        <is>
          <t>FR001400DCZ6</t>
        </is>
      </c>
      <c r="B175" s="30" t="inlineStr">
        <is>
          <t>France's largest bank with a world leading position</t>
        </is>
      </c>
    </row>
    <row r="176">
      <c r="A176" s="30" t="inlineStr">
        <is>
          <t>CH1142512347</t>
        </is>
      </c>
      <c r="B176" s="30" t="inlineStr">
        <is>
          <t>France's largest bank with a world leading position</t>
        </is>
      </c>
    </row>
    <row r="177">
      <c r="A177" s="30" t="inlineStr">
        <is>
          <t>CH1227937716</t>
        </is>
      </c>
      <c r="B177" s="30" t="inlineStr">
        <is>
          <t>France's largest bank with a world leading position</t>
        </is>
      </c>
    </row>
    <row r="178">
      <c r="A178" s="30" t="inlineStr">
        <is>
          <t>USC10602BK23</t>
        </is>
      </c>
      <c r="B178" s="30" t="inlineStr">
        <is>
          <t>A manufacturer of both planes and trains</t>
        </is>
      </c>
    </row>
    <row r="179">
      <c r="A179" s="30" t="inlineStr">
        <is>
          <t>ES00000126Z1</t>
        </is>
      </c>
      <c r="B179" s="30" t="inlineStr">
        <is>
          <t>Spanish Government</t>
        </is>
      </c>
    </row>
    <row r="180">
      <c r="A180" s="30" t="inlineStr">
        <is>
          <t>XS2555218291</t>
        </is>
      </c>
      <c r="B180" s="30" t="inlineStr">
        <is>
          <t>Online travel company</t>
        </is>
      </c>
    </row>
    <row r="181">
      <c r="A181" s="30" t="inlineStr">
        <is>
          <t>XS2555221246</t>
        </is>
      </c>
      <c r="B181" s="30" t="inlineStr">
        <is>
          <t>Online travel company</t>
        </is>
      </c>
    </row>
    <row r="182">
      <c r="A182" s="30" t="inlineStr">
        <is>
          <t>US741503AZ91</t>
        </is>
      </c>
      <c r="B182" s="30" t="inlineStr">
        <is>
          <t xml:space="preserve">Online travel company </t>
        </is>
      </c>
    </row>
    <row r="183">
      <c r="A183" s="30" t="inlineStr">
        <is>
          <t>FR0014006CS9</t>
        </is>
      </c>
      <c r="B183" s="30" t="inlineStr">
        <is>
          <t>Offers construction services, communications services, television programming</t>
        </is>
      </c>
    </row>
    <row r="184">
      <c r="A184" s="30" t="inlineStr">
        <is>
          <t>US103304BU40</t>
        </is>
      </c>
      <c r="B184" s="30" t="inlineStr">
        <is>
          <t>A casino entertainment</t>
        </is>
      </c>
    </row>
    <row r="185">
      <c r="A185" s="30" t="inlineStr">
        <is>
          <t>USU1022EAF52</t>
        </is>
      </c>
      <c r="B185" s="30" t="inlineStr">
        <is>
          <t>A casino entertainment</t>
        </is>
      </c>
    </row>
    <row r="186">
      <c r="A186" s="30" t="inlineStr">
        <is>
          <t>US10373QBT67</t>
        </is>
      </c>
      <c r="B186" s="30" t="inlineStr">
        <is>
          <t>Leading oil and gas company</t>
        </is>
      </c>
    </row>
    <row r="187">
      <c r="A187" s="30" t="inlineStr">
        <is>
          <t>US10373QBU31</t>
        </is>
      </c>
      <c r="B187" s="30" t="inlineStr">
        <is>
          <t>Leading oil and gas company</t>
        </is>
      </c>
    </row>
    <row r="188">
      <c r="A188" s="30" t="inlineStr">
        <is>
          <t>XS1851278421</t>
        </is>
      </c>
      <c r="B188" s="30" t="inlineStr">
        <is>
          <t>Leading oil and gas company</t>
        </is>
      </c>
    </row>
    <row r="189">
      <c r="A189" s="30" t="inlineStr">
        <is>
          <t>XS1637863629</t>
        </is>
      </c>
      <c r="B189" s="30" t="inlineStr">
        <is>
          <t>Leading oil and gas company</t>
        </is>
      </c>
    </row>
    <row r="190">
      <c r="A190" s="30" t="inlineStr">
        <is>
          <t>US05584KAN81</t>
        </is>
      </c>
      <c r="B190" s="30" t="inlineStr">
        <is>
          <t>One of the largest French retail banks</t>
        </is>
      </c>
    </row>
    <row r="191">
      <c r="A191" s="30" t="inlineStr">
        <is>
          <t>US05584KAM09</t>
        </is>
      </c>
      <c r="B191" s="30" t="inlineStr">
        <is>
          <t>One of the largest French retail banks</t>
        </is>
      </c>
    </row>
    <row r="192">
      <c r="A192" s="30" t="inlineStr">
        <is>
          <t>FR001400F075</t>
        </is>
      </c>
      <c r="B192" s="30" t="inlineStr">
        <is>
          <t>One of the largest French retail banks</t>
        </is>
      </c>
    </row>
    <row r="193">
      <c r="A193" s="30" t="inlineStr">
        <is>
          <t>FR001400G6Y4</t>
        </is>
      </c>
      <c r="B193" s="30" t="inlineStr">
        <is>
          <t>One of the largest French retail banks</t>
        </is>
      </c>
    </row>
    <row r="194">
      <c r="A194" s="30" t="inlineStr">
        <is>
          <t>FR001400F083</t>
        </is>
      </c>
      <c r="B194" s="30" t="inlineStr">
        <is>
          <t>One of the largest French retail banks</t>
        </is>
      </c>
    </row>
    <row r="195">
      <c r="A195" s="30" t="inlineStr">
        <is>
          <t>FR001400FKA7</t>
        </is>
      </c>
      <c r="B195" s="30" t="inlineStr">
        <is>
          <t>Operates as an administrative state agency</t>
        </is>
      </c>
    </row>
    <row r="196">
      <c r="A196" s="30" t="inlineStr">
        <is>
          <t>USU1065PAA94</t>
        </is>
      </c>
      <c r="B196" s="30" t="inlineStr">
        <is>
          <t>Largest producer of thermoplastic resins in South America</t>
        </is>
      </c>
    </row>
    <row r="197">
      <c r="A197" s="30" t="inlineStr">
        <is>
          <t>USN15516AB83</t>
        </is>
      </c>
      <c r="B197" s="30" t="inlineStr">
        <is>
          <t>Largest producer of thermoplastic resins in South America</t>
        </is>
      </c>
    </row>
    <row r="198">
      <c r="A198" s="30" t="inlineStr">
        <is>
          <t>USN15516AG70</t>
        </is>
      </c>
      <c r="B198" s="30" t="inlineStr">
        <is>
          <t>Largest producer of thermoplastic resins in South America</t>
        </is>
      </c>
    </row>
    <row r="199">
      <c r="A199" s="30" t="inlineStr">
        <is>
          <t>USA08163AA41</t>
        </is>
      </c>
      <c r="B199" s="30" t="inlineStr">
        <is>
          <t>Distributes food products</t>
        </is>
      </c>
    </row>
    <row r="200">
      <c r="A200" s="30" t="inlineStr">
        <is>
          <t>PTBSSLOM0002</t>
        </is>
      </c>
      <c r="B200" s="30" t="inlineStr">
        <is>
          <t xml:space="preserve">Operates network of motorways in Portugal </t>
        </is>
      </c>
    </row>
    <row r="201">
      <c r="A201" s="30" t="inlineStr">
        <is>
          <t>US110709AD48</t>
        </is>
      </c>
      <c r="B201" s="30" t="inlineStr">
        <is>
          <t>A province in Western Canada</t>
        </is>
      </c>
    </row>
    <row r="202">
      <c r="A202" s="30" t="inlineStr">
        <is>
          <t>XS2582814385</t>
        </is>
      </c>
      <c r="B202" s="30" t="inlineStr">
        <is>
          <t>UK telecom company</t>
        </is>
      </c>
    </row>
    <row r="203">
      <c r="A203" s="30" t="inlineStr">
        <is>
          <t>XS2582814039</t>
        </is>
      </c>
      <c r="B203" s="30" t="inlineStr">
        <is>
          <t>UK telecom company</t>
        </is>
      </c>
    </row>
    <row r="204">
      <c r="A204" s="30" t="inlineStr">
        <is>
          <t>XS2579483319</t>
        </is>
      </c>
      <c r="B204" s="30" t="inlineStr">
        <is>
          <t>Bulgaria government bond</t>
        </is>
      </c>
    </row>
    <row r="205">
      <c r="A205" s="30" t="inlineStr">
        <is>
          <t>DE000BU2Z007</t>
        </is>
      </c>
      <c r="B205" s="30" t="inlineStr">
        <is>
          <t>German government bond</t>
        </is>
      </c>
    </row>
    <row r="206">
      <c r="A206" s="30" t="inlineStr">
        <is>
          <t>IT0003535157</t>
        </is>
      </c>
      <c r="B206" s="30" t="inlineStr">
        <is>
          <t>Italy government bond</t>
        </is>
      </c>
    </row>
    <row r="207">
      <c r="A207" s="30" t="inlineStr">
        <is>
          <t>FR0013460607</t>
        </is>
      </c>
      <c r="B207" s="30" t="inlineStr">
        <is>
          <t xml:space="preserve">specialized in testing, inspection and certification </t>
        </is>
      </c>
    </row>
    <row r="208">
      <c r="A208" s="30" t="inlineStr">
        <is>
          <t>XS2403031912</t>
        </is>
      </c>
      <c r="B208" s="30" t="inlineStr">
        <is>
          <t xml:space="preserve">Fast food restaurant in France </t>
        </is>
      </c>
    </row>
    <row r="209">
      <c r="A209" s="30" t="inlineStr">
        <is>
          <t>USU2829LAC91</t>
        </is>
      </c>
      <c r="B209" s="30" t="inlineStr">
        <is>
          <t>Operates as a chain of resorts</t>
        </is>
      </c>
    </row>
    <row r="210">
      <c r="A210" s="30" t="inlineStr">
        <is>
          <t>XS2580310246</t>
        </is>
      </c>
      <c r="B210" s="30" t="inlineStr">
        <is>
          <t>Operates as an administrative state agency</t>
        </is>
      </c>
    </row>
    <row r="211">
      <c r="A211" s="30" t="inlineStr">
        <is>
          <t>XS2436433333</t>
        </is>
      </c>
      <c r="B211" s="30" t="inlineStr">
        <is>
          <t>Operates as an administrative state agency</t>
        </is>
      </c>
    </row>
    <row r="212">
      <c r="A212" s="30" t="inlineStr">
        <is>
          <t>FR001400G6E6</t>
        </is>
      </c>
      <c r="B212" s="30" t="inlineStr">
        <is>
          <t>Operates as an administrative state agency</t>
        </is>
      </c>
    </row>
    <row r="213">
      <c r="A213" s="30" t="inlineStr">
        <is>
          <t>FR001400CVE3</t>
        </is>
      </c>
      <c r="B213" s="30" t="inlineStr">
        <is>
          <t>Operates as an administrative state agency</t>
        </is>
      </c>
    </row>
    <row r="214">
      <c r="A214" s="30" t="inlineStr">
        <is>
          <t>FR0013447125</t>
        </is>
      </c>
      <c r="B214" s="30" t="inlineStr">
        <is>
          <t>French Global Insurer</t>
        </is>
      </c>
    </row>
    <row r="215">
      <c r="A215" s="30" t="inlineStr">
        <is>
          <t>FR0014004EF7</t>
        </is>
      </c>
      <c r="B215" s="30" t="inlineStr">
        <is>
          <t>French Global Insurer</t>
        </is>
      </c>
    </row>
    <row r="216">
      <c r="A216" s="30" t="inlineStr">
        <is>
          <t>XS2555187801</t>
        </is>
      </c>
      <c r="B216" s="30" t="inlineStr">
        <is>
          <t>One of the largest Spanish banks</t>
        </is>
      </c>
    </row>
    <row r="217">
      <c r="A217" s="30" t="inlineStr">
        <is>
          <t>CH1325807886</t>
        </is>
      </c>
      <c r="B217" s="30" t="inlineStr">
        <is>
          <t>One of the largest Spanish banks</t>
        </is>
      </c>
    </row>
    <row r="218">
      <c r="A218" s="30" t="inlineStr">
        <is>
          <t>US135087N757</t>
        </is>
      </c>
      <c r="B218" s="30" t="inlineStr">
        <is>
          <t>Canada Government bond</t>
        </is>
      </c>
    </row>
    <row r="219">
      <c r="A219" s="30" t="inlineStr">
        <is>
          <t>US135087N757</t>
        </is>
      </c>
      <c r="B219" s="30" t="inlineStr">
        <is>
          <t>Canada Government bond</t>
        </is>
      </c>
    </row>
    <row r="220">
      <c r="A220" s="30" t="inlineStr">
        <is>
          <t>US135087Q560</t>
        </is>
      </c>
      <c r="B220" s="30" t="inlineStr">
        <is>
          <t>Canada Government bond</t>
        </is>
      </c>
    </row>
    <row r="221">
      <c r="A221" s="30" t="inlineStr">
        <is>
          <t>XS2133071774</t>
        </is>
      </c>
      <c r="B221" s="30" t="inlineStr">
        <is>
          <t>Provides alcoholic beverages</t>
        </is>
      </c>
    </row>
    <row r="222">
      <c r="A222" s="30" t="inlineStr">
        <is>
          <t>XS2696046460</t>
        </is>
      </c>
      <c r="B222" s="30" t="inlineStr">
        <is>
          <t>Provides alcoholic beverages</t>
        </is>
      </c>
    </row>
    <row r="223">
      <c r="A223" s="30" t="inlineStr">
        <is>
          <t>XS2696089197</t>
        </is>
      </c>
      <c r="B223" s="30" t="inlineStr">
        <is>
          <t>Provides alcoholic beverages</t>
        </is>
      </c>
    </row>
    <row r="224">
      <c r="A224" s="30" t="inlineStr">
        <is>
          <t>FR0014009DZ6</t>
        </is>
      </c>
      <c r="B224" s="30" t="inlineStr">
        <is>
          <t>French multinational retailer</t>
        </is>
      </c>
    </row>
    <row r="225">
      <c r="A225" s="30" t="inlineStr">
        <is>
          <t>FR0013419736</t>
        </is>
      </c>
      <c r="B225" s="30" t="inlineStr">
        <is>
          <t>French multinational retailer</t>
        </is>
      </c>
    </row>
    <row r="226">
      <c r="A226" s="30" t="inlineStr">
        <is>
          <t>XS2616750563</t>
        </is>
      </c>
      <c r="B226" s="30" t="inlineStr">
        <is>
          <t>Provides financial services</t>
        </is>
      </c>
    </row>
    <row r="227">
      <c r="A227" s="30" t="inlineStr">
        <is>
          <t>US14913R3B15</t>
        </is>
      </c>
      <c r="B227" s="30" t="inlineStr">
        <is>
          <t xml:space="preserve">Leading manufacturer of construction and mining equipment </t>
        </is>
      </c>
    </row>
    <row r="228">
      <c r="A228" s="30" t="inlineStr">
        <is>
          <t>US14913R2G11</t>
        </is>
      </c>
      <c r="B228" s="30" t="inlineStr">
        <is>
          <t xml:space="preserve">Leading manufacturer of construction and mining equipment </t>
        </is>
      </c>
    </row>
    <row r="229">
      <c r="A229" s="30" t="inlineStr">
        <is>
          <t>US14913UAJ97</t>
        </is>
      </c>
      <c r="B229" s="30" t="inlineStr">
        <is>
          <t xml:space="preserve">Leading manufacturer of construction and mining equipment </t>
        </is>
      </c>
    </row>
    <row r="230">
      <c r="A230" s="30" t="inlineStr">
        <is>
          <t>XS2667627124</t>
        </is>
      </c>
      <c r="B230" s="30" t="inlineStr">
        <is>
          <t>Leading manufacturer of construction and mining equipment</t>
        </is>
      </c>
    </row>
    <row r="231">
      <c r="A231" s="30" t="inlineStr">
        <is>
          <t>US149123CK50</t>
        </is>
      </c>
      <c r="B231" s="30" t="inlineStr">
        <is>
          <t xml:space="preserve">Leading manufacturer of construction and mining equipment </t>
        </is>
      </c>
    </row>
    <row r="232">
      <c r="A232" s="30" t="inlineStr">
        <is>
          <t>US149123CH22</t>
        </is>
      </c>
      <c r="B232" s="30" t="inlineStr">
        <is>
          <t xml:space="preserve">Leading manufacturer of construction and mining equipment </t>
        </is>
      </c>
    </row>
    <row r="233">
      <c r="A233" s="30" t="inlineStr">
        <is>
          <t>XS2497520887</t>
        </is>
      </c>
      <c r="B233" s="30" t="inlineStr">
        <is>
          <t>Celanese US Holdings LLC operates as a chemical company.</t>
        </is>
      </c>
    </row>
    <row r="234">
      <c r="A234" s="30" t="inlineStr">
        <is>
          <t>XS2826616596</t>
        </is>
      </c>
      <c r="B234" s="30" t="inlineStr">
        <is>
          <t>Europe's largest telecom tower operator</t>
        </is>
      </c>
    </row>
    <row r="235">
      <c r="A235" s="30" t="inlineStr">
        <is>
          <t>XS2826616596</t>
        </is>
      </c>
      <c r="B235" s="30" t="inlineStr">
        <is>
          <t>Europe's largest telecom tower operator</t>
        </is>
      </c>
    </row>
    <row r="236">
      <c r="A236" s="30" t="inlineStr">
        <is>
          <t>XS1964617879</t>
        </is>
      </c>
      <c r="B236" s="30" t="inlineStr">
        <is>
          <t>Leading vertically  integrated  heavy  building materials  company</t>
        </is>
      </c>
    </row>
    <row r="237">
      <c r="A237" s="30" t="inlineStr">
        <is>
          <t>USP2253TJQ33</t>
        </is>
      </c>
      <c r="B237" s="30" t="inlineStr">
        <is>
          <t>Global leading building material suppliers and cement producers</t>
        </is>
      </c>
    </row>
    <row r="238">
      <c r="A238" s="30" t="inlineStr">
        <is>
          <t>USP2205LAC92</t>
        </is>
      </c>
      <c r="B238" s="30" t="inlineStr">
        <is>
          <t>Provides utility services</t>
        </is>
      </c>
    </row>
    <row r="239">
      <c r="A239" s="30" t="inlineStr">
        <is>
          <t>USP2205JAQ33</t>
        </is>
      </c>
      <c r="B239" s="30" t="inlineStr">
        <is>
          <t xml:space="preserve">Food and non-food retailers </t>
        </is>
      </c>
    </row>
    <row r="240">
      <c r="A240" s="30" t="inlineStr">
        <is>
          <t>XS2084418339</t>
        </is>
      </c>
      <c r="B240" s="30" t="inlineStr">
        <is>
          <t>Czech provider of integrated energy services owned by the government</t>
        </is>
      </c>
    </row>
    <row r="241">
      <c r="A241" s="30" t="inlineStr">
        <is>
          <t>US166764BL33</t>
        </is>
      </c>
      <c r="B241" s="30" t="inlineStr">
        <is>
          <t>American multinational energy company</t>
        </is>
      </c>
    </row>
    <row r="242">
      <c r="A242" s="30" t="inlineStr">
        <is>
          <t>US166764BX70</t>
        </is>
      </c>
      <c r="B242" s="30" t="inlineStr">
        <is>
          <t>American multinational energy company</t>
        </is>
      </c>
    </row>
    <row r="243">
      <c r="A243" s="30" t="inlineStr">
        <is>
          <t>USY15025AB84</t>
        </is>
      </c>
      <c r="B243" s="30" t="inlineStr">
        <is>
          <t>China Government</t>
        </is>
      </c>
    </row>
    <row r="244">
      <c r="A244" s="30" t="inlineStr">
        <is>
          <t>USY15025AC67</t>
        </is>
      </c>
      <c r="B244" s="30" t="inlineStr">
        <is>
          <t>China Government</t>
        </is>
      </c>
    </row>
    <row r="245">
      <c r="A245" s="30" t="inlineStr">
        <is>
          <t>XS2320779213</t>
        </is>
      </c>
      <c r="B245" s="30" t="inlineStr">
        <is>
          <t>Supplies city water and sewage treatment.</t>
        </is>
      </c>
    </row>
    <row r="246">
      <c r="A246" s="30" t="inlineStr">
        <is>
          <t>XS2723549528</t>
        </is>
      </c>
      <c r="B246" s="30" t="inlineStr">
        <is>
          <t>Manufactures glass products and construction materials</t>
        </is>
      </c>
    </row>
    <row r="247">
      <c r="A247" s="30" t="inlineStr">
        <is>
          <t>XS2576245281</t>
        </is>
      </c>
      <c r="B247" s="30" t="inlineStr">
        <is>
          <t>Manufactures glass products and contruction materials</t>
        </is>
      </c>
    </row>
    <row r="248">
      <c r="A248" s="30" t="inlineStr">
        <is>
          <t>XS2723549361</t>
        </is>
      </c>
      <c r="B248" s="30" t="inlineStr">
        <is>
          <t>Manufactures glass products and construction materials</t>
        </is>
      </c>
    </row>
    <row r="249">
      <c r="A249" s="30" t="inlineStr">
        <is>
          <t>US172967NX53</t>
        </is>
      </c>
      <c r="B249" s="30" t="inlineStr">
        <is>
          <t>One of the largest US banks</t>
        </is>
      </c>
    </row>
    <row r="250">
      <c r="A250" s="30" t="inlineStr">
        <is>
          <t>XS1859010685</t>
        </is>
      </c>
      <c r="B250" s="30" t="inlineStr">
        <is>
          <t>One of the largest US banks</t>
        </is>
      </c>
    </row>
    <row r="251">
      <c r="A251" s="30" t="inlineStr">
        <is>
          <t>CH1232107172</t>
        </is>
      </c>
      <c r="B251" s="30" t="inlineStr">
        <is>
          <t>City of Lugano bond</t>
        </is>
      </c>
    </row>
    <row r="252">
      <c r="A252" s="30" t="inlineStr">
        <is>
          <t>CH1232107172</t>
        </is>
      </c>
      <c r="B252" s="30" t="inlineStr">
        <is>
          <t>City of Lugano bond</t>
        </is>
      </c>
    </row>
    <row r="253">
      <c r="A253" s="30" t="inlineStr">
        <is>
          <t>XS2057072121</t>
        </is>
      </c>
      <c r="B253" s="30" t="inlineStr">
        <is>
          <t xml:space="preserve">Investment group active in services, telecommunication and retail </t>
        </is>
      </c>
    </row>
    <row r="254">
      <c r="A254" s="30" t="inlineStr">
        <is>
          <t>USG2176WAB21</t>
        </is>
      </c>
      <c r="B254" s="30" t="inlineStr">
        <is>
          <t xml:space="preserve">Retails prescription drugs and medicines </t>
        </is>
      </c>
    </row>
    <row r="255">
      <c r="A255" s="30" t="inlineStr">
        <is>
          <t>CH0469273541</t>
        </is>
      </c>
      <c r="B255" s="30" t="inlineStr">
        <is>
          <t>Global specialty chemicals company</t>
        </is>
      </c>
    </row>
    <row r="256">
      <c r="A256" s="30" t="inlineStr">
        <is>
          <t>USU1851TAB71</t>
        </is>
      </c>
      <c r="B256" s="30" t="inlineStr">
        <is>
          <t>Provides power generation services</t>
        </is>
      </c>
    </row>
    <row r="257">
      <c r="A257" s="30" t="inlineStr">
        <is>
          <t>FR0014007YA9</t>
        </is>
      </c>
      <c r="B257" s="30" t="inlineStr">
        <is>
          <t>Leading personal insurer in France, across Europe and in Brazil</t>
        </is>
      </c>
    </row>
    <row r="258">
      <c r="A258" s="30" t="inlineStr">
        <is>
          <t>XS1577950402</t>
        </is>
      </c>
      <c r="B258" s="30" t="inlineStr">
        <is>
          <t>Bottles and distributes soft drinks and beverages.</t>
        </is>
      </c>
    </row>
    <row r="259">
      <c r="A259" s="30" t="inlineStr">
        <is>
          <t>USP30179BQ04</t>
        </is>
      </c>
      <c r="B259" s="30" t="inlineStr">
        <is>
          <t>Generates and distributes electricity.</t>
        </is>
      </c>
    </row>
    <row r="260">
      <c r="A260" s="30" t="inlineStr">
        <is>
          <t>US20826FAD87</t>
        </is>
      </c>
      <c r="B260" s="30" t="inlineStr">
        <is>
          <t>Largest independent exploration and production company</t>
        </is>
      </c>
    </row>
    <row r="261">
      <c r="A261" s="30" t="inlineStr">
        <is>
          <t>CH1236363425</t>
        </is>
      </c>
      <c r="B261" s="30" t="inlineStr">
        <is>
          <t>Largest bank in the Netherlands</t>
        </is>
      </c>
    </row>
    <row r="262">
      <c r="A262" s="30" t="inlineStr">
        <is>
          <t>XS2803753065</t>
        </is>
      </c>
      <c r="B262" s="30" t="inlineStr">
        <is>
          <t>A multilateral development bank of Latam, Spain and Portugal</t>
        </is>
      </c>
    </row>
    <row r="263">
      <c r="A263" s="30" t="inlineStr">
        <is>
          <t>USL20041AD89</t>
        </is>
      </c>
      <c r="B263" s="30" t="inlineStr">
        <is>
          <t xml:space="preserve">Brazilian producer in  bioethanol, sugar and energy </t>
        </is>
      </c>
    </row>
    <row r="264">
      <c r="A264" s="30" t="inlineStr">
        <is>
          <t>XS0556373347</t>
        </is>
      </c>
      <c r="B264" s="30" t="inlineStr">
        <is>
          <t xml:space="preserve">Brazilian producer in  bioethanol, sugar and energy </t>
        </is>
      </c>
    </row>
    <row r="265">
      <c r="A265" s="30" t="inlineStr">
        <is>
          <t>USP3699PGM34</t>
        </is>
      </c>
      <c r="B265" s="30" t="inlineStr">
        <is>
          <t>Costa Rica Governemnt</t>
        </is>
      </c>
    </row>
    <row r="266">
      <c r="A266" s="30" t="inlineStr">
        <is>
          <t>US222213BB58</t>
        </is>
      </c>
      <c r="B266" s="30" t="inlineStr">
        <is>
          <t>A development bank placed under the supreme authority of the Council of Europe</t>
        </is>
      </c>
    </row>
    <row r="267">
      <c r="A267" s="30" t="inlineStr">
        <is>
          <t>XS2574080789</t>
        </is>
      </c>
      <c r="B267" s="30" t="inlineStr">
        <is>
          <t>A development bank placed under the supreme authority of the Council of Europe</t>
        </is>
      </c>
    </row>
    <row r="268">
      <c r="A268" s="30" t="inlineStr">
        <is>
          <t>FR0013523602</t>
        </is>
      </c>
      <c r="B268" s="30" t="inlineStr">
        <is>
          <t>Credit Agricole's insurance arm</t>
        </is>
      </c>
    </row>
    <row r="269">
      <c r="A269" s="30" t="inlineStr">
        <is>
          <t>FR001400FAR2</t>
        </is>
      </c>
      <c r="B269" s="30" t="inlineStr">
        <is>
          <t>French corporate and retail bank</t>
        </is>
      </c>
    </row>
    <row r="270">
      <c r="A270" s="30" t="inlineStr">
        <is>
          <t>FR001400N624</t>
        </is>
      </c>
      <c r="B270" s="30" t="inlineStr">
        <is>
          <t>one of the France's largest retail bank</t>
        </is>
      </c>
    </row>
    <row r="271">
      <c r="A271" s="30" t="inlineStr">
        <is>
          <t>US22535EAC12</t>
        </is>
      </c>
      <c r="B271" s="30" t="inlineStr">
        <is>
          <t>One of the largest retail bank in Europe</t>
        </is>
      </c>
    </row>
    <row r="272">
      <c r="A272" s="30" t="inlineStr">
        <is>
          <t>XS2480543102</t>
        </is>
      </c>
      <c r="B272" s="30" t="inlineStr">
        <is>
          <t>Second largest Swiss bank</t>
        </is>
      </c>
    </row>
    <row r="273">
      <c r="A273" s="30" t="inlineStr">
        <is>
          <t>USG2583XAB76</t>
        </is>
      </c>
      <c r="B273" s="30" t="inlineStr">
        <is>
          <t xml:space="preserve">Steel maker </t>
        </is>
      </c>
    </row>
    <row r="274">
      <c r="A274" s="30" t="inlineStr">
        <is>
          <t>USP3R26HAA81</t>
        </is>
      </c>
      <c r="B274" s="30" t="inlineStr">
        <is>
          <t xml:space="preserve">Salt and chemical company </t>
        </is>
      </c>
    </row>
    <row r="275">
      <c r="A275" s="30" t="inlineStr">
        <is>
          <t>XS2382953789</t>
        </is>
      </c>
      <c r="B275" s="30" t="inlineStr">
        <is>
          <t>Owns and operates natural gas distribution networks in Czech Republic</t>
        </is>
      </c>
    </row>
    <row r="276">
      <c r="A276" s="30" t="inlineStr">
        <is>
          <t>XS2286303495</t>
        </is>
      </c>
      <c r="B276" s="30" t="inlineStr">
        <is>
          <t>Dubai fully state-owned aircraft leasing</t>
        </is>
      </c>
    </row>
    <row r="277">
      <c r="A277" s="30" t="inlineStr">
        <is>
          <t>US23636BBF58</t>
        </is>
      </c>
      <c r="B277" s="30" t="inlineStr">
        <is>
          <t>One of the largest bank in Danmark</t>
        </is>
      </c>
    </row>
    <row r="278">
      <c r="A278" s="30" t="inlineStr">
        <is>
          <t>XS2586741543</t>
        </is>
      </c>
      <c r="B278" s="30" t="inlineStr">
        <is>
          <t>One of the largest bank in Danmark</t>
        </is>
      </c>
    </row>
    <row r="279">
      <c r="A279" s="30" t="inlineStr">
        <is>
          <t>USY2R27RAB56</t>
        </is>
      </c>
      <c r="B279" s="30" t="inlineStr">
        <is>
          <t>Buiest airport in India</t>
        </is>
      </c>
    </row>
    <row r="280">
      <c r="A280" s="30" t="inlineStr">
        <is>
          <t>USY2R40TAB40</t>
        </is>
      </c>
      <c r="B280" s="30" t="inlineStr">
        <is>
          <t>Buiest airport in India</t>
        </is>
      </c>
    </row>
    <row r="281">
      <c r="A281" s="30" t="inlineStr">
        <is>
          <t>US24703TAD81</t>
        </is>
      </c>
      <c r="B281" s="30" t="inlineStr">
        <is>
          <t>Global leading providers of personal computers, servers, and related devices</t>
        </is>
      </c>
    </row>
    <row r="282">
      <c r="A282" s="30" t="inlineStr">
        <is>
          <t>US24703TAC09</t>
        </is>
      </c>
      <c r="B282" s="30" t="inlineStr">
        <is>
          <t>Global leading providers of personal computers, servers, and related devices</t>
        </is>
      </c>
    </row>
    <row r="283">
      <c r="A283" s="30" t="inlineStr">
        <is>
          <t>US24703DBJ90</t>
        </is>
      </c>
      <c r="B283" s="30" t="inlineStr">
        <is>
          <t>Global leading providers of personal computers, servers, and related devices</t>
        </is>
      </c>
    </row>
    <row r="284">
      <c r="A284" s="30" t="inlineStr">
        <is>
          <t>US24703DBL47</t>
        </is>
      </c>
      <c r="B284" s="30" t="inlineStr">
        <is>
          <t>Tobacco company</t>
        </is>
      </c>
    </row>
    <row r="285">
      <c r="A285" s="30" t="inlineStr">
        <is>
          <t>XS1950499712</t>
        </is>
      </c>
      <c r="B285" s="30" t="inlineStr">
        <is>
          <t>Germany's state-owned rail and logistics group</t>
        </is>
      </c>
    </row>
    <row r="286">
      <c r="A286" s="30" t="inlineStr">
        <is>
          <t>XS2451376219</t>
        </is>
      </c>
      <c r="B286" s="30" t="inlineStr">
        <is>
          <t>Germany's state-owned rail and logistics group</t>
        </is>
      </c>
    </row>
    <row r="287">
      <c r="A287" s="30" t="inlineStr">
        <is>
          <t>XS1372911690</t>
        </is>
      </c>
      <c r="B287" s="30" t="inlineStr">
        <is>
          <t>Germany's state-owned rail and logistics group</t>
        </is>
      </c>
    </row>
    <row r="288">
      <c r="A288" s="30" t="inlineStr">
        <is>
          <t>CH1277080508</t>
        </is>
      </c>
      <c r="B288" s="30" t="inlineStr">
        <is>
          <t>Germany's state-owned rail and logistics group</t>
        </is>
      </c>
    </row>
    <row r="289">
      <c r="A289" s="30" t="inlineStr">
        <is>
          <t>XS2152932542</t>
        </is>
      </c>
      <c r="B289" s="30" t="inlineStr">
        <is>
          <t>Operates as a transportation company</t>
        </is>
      </c>
    </row>
    <row r="290">
      <c r="A290" s="30" t="inlineStr">
        <is>
          <t>XS1885608817</t>
        </is>
      </c>
      <c r="B290" s="30" t="inlineStr">
        <is>
          <t>Operates as a transportation company</t>
        </is>
      </c>
    </row>
    <row r="291">
      <c r="A291" s="30" t="inlineStr">
        <is>
          <t>DE000DB7XJP9</t>
        </is>
      </c>
      <c r="B291" s="30" t="inlineStr">
        <is>
          <t>Germany's largest universal bank</t>
        </is>
      </c>
    </row>
    <row r="292">
      <c r="A292" s="30" t="inlineStr">
        <is>
          <t>DE000DL19VS4</t>
        </is>
      </c>
      <c r="B292" s="30" t="inlineStr">
        <is>
          <t xml:space="preserve">German largest universal bank </t>
        </is>
      </c>
    </row>
    <row r="293">
      <c r="A293" s="30" t="inlineStr">
        <is>
          <t>CH1244319450</t>
        </is>
      </c>
      <c r="B293" s="30" t="inlineStr">
        <is>
          <t xml:space="preserve">Germany's largest universal bank </t>
        </is>
      </c>
    </row>
    <row r="294">
      <c r="A294" s="30" t="inlineStr">
        <is>
          <t>XS2592017300</t>
        </is>
      </c>
      <c r="B294" s="30" t="inlineStr">
        <is>
          <t xml:space="preserve">Germany's largest universal bank </t>
        </is>
      </c>
    </row>
    <row r="295">
      <c r="A295" s="30" t="inlineStr">
        <is>
          <t>US251526CQ02</t>
        </is>
      </c>
      <c r="B295" s="30" t="inlineStr">
        <is>
          <t>Germany's largest universal bank</t>
        </is>
      </c>
    </row>
    <row r="296">
      <c r="A296" s="30" t="inlineStr">
        <is>
          <t>XS2363244513</t>
        </is>
      </c>
      <c r="B296" s="30" t="inlineStr">
        <is>
          <t>Europe's largest airline group</t>
        </is>
      </c>
    </row>
    <row r="297">
      <c r="A297" s="30" t="inlineStr">
        <is>
          <t>XS2815984732</t>
        </is>
      </c>
      <c r="B297" s="30" t="inlineStr">
        <is>
          <t>Europe's largest airline group</t>
        </is>
      </c>
    </row>
    <row r="298">
      <c r="A298" s="30" t="inlineStr">
        <is>
          <t>XS1865126343</t>
        </is>
      </c>
      <c r="B298" s="30" t="inlineStr">
        <is>
          <t>Offers banking services</t>
        </is>
      </c>
    </row>
    <row r="299">
      <c r="A299" s="30" t="inlineStr">
        <is>
          <t>XS2292953069</t>
        </is>
      </c>
      <c r="B299" s="30" t="inlineStr">
        <is>
          <t>Offers banking services</t>
        </is>
      </c>
    </row>
    <row r="300">
      <c r="A300" s="30" t="inlineStr">
        <is>
          <t>XS1188135450</t>
        </is>
      </c>
      <c r="B300" s="30" t="inlineStr">
        <is>
          <t>Franco-Belgian financial institution with state guarantee</t>
        </is>
      </c>
    </row>
    <row r="301">
      <c r="A301" s="30" t="inlineStr">
        <is>
          <t>XS1982100643</t>
        </is>
      </c>
      <c r="B301" s="30" t="inlineStr">
        <is>
          <t>World's largest manufacturer and distributor of premium spirits, wine and beer</t>
        </is>
      </c>
    </row>
    <row r="302">
      <c r="A302" s="30" t="inlineStr">
        <is>
          <t>CH1121837244</t>
        </is>
      </c>
      <c r="B302" s="30" t="inlineStr">
        <is>
          <t xml:space="preserve">Owns and opeates data centres </t>
        </is>
      </c>
    </row>
    <row r="303">
      <c r="A303" s="30" t="inlineStr">
        <is>
          <t>XS2191362859</t>
        </is>
      </c>
      <c r="B303" s="30" t="inlineStr">
        <is>
          <t>Owns and operates data centres</t>
        </is>
      </c>
    </row>
    <row r="304">
      <c r="A304" s="30" t="inlineStr">
        <is>
          <t>XS1891174424</t>
        </is>
      </c>
      <c r="B304" s="30" t="inlineStr">
        <is>
          <t xml:space="preserve">Owns and opeates data centres </t>
        </is>
      </c>
    </row>
    <row r="305">
      <c r="A305" s="30" t="inlineStr">
        <is>
          <t>XS2026710553</t>
        </is>
      </c>
      <c r="B305" s="30" t="inlineStr">
        <is>
          <t>Dubai fully state-owned port operator</t>
        </is>
      </c>
    </row>
    <row r="306">
      <c r="A306" s="30" t="inlineStr">
        <is>
          <t>XS2677631355</t>
        </is>
      </c>
      <c r="B306" s="30" t="inlineStr">
        <is>
          <t>Dubai fully state-owned port operator</t>
        </is>
      </c>
    </row>
    <row r="307">
      <c r="A307" s="30" t="inlineStr">
        <is>
          <t>XS2026710553</t>
        </is>
      </c>
      <c r="B307" s="30" t="inlineStr">
        <is>
          <t xml:space="preserve">Dubai state-owned port operator property </t>
        </is>
      </c>
    </row>
    <row r="308">
      <c r="A308" s="30" t="inlineStr">
        <is>
          <t>XS2677631355</t>
        </is>
      </c>
      <c r="B308" s="30" t="inlineStr">
        <is>
          <t xml:space="preserve">Dubai state-owned port operator property </t>
        </is>
      </c>
    </row>
    <row r="309">
      <c r="A309" s="30" t="inlineStr">
        <is>
          <t>XS2051777873</t>
        </is>
      </c>
      <c r="B309" s="30" t="inlineStr">
        <is>
          <t>Provider of corrugated packaging services</t>
        </is>
      </c>
    </row>
    <row r="310">
      <c r="A310" s="30" t="inlineStr">
        <is>
          <t>XS1699848914</t>
        </is>
      </c>
      <c r="B310" s="30" t="inlineStr">
        <is>
          <t>World's biggest airport retailer</t>
        </is>
      </c>
    </row>
    <row r="311">
      <c r="A311" s="30" t="inlineStr">
        <is>
          <t>XS2802883731</t>
        </is>
      </c>
      <c r="B311" s="30" t="inlineStr">
        <is>
          <t>World's biggest airport retailer</t>
        </is>
      </c>
    </row>
    <row r="312">
      <c r="A312" s="30" t="inlineStr">
        <is>
          <t>XS2574873266</t>
        </is>
      </c>
      <c r="B312" s="30" t="inlineStr">
        <is>
          <t>One of the Europe's largest operators of energy networks and infrastructure</t>
        </is>
      </c>
    </row>
    <row r="313">
      <c r="A313" s="30" t="inlineStr">
        <is>
          <t>XS2574873183</t>
        </is>
      </c>
      <c r="B313" s="30" t="inlineStr">
        <is>
          <t>One of the Europe's largest operators of energy networks and infrastructure</t>
        </is>
      </c>
    </row>
    <row r="314">
      <c r="A314" s="30" t="inlineStr">
        <is>
          <t>CH1227937708</t>
        </is>
      </c>
      <c r="B314" s="30" t="inlineStr">
        <is>
          <t>One of the Europe's largest operators of energy networks and energy infrastructure</t>
        </is>
      </c>
    </row>
    <row r="315">
      <c r="A315" s="30" t="inlineStr">
        <is>
          <t>CH1227937690</t>
        </is>
      </c>
      <c r="B315" s="30" t="inlineStr">
        <is>
          <t>One of the Europe's largest operators of energy networks and energy infrastructure</t>
        </is>
      </c>
    </row>
    <row r="316">
      <c r="A316" s="30" t="inlineStr">
        <is>
          <t>XS2783118131</t>
        </is>
      </c>
      <c r="B316" s="30" t="inlineStr">
        <is>
          <t xml:space="preserve">Europe's second largest low cost airline </t>
        </is>
      </c>
    </row>
    <row r="317">
      <c r="A317" s="30" t="inlineStr">
        <is>
          <t>US278642AL76</t>
        </is>
      </c>
      <c r="B317" s="30" t="inlineStr">
        <is>
          <t>E-commerce company providing C2C and B2C sales services via internet</t>
        </is>
      </c>
    </row>
    <row r="318">
      <c r="A318" s="30" t="inlineStr">
        <is>
          <t>US278642BC68</t>
        </is>
      </c>
      <c r="B318" s="30" t="inlineStr">
        <is>
          <t>E-commerce company providing C2C and B2C sales services via internet</t>
        </is>
      </c>
    </row>
    <row r="319">
      <c r="A319" s="30" t="inlineStr">
        <is>
          <t>US278642BA03</t>
        </is>
      </c>
      <c r="B319" s="30" t="inlineStr">
        <is>
          <t>E-commerce company providing C2C and B2C sales services via internet</t>
        </is>
      </c>
    </row>
    <row r="320">
      <c r="A320" s="30" t="inlineStr">
        <is>
          <t>US278642BB85</t>
        </is>
      </c>
      <c r="B320" s="30" t="inlineStr">
        <is>
          <t>E-commerce company providing C2C and B2C sales services via internet</t>
        </is>
      </c>
    </row>
    <row r="321">
      <c r="A321" s="30" t="inlineStr">
        <is>
          <t>XS2297197266</t>
        </is>
      </c>
      <c r="B321" s="30" t="inlineStr">
        <is>
          <t>Operates as a special purpose entity</t>
        </is>
      </c>
    </row>
    <row r="322">
      <c r="A322" s="30" t="inlineStr">
        <is>
          <t>US279158AT64</t>
        </is>
      </c>
      <c r="B322" s="30" t="inlineStr">
        <is>
          <t>Integrated oil company operates in Colombia</t>
        </is>
      </c>
    </row>
    <row r="323">
      <c r="A323" s="30" t="inlineStr">
        <is>
          <t>US279158AS81</t>
        </is>
      </c>
      <c r="B323" s="30" t="inlineStr">
        <is>
          <t>Integrated Oil company operates in Colombia</t>
        </is>
      </c>
    </row>
    <row r="324">
      <c r="A324" s="30" t="inlineStr">
        <is>
          <t>US279158AL39</t>
        </is>
      </c>
      <c r="B324" s="30" t="inlineStr">
        <is>
          <t>Integrated oil company operates in Colombia</t>
        </is>
      </c>
    </row>
    <row r="325">
      <c r="A325" s="30" t="inlineStr">
        <is>
          <t>XS2233217558</t>
        </is>
      </c>
      <c r="B325" s="30" t="inlineStr">
        <is>
          <t>Portugal's largest utility company</t>
        </is>
      </c>
    </row>
    <row r="326">
      <c r="A326" s="30" t="inlineStr">
        <is>
          <t>XS1846632104</t>
        </is>
      </c>
      <c r="B326" s="30" t="inlineStr">
        <is>
          <t>Portugal's largest utility company</t>
        </is>
      </c>
    </row>
    <row r="327">
      <c r="A327" s="30" t="inlineStr">
        <is>
          <t>XS2747766090</t>
        </is>
      </c>
      <c r="B327" s="30" t="inlineStr">
        <is>
          <t>Portugal's largest utility company</t>
        </is>
      </c>
    </row>
    <row r="328">
      <c r="A328" s="30" t="inlineStr">
        <is>
          <t>EU000A2SCAK5</t>
        </is>
      </c>
      <c r="B328" s="30" t="inlineStr">
        <is>
          <t>Doing business as EU Stabilization Fund</t>
        </is>
      </c>
    </row>
    <row r="329">
      <c r="A329" s="30" t="inlineStr">
        <is>
          <t>EU000A2SCAD0</t>
        </is>
      </c>
      <c r="B329" s="30" t="inlineStr">
        <is>
          <t>Doing business as EU Stabilization Fund</t>
        </is>
      </c>
    </row>
    <row r="330">
      <c r="A330" s="30" t="inlineStr">
        <is>
          <t>USP3631MAA38</t>
        </is>
      </c>
      <c r="B330" s="30" t="inlineStr">
        <is>
          <t>Utility holding company</t>
        </is>
      </c>
    </row>
    <row r="331">
      <c r="A331" s="30" t="inlineStr">
        <is>
          <t>USF29416AC23</t>
        </is>
      </c>
      <c r="B331" s="30" t="inlineStr">
        <is>
          <t>French utility company fully owned by the State</t>
        </is>
      </c>
    </row>
    <row r="332">
      <c r="A332" s="30" t="inlineStr">
        <is>
          <t>FR001400FDG9</t>
        </is>
      </c>
      <c r="B332" s="30" t="inlineStr">
        <is>
          <t xml:space="preserve">French utility company fully owned by the State </t>
        </is>
      </c>
    </row>
    <row r="333">
      <c r="A333" s="30" t="inlineStr">
        <is>
          <t>FR001400FDB0</t>
        </is>
      </c>
      <c r="B333" s="30" t="inlineStr">
        <is>
          <t>French utility company fully owned by the State</t>
        </is>
      </c>
    </row>
    <row r="334">
      <c r="A334" s="30" t="inlineStr">
        <is>
          <t>CH1291809916</t>
        </is>
      </c>
      <c r="B334" s="30" t="inlineStr">
        <is>
          <t>French utility company fully owned by the State</t>
        </is>
      </c>
    </row>
    <row r="335">
      <c r="A335" s="30" t="inlineStr">
        <is>
          <t>CH1291809908</t>
        </is>
      </c>
      <c r="B335" s="30" t="inlineStr">
        <is>
          <t>French utility company fully owned by the State</t>
        </is>
      </c>
    </row>
    <row r="336">
      <c r="A336" s="30" t="inlineStr">
        <is>
          <t>USF2893TAS53</t>
        </is>
      </c>
      <c r="B336" s="30" t="inlineStr">
        <is>
          <t>French utility company fully owned by the State</t>
        </is>
      </c>
    </row>
    <row r="337">
      <c r="A337" s="30" t="inlineStr">
        <is>
          <t>USF2893TAP15</t>
        </is>
      </c>
      <c r="B337" s="30" t="inlineStr">
        <is>
          <t>French utility company fully owned by the State</t>
        </is>
      </c>
    </row>
    <row r="338">
      <c r="A338" s="30" t="inlineStr">
        <is>
          <t>XS0162990229</t>
        </is>
      </c>
      <c r="B338" s="30" t="inlineStr">
        <is>
          <t>French utility company fully owned by the State</t>
        </is>
      </c>
    </row>
    <row r="339">
      <c r="A339" s="30" t="inlineStr">
        <is>
          <t>FR001400FDC8</t>
        </is>
      </c>
      <c r="B339" s="30" t="inlineStr">
        <is>
          <t>French utility company fully owned by the State</t>
        </is>
      </c>
    </row>
    <row r="340">
      <c r="A340" s="30" t="inlineStr">
        <is>
          <t>US532457CE69</t>
        </is>
      </c>
      <c r="B340" s="30" t="inlineStr">
        <is>
          <t>Develops and sells pharmaceutical products for humans and animals</t>
        </is>
      </c>
    </row>
    <row r="341">
      <c r="A341" s="30" t="inlineStr">
        <is>
          <t>US532457CF35</t>
        </is>
      </c>
      <c r="B341" s="30" t="inlineStr">
        <is>
          <t>Develops and sells pharmaceutical products for humans and animals</t>
        </is>
      </c>
    </row>
    <row r="342">
      <c r="A342" s="30" t="inlineStr">
        <is>
          <t>US532457CG18</t>
        </is>
      </c>
      <c r="B342" s="30" t="inlineStr">
        <is>
          <t>Develops and sells pharmaceutical products for humans and animals</t>
        </is>
      </c>
    </row>
    <row r="343">
      <c r="A343" s="30" t="inlineStr">
        <is>
          <t>XS2052469165</t>
        </is>
      </c>
      <c r="B343" s="30" t="inlineStr">
        <is>
          <t xml:space="preserve">Dubai partially state-owned property company </t>
        </is>
      </c>
    </row>
    <row r="344">
      <c r="A344" s="30" t="inlineStr">
        <is>
          <t>XS2356219084</t>
        </is>
      </c>
      <c r="B344" s="30" t="inlineStr">
        <is>
          <t xml:space="preserve">Dubai partially state-owned property company </t>
        </is>
      </c>
    </row>
    <row r="345">
      <c r="A345" s="30" t="inlineStr">
        <is>
          <t>XS2052469165</t>
        </is>
      </c>
      <c r="B345" s="30" t="inlineStr">
        <is>
          <t>Dubai property company with partial state ownership</t>
        </is>
      </c>
    </row>
    <row r="346">
      <c r="A346" s="30" t="inlineStr">
        <is>
          <t>XS2356219084</t>
        </is>
      </c>
      <c r="B346" s="30" t="inlineStr">
        <is>
          <t>Dubai property company with partial state ownership</t>
        </is>
      </c>
    </row>
    <row r="347">
      <c r="A347" s="30" t="inlineStr">
        <is>
          <t>USN29505AB53</t>
        </is>
      </c>
      <c r="B347" s="30" t="inlineStr">
        <is>
          <t>Leading manufacturer of regional jet airplanes</t>
        </is>
      </c>
    </row>
    <row r="348">
      <c r="A348" s="30" t="inlineStr">
        <is>
          <t>US29082HAB87</t>
        </is>
      </c>
      <c r="B348" s="30" t="inlineStr">
        <is>
          <t>Leading manufacturer of regional jet airplanes</t>
        </is>
      </c>
    </row>
    <row r="349">
      <c r="A349" s="30" t="inlineStr">
        <is>
          <t>USN29505AA70</t>
        </is>
      </c>
      <c r="B349" s="30" t="inlineStr">
        <is>
          <t>Leading manufacturer of regional jet airplanes</t>
        </is>
      </c>
    </row>
    <row r="350">
      <c r="A350" s="30" t="inlineStr">
        <is>
          <t>XS2352309681</t>
        </is>
      </c>
      <c r="B350" s="30" t="inlineStr">
        <is>
          <t>State-owned bank to support economic development</t>
        </is>
      </c>
    </row>
    <row r="351">
      <c r="A351" s="30" t="inlineStr">
        <is>
          <t>XS2339427820</t>
        </is>
      </c>
      <c r="B351" s="30" t="inlineStr">
        <is>
          <t>UAE partially state-owned telecom</t>
        </is>
      </c>
    </row>
    <row r="352">
      <c r="A352" s="30" t="inlineStr">
        <is>
          <t>USP3713CAB48</t>
        </is>
      </c>
      <c r="B352" s="30" t="inlineStr">
        <is>
          <t xml:space="preserve">Utility company </t>
        </is>
      </c>
    </row>
    <row r="353">
      <c r="A353" s="30" t="inlineStr">
        <is>
          <t>USP37110AK24</t>
        </is>
      </c>
      <c r="B353" s="30" t="inlineStr">
        <is>
          <t xml:space="preserve">State-owned energy company </t>
        </is>
      </c>
    </row>
    <row r="354">
      <c r="A354" s="30" t="inlineStr">
        <is>
          <t>US29250NBR52</t>
        </is>
      </c>
      <c r="B354" s="30" t="inlineStr">
        <is>
          <t>One of the largest owners of crude oil infrastructure in North America</t>
        </is>
      </c>
    </row>
    <row r="355">
      <c r="A355" s="30" t="inlineStr">
        <is>
          <t>USN30707AN87</t>
        </is>
      </c>
      <c r="B355" s="30" t="inlineStr">
        <is>
          <t xml:space="preserve">Italian utility company </t>
        </is>
      </c>
    </row>
    <row r="356">
      <c r="A356" s="30" t="inlineStr">
        <is>
          <t>XS2589260723</t>
        </is>
      </c>
      <c r="B356" s="30" t="inlineStr">
        <is>
          <t>Italian utility company</t>
        </is>
      </c>
    </row>
    <row r="357">
      <c r="A357" s="30" t="inlineStr">
        <is>
          <t>XS2353182293</t>
        </is>
      </c>
      <c r="B357" s="30" t="inlineStr">
        <is>
          <t xml:space="preserve">Italian utility company </t>
        </is>
      </c>
    </row>
    <row r="358">
      <c r="A358" s="30" t="inlineStr">
        <is>
          <t>XS2390400716</t>
        </is>
      </c>
      <c r="B358" s="30" t="inlineStr">
        <is>
          <t xml:space="preserve">Italian utility company </t>
        </is>
      </c>
    </row>
    <row r="359">
      <c r="A359" s="30" t="inlineStr">
        <is>
          <t>XS2390400807</t>
        </is>
      </c>
      <c r="B359" s="30" t="inlineStr">
        <is>
          <t xml:space="preserve">Italian utility company </t>
        </is>
      </c>
    </row>
    <row r="360">
      <c r="A360" s="30" t="inlineStr">
        <is>
          <t>XS2390400633</t>
        </is>
      </c>
      <c r="B360" s="30" t="inlineStr">
        <is>
          <t xml:space="preserve">Italian utility company </t>
        </is>
      </c>
    </row>
    <row r="361">
      <c r="A361" s="30" t="inlineStr">
        <is>
          <t>XS1575640054</t>
        </is>
      </c>
      <c r="B361" s="30" t="inlineStr">
        <is>
          <t xml:space="preserve">Electricity and heat provider </t>
        </is>
      </c>
    </row>
    <row r="362">
      <c r="A362" s="30" t="inlineStr">
        <is>
          <t>USG3040LAA01</t>
        </is>
      </c>
      <c r="B362" s="30" t="inlineStr">
        <is>
          <t>Utility company</t>
        </is>
      </c>
    </row>
    <row r="363">
      <c r="A363" s="30" t="inlineStr">
        <is>
          <t>FR0010680041</t>
        </is>
      </c>
      <c r="B363" s="30" t="inlineStr">
        <is>
          <t>French utility company specialised in renewables</t>
        </is>
      </c>
    </row>
    <row r="364">
      <c r="A364" s="30" t="inlineStr">
        <is>
          <t>FR001400H1V0</t>
        </is>
      </c>
      <c r="B364" s="30" t="inlineStr">
        <is>
          <t>French utility company specialised in renewables</t>
        </is>
      </c>
    </row>
    <row r="365">
      <c r="A365" s="30" t="inlineStr">
        <is>
          <t>FR001400KHF2</t>
        </is>
      </c>
      <c r="B365" s="30" t="inlineStr">
        <is>
          <t>French utility company specialised in renewables</t>
        </is>
      </c>
    </row>
    <row r="366">
      <c r="A366" s="30" t="inlineStr">
        <is>
          <t>FR001400A1H6</t>
        </is>
      </c>
      <c r="B366" s="30" t="inlineStr">
        <is>
          <t>French utility company specialised in renewables</t>
        </is>
      </c>
    </row>
    <row r="367">
      <c r="A367" s="30" t="inlineStr">
        <is>
          <t>FR001400KHH8</t>
        </is>
      </c>
      <c r="B367" s="30" t="inlineStr">
        <is>
          <t xml:space="preserve">French utility company specialised in renewables </t>
        </is>
      </c>
    </row>
    <row r="368">
      <c r="A368" s="30" t="inlineStr">
        <is>
          <t>FR001400KHI6</t>
        </is>
      </c>
      <c r="B368" s="30" t="inlineStr">
        <is>
          <t xml:space="preserve">French utility company specialised in renewables </t>
        </is>
      </c>
    </row>
    <row r="369">
      <c r="A369" s="30" t="inlineStr">
        <is>
          <t>XS2107315470</t>
        </is>
      </c>
      <c r="B369" s="30" t="inlineStr">
        <is>
          <t>Explores for and produces hydrocarbons in Italy, Africa, the North Sea</t>
        </is>
      </c>
    </row>
    <row r="370">
      <c r="A370" s="30" t="inlineStr">
        <is>
          <t>US29390XAA28</t>
        </is>
      </c>
      <c r="B370" s="30" t="inlineStr">
        <is>
          <t>Owns and operates data centres</t>
        </is>
      </c>
    </row>
    <row r="371">
      <c r="A371" s="30" t="inlineStr">
        <is>
          <t>XS0092541969</t>
        </is>
      </c>
      <c r="B371" s="30" t="inlineStr">
        <is>
          <t>The company operates as an energy company</t>
        </is>
      </c>
    </row>
    <row r="372">
      <c r="A372" s="30" t="inlineStr">
        <is>
          <t>FR001400HZE3</t>
        </is>
      </c>
      <c r="B372" s="30" t="inlineStr">
        <is>
          <t>Partially state-owned mining company in manganese, nickel, and special steels.</t>
        </is>
      </c>
    </row>
    <row r="373">
      <c r="A373" s="30" t="inlineStr">
        <is>
          <t>FR001400QC85</t>
        </is>
      </c>
      <c r="B373" s="30" t="inlineStr">
        <is>
          <t>Partially state-owned mining company in manganese, nickel, and special steels.</t>
        </is>
      </c>
    </row>
    <row r="374">
      <c r="A374" s="30" t="inlineStr">
        <is>
          <t>EU000A1U9894</t>
        </is>
      </c>
      <c r="B374" s="30" t="inlineStr">
        <is>
          <t>Operates as an intergovernmental organization</t>
        </is>
      </c>
    </row>
    <row r="375">
      <c r="A375" s="30" t="inlineStr">
        <is>
          <t>CH0025185676</t>
        </is>
      </c>
      <c r="B375" s="30" t="inlineStr">
        <is>
          <t>Provides financing services for railways industries</t>
        </is>
      </c>
    </row>
    <row r="376">
      <c r="A376" s="30" t="inlineStr">
        <is>
          <t>XS2491664137</t>
        </is>
      </c>
      <c r="B376" s="30" t="inlineStr">
        <is>
          <t>Eurofins Scientific SE offers laboratory safety and purity analysis</t>
        </is>
      </c>
    </row>
    <row r="377">
      <c r="A377" s="30" t="inlineStr">
        <is>
          <t>US29874QEX88</t>
        </is>
      </c>
      <c r="B377" s="30" t="inlineStr">
        <is>
          <t>A multilateral development financial instiution</t>
        </is>
      </c>
    </row>
    <row r="378">
      <c r="A378" s="30" t="inlineStr">
        <is>
          <t>US298785JW79</t>
        </is>
      </c>
      <c r="B378" s="30" t="inlineStr">
        <is>
          <t>Largest multilateral development bank serving clients throughout Europe</t>
        </is>
      </c>
    </row>
    <row r="379">
      <c r="A379" s="30" t="inlineStr">
        <is>
          <t>XS0768478868</t>
        </is>
      </c>
      <c r="B379" s="30" t="inlineStr">
        <is>
          <t>Largest multilateral development bank serving clients throughout Europe</t>
        </is>
      </c>
    </row>
    <row r="380">
      <c r="A380" s="30" t="inlineStr">
        <is>
          <t>US298785JS67</t>
        </is>
      </c>
      <c r="B380" s="30" t="inlineStr">
        <is>
          <t>Largest multilateral development bank serving clients throughout Europe</t>
        </is>
      </c>
    </row>
    <row r="381">
      <c r="A381" s="30" t="inlineStr">
        <is>
          <t>US298785JV96</t>
        </is>
      </c>
      <c r="B381" s="30" t="inlineStr">
        <is>
          <t>Largest multilateral development bank serving clients throughout Europe</t>
        </is>
      </c>
    </row>
    <row r="382">
      <c r="A382" s="30" t="inlineStr">
        <is>
          <t>XS2036242803</t>
        </is>
      </c>
      <c r="B382" s="30" t="inlineStr">
        <is>
          <t>Largest multilateral development bank serving clients throughout Europe</t>
        </is>
      </c>
    </row>
    <row r="383">
      <c r="A383" s="30" t="inlineStr">
        <is>
          <t>XS1805260483</t>
        </is>
      </c>
      <c r="B383" s="30" t="inlineStr">
        <is>
          <t>Largest multilateral development bank serving clients throughout Europe</t>
        </is>
      </c>
    </row>
    <row r="384">
      <c r="A384" s="30" t="inlineStr">
        <is>
          <t>XS1490724975</t>
        </is>
      </c>
      <c r="B384" s="30" t="inlineStr">
        <is>
          <t>Largest multilateral development bank serving clients throughout Europe</t>
        </is>
      </c>
    </row>
    <row r="385">
      <c r="A385" s="30" t="inlineStr">
        <is>
          <t>XS1791485011</t>
        </is>
      </c>
      <c r="B385" s="30" t="inlineStr">
        <is>
          <t>Largest multilateral development bank serving clients throughout Europe</t>
        </is>
      </c>
    </row>
    <row r="386">
      <c r="A386" s="30" t="inlineStr">
        <is>
          <t>XS2194790262</t>
        </is>
      </c>
      <c r="B386" s="30" t="inlineStr">
        <is>
          <t>Largest multilateral development bank serving clients throughout Europe</t>
        </is>
      </c>
    </row>
    <row r="387">
      <c r="A387" s="30" t="inlineStr">
        <is>
          <t>EU000A3K4D41</t>
        </is>
      </c>
      <c r="B387" s="30" t="inlineStr">
        <is>
          <t>An economic and political partnership between democratic European Countries</t>
        </is>
      </c>
    </row>
    <row r="388">
      <c r="A388" s="30" t="inlineStr">
        <is>
          <t>EU000A3K4DD8</t>
        </is>
      </c>
      <c r="B388" s="30" t="inlineStr">
        <is>
          <t>An economic and political partnership between democratic european countries</t>
        </is>
      </c>
    </row>
    <row r="389">
      <c r="A389" s="30" t="inlineStr">
        <is>
          <t>EU000A3K4D41</t>
        </is>
      </c>
      <c r="B389" s="30" t="inlineStr">
        <is>
          <t>An economic and political partnership between democratic european countries</t>
        </is>
      </c>
    </row>
    <row r="390">
      <c r="A390" s="30" t="inlineStr">
        <is>
          <t>EU000A3KTGV8</t>
        </is>
      </c>
      <c r="B390" s="30" t="inlineStr">
        <is>
          <t>An economic and political partnership between democratic european countries</t>
        </is>
      </c>
    </row>
    <row r="391">
      <c r="A391" s="30" t="inlineStr">
        <is>
          <t>EU000A3K4DS6</t>
        </is>
      </c>
      <c r="B391" s="30" t="inlineStr">
        <is>
          <t>An economic and political partnership between democratic european countries</t>
        </is>
      </c>
    </row>
    <row r="392">
      <c r="A392" s="30" t="inlineStr">
        <is>
          <t>XS2159887590</t>
        </is>
      </c>
      <c r="B392" s="30" t="inlineStr">
        <is>
          <t>Diversified holding company</t>
        </is>
      </c>
    </row>
    <row r="393">
      <c r="A393" s="30" t="inlineStr">
        <is>
          <t>XS1959338630</t>
        </is>
      </c>
      <c r="B393" s="30" t="inlineStr">
        <is>
          <t>Canada's official export credit agency</t>
        </is>
      </c>
    </row>
    <row r="394">
      <c r="A394" s="30" t="inlineStr">
        <is>
          <t>US30216BJU70</t>
        </is>
      </c>
      <c r="B394" s="30" t="inlineStr">
        <is>
          <t>Export Credit Agency</t>
        </is>
      </c>
    </row>
    <row r="395">
      <c r="A395" s="30" t="inlineStr">
        <is>
          <t>US30216BJW37</t>
        </is>
      </c>
      <c r="B395" s="30" t="inlineStr">
        <is>
          <t>Export Credit Agency</t>
        </is>
      </c>
    </row>
    <row r="396">
      <c r="A396" s="30" t="inlineStr">
        <is>
          <t>XS2579195954</t>
        </is>
      </c>
      <c r="B396" s="30" t="inlineStr">
        <is>
          <t>Export credit agency</t>
        </is>
      </c>
    </row>
    <row r="397">
      <c r="A397" s="30" t="inlineStr">
        <is>
          <t>XS1959338630</t>
        </is>
      </c>
      <c r="B397" s="30" t="inlineStr">
        <is>
          <t>Export credit agency</t>
        </is>
      </c>
    </row>
    <row r="398">
      <c r="A398" s="30" t="inlineStr">
        <is>
          <t>US30217G2C30</t>
        </is>
      </c>
      <c r="B398" s="30" t="inlineStr">
        <is>
          <t>Korean export credit agency</t>
        </is>
      </c>
    </row>
    <row r="399">
      <c r="A399" s="30" t="inlineStr">
        <is>
          <t>US30216KAA07</t>
        </is>
      </c>
      <c r="B399" s="30" t="inlineStr">
        <is>
          <t>Operates as a bank to exporters and importers, 100% state-owned</t>
        </is>
      </c>
    </row>
    <row r="400">
      <c r="A400" s="30" t="inlineStr">
        <is>
          <t>US30216KAC62</t>
        </is>
      </c>
      <c r="B400" s="30" t="inlineStr">
        <is>
          <t>Operates as a bank to exporters and importers, 100% state-owned</t>
        </is>
      </c>
    </row>
    <row r="401">
      <c r="A401" s="30" t="inlineStr">
        <is>
          <t>US30216KAE29</t>
        </is>
      </c>
      <c r="B401" s="30" t="inlineStr">
        <is>
          <t>Operates as a bank to exporters and importers, 100% state-owned</t>
        </is>
      </c>
    </row>
    <row r="402">
      <c r="A402" s="30" t="inlineStr">
        <is>
          <t>US30216KAF93</t>
        </is>
      </c>
      <c r="B402" s="30" t="inlineStr">
        <is>
          <t>Operates as a bank to exporters and importers, 100% state-owned</t>
        </is>
      </c>
    </row>
    <row r="403">
      <c r="A403" s="30" t="inlineStr">
        <is>
          <t>US30216KAG76</t>
        </is>
      </c>
      <c r="B403" s="30" t="inlineStr">
        <is>
          <t>Operates as a bank to exporters and importers, 100% state-owned</t>
        </is>
      </c>
    </row>
    <row r="404">
      <c r="A404" s="30" t="inlineStr">
        <is>
          <t>XS2576361195</t>
        </is>
      </c>
      <c r="B404" s="30" t="inlineStr">
        <is>
          <t>Biggest bank in the UAE and 2nd in the Gulf Cooperation Council</t>
        </is>
      </c>
    </row>
    <row r="405">
      <c r="A405" s="30" t="inlineStr">
        <is>
          <t>XS2747271018</t>
        </is>
      </c>
      <c r="B405" s="30" t="inlineStr">
        <is>
          <t>Biggest bank in the UAE and 2nd in the Gulf Cooperation Council</t>
        </is>
      </c>
    </row>
    <row r="406">
      <c r="A406" s="30" t="inlineStr">
        <is>
          <t>US105756BV13</t>
        </is>
      </c>
      <c r="B406" s="30" t="inlineStr">
        <is>
          <t>Brazilian Governemnt</t>
        </is>
      </c>
    </row>
    <row r="407">
      <c r="A407" s="30" t="inlineStr">
        <is>
          <t>US105756BX78</t>
        </is>
      </c>
      <c r="B407" s="30" t="inlineStr">
        <is>
          <t>Brazilian Governemnt</t>
        </is>
      </c>
    </row>
    <row r="408">
      <c r="A408" s="30" t="inlineStr">
        <is>
          <t>US105756AE07</t>
        </is>
      </c>
      <c r="B408" s="30" t="inlineStr">
        <is>
          <t>Brazilian Governemnt</t>
        </is>
      </c>
    </row>
    <row r="409">
      <c r="A409" s="30" t="inlineStr">
        <is>
          <t>US105756BZ27</t>
        </is>
      </c>
      <c r="B409" s="30" t="inlineStr">
        <is>
          <t>Brazilian Governemnt</t>
        </is>
      </c>
    </row>
    <row r="410">
      <c r="A410" s="30" t="inlineStr">
        <is>
          <t>US105756BB58</t>
        </is>
      </c>
      <c r="B410" s="30" t="inlineStr">
        <is>
          <t>Brazilian Governemnt</t>
        </is>
      </c>
    </row>
    <row r="411">
      <c r="A411" s="30" t="inlineStr">
        <is>
          <t>US105756BK57</t>
        </is>
      </c>
      <c r="B411" s="30" t="inlineStr">
        <is>
          <t>Brazilian Governemnt</t>
        </is>
      </c>
    </row>
    <row r="412">
      <c r="A412" s="30" t="inlineStr">
        <is>
          <t>US105756BW95</t>
        </is>
      </c>
      <c r="B412" s="30" t="inlineStr">
        <is>
          <t>Brazilian Governemnt</t>
        </is>
      </c>
    </row>
    <row r="413">
      <c r="A413" s="30" t="inlineStr">
        <is>
          <t>XS2824763044</t>
        </is>
      </c>
      <c r="B413" s="30" t="inlineStr">
        <is>
          <t>Luxury sports car manufacturer</t>
        </is>
      </c>
    </row>
    <row r="414">
      <c r="A414" s="30" t="inlineStr">
        <is>
          <t>XS2587708624</t>
        </is>
      </c>
      <c r="B414" s="30" t="inlineStr">
        <is>
          <t xml:space="preserve">Provides rail transportation, catering and tourism services </t>
        </is>
      </c>
    </row>
    <row r="415">
      <c r="A415" s="30" t="inlineStr">
        <is>
          <t>FI4000557525</t>
        </is>
      </c>
      <c r="B415" s="30" t="inlineStr">
        <is>
          <t>Finland Government bond</t>
        </is>
      </c>
    </row>
    <row r="416">
      <c r="A416" s="30" t="inlineStr">
        <is>
          <t>FI4000415153</t>
        </is>
      </c>
      <c r="B416" s="30" t="inlineStr">
        <is>
          <t>Finland Government bond</t>
        </is>
      </c>
    </row>
    <row r="417">
      <c r="A417" s="30" t="inlineStr">
        <is>
          <t>FI4000571104</t>
        </is>
      </c>
      <c r="B417" s="30" t="inlineStr">
        <is>
          <t>Finland Government bond</t>
        </is>
      </c>
    </row>
    <row r="418">
      <c r="A418" s="30" t="inlineStr">
        <is>
          <t>XS1392927072</t>
        </is>
      </c>
      <c r="B418" s="30" t="inlineStr">
        <is>
          <t>Finnish government insitution that provides financing for SMEs</t>
        </is>
      </c>
    </row>
    <row r="419">
      <c r="A419" s="30" t="inlineStr">
        <is>
          <t>XS1392927072</t>
        </is>
      </c>
      <c r="B419" s="30" t="inlineStr">
        <is>
          <t>Operates as a financing company</t>
        </is>
      </c>
    </row>
    <row r="420">
      <c r="A420" s="30" t="inlineStr">
        <is>
          <t>XS1979447064</t>
        </is>
      </c>
      <c r="B420" s="30" t="inlineStr">
        <is>
          <t>Operates as a financing company</t>
        </is>
      </c>
    </row>
    <row r="421">
      <c r="A421" s="30" t="inlineStr">
        <is>
          <t>XS2466186074</t>
        </is>
      </c>
      <c r="B421" s="30" t="inlineStr">
        <is>
          <t>Biggest bank in the UAE and 2nd in the Gulf Cooperation Council</t>
        </is>
      </c>
    </row>
    <row r="422">
      <c r="A422" s="30" t="inlineStr">
        <is>
          <t>XS2765576538</t>
        </is>
      </c>
      <c r="B422" s="30" t="inlineStr">
        <is>
          <t>Biggest bank in the UAE and 2nd in the Gulf Cooperation Council</t>
        </is>
      </c>
    </row>
    <row r="423">
      <c r="A423" s="30" t="inlineStr">
        <is>
          <t>CH1145096181</t>
        </is>
      </c>
      <c r="B423" s="30" t="inlineStr">
        <is>
          <t>United Arab Emirates Bank</t>
        </is>
      </c>
    </row>
    <row r="424">
      <c r="A424" s="30" t="inlineStr">
        <is>
          <t>USQ3919KAN11</t>
        </is>
      </c>
      <c r="B424" s="30" t="inlineStr">
        <is>
          <t xml:space="preserve">Iron ore producer and explorer operating in the Western Australia. </t>
        </is>
      </c>
    </row>
    <row r="425">
      <c r="A425" s="30" t="inlineStr">
        <is>
          <t>CH1344316711</t>
        </is>
      </c>
      <c r="B425" s="30" t="inlineStr">
        <is>
          <t xml:space="preserve">Development bank of Argentina, Brazil, Bolivia, Paraguay and Uruguay </t>
        </is>
      </c>
    </row>
    <row r="426">
      <c r="A426" s="30" t="inlineStr">
        <is>
          <t>US345397C270</t>
        </is>
      </c>
      <c r="B426" s="30" t="inlineStr">
        <is>
          <t>Global automotive manufacturer</t>
        </is>
      </c>
    </row>
    <row r="427">
      <c r="A427" s="30" t="inlineStr">
        <is>
          <t>US345397E250</t>
        </is>
      </c>
      <c r="B427" s="30" t="inlineStr">
        <is>
          <t>Global automotive manufacturer</t>
        </is>
      </c>
    </row>
    <row r="428">
      <c r="A428" s="30" t="inlineStr">
        <is>
          <t>XS1959498244</t>
        </is>
      </c>
      <c r="B428" s="30" t="inlineStr">
        <is>
          <t>Global automotive manufacturer</t>
        </is>
      </c>
    </row>
    <row r="429">
      <c r="A429" s="30" t="inlineStr">
        <is>
          <t>XS2116728895</t>
        </is>
      </c>
      <c r="B429" s="30" t="inlineStr">
        <is>
          <t>Global automotive manufacturer</t>
        </is>
      </c>
    </row>
    <row r="430">
      <c r="A430" s="30" t="inlineStr">
        <is>
          <t>XS2229875989</t>
        </is>
      </c>
      <c r="B430" s="30" t="inlineStr">
        <is>
          <t>Global automotive manufacturer</t>
        </is>
      </c>
    </row>
    <row r="431">
      <c r="A431" s="30" t="inlineStr">
        <is>
          <t>XS2724457457</t>
        </is>
      </c>
      <c r="B431" s="30" t="inlineStr">
        <is>
          <t>Global automotive manufacturer</t>
        </is>
      </c>
    </row>
    <row r="432">
      <c r="A432" s="30" t="inlineStr">
        <is>
          <t>XS2767246908</t>
        </is>
      </c>
      <c r="B432" s="30" t="inlineStr">
        <is>
          <t>Global automotive manufacturer</t>
        </is>
      </c>
    </row>
    <row r="433">
      <c r="A433" s="30" t="inlineStr">
        <is>
          <t>XS2782775345</t>
        </is>
      </c>
      <c r="B433" s="30" t="inlineStr">
        <is>
          <t>Auto supplier JV between Ford and Koc Holding</t>
        </is>
      </c>
    </row>
    <row r="434">
      <c r="A434" s="30" t="inlineStr">
        <is>
          <t>XS1956037664</t>
        </is>
      </c>
      <c r="B434" s="30" t="inlineStr">
        <is>
          <t>Finnish provider of energy related products and services</t>
        </is>
      </c>
    </row>
    <row r="435">
      <c r="A435" s="30" t="inlineStr">
        <is>
          <t>XS2405483301</t>
        </is>
      </c>
      <c r="B435" s="30" t="inlineStr">
        <is>
          <t>Global automotive part manufacturer</t>
        </is>
      </c>
    </row>
    <row r="436">
      <c r="A436" s="30" t="inlineStr">
        <is>
          <t>XS2081474046</t>
        </is>
      </c>
      <c r="B436" s="30" t="inlineStr">
        <is>
          <t>Global automotive part manufacturer</t>
        </is>
      </c>
    </row>
    <row r="437">
      <c r="A437" s="30" t="inlineStr">
        <is>
          <t>FR001400H7V7</t>
        </is>
      </c>
      <c r="B437" s="30" t="inlineStr">
        <is>
          <t>France governemnt bond</t>
        </is>
      </c>
    </row>
    <row r="438">
      <c r="A438" s="30" t="inlineStr">
        <is>
          <t>XS1854532949</t>
        </is>
      </c>
      <c r="B438" s="30" t="inlineStr">
        <is>
          <t>Leading Healthcare company in dialysis</t>
        </is>
      </c>
    </row>
    <row r="439">
      <c r="A439" s="30" t="inlineStr">
        <is>
          <t>XS2482872251</t>
        </is>
      </c>
      <c r="B439" s="30" t="inlineStr">
        <is>
          <t>One of the world's leading healthcare companies</t>
        </is>
      </c>
    </row>
    <row r="440">
      <c r="A440" s="30" t="inlineStr">
        <is>
          <t>XS2329602135</t>
        </is>
      </c>
      <c r="B440" s="30" t="inlineStr">
        <is>
          <t>Offers airport services, flights, cargo handling, and other related services</t>
        </is>
      </c>
    </row>
    <row r="441">
      <c r="A441" s="30" t="inlineStr">
        <is>
          <t>XS1047788523</t>
        </is>
      </c>
      <c r="B441" s="30" t="inlineStr">
        <is>
          <t>Second largest airport in the UK</t>
        </is>
      </c>
    </row>
    <row r="442">
      <c r="A442" s="30" t="inlineStr">
        <is>
          <t>US37045XCD66</t>
        </is>
      </c>
      <c r="B442" s="30" t="inlineStr">
        <is>
          <t>World's third largest automaker owning Chevrolet, Buick and Cadillac</t>
        </is>
      </c>
    </row>
    <row r="443">
      <c r="A443" s="30" t="inlineStr">
        <is>
          <t>US37045XEB82</t>
        </is>
      </c>
      <c r="B443" s="30" t="inlineStr">
        <is>
          <t>World's third largest automaker owning Chevrolet, Buick and Cadillac</t>
        </is>
      </c>
    </row>
    <row r="444">
      <c r="A444" s="30" t="inlineStr">
        <is>
          <t>US37045XED49</t>
        </is>
      </c>
      <c r="B444" s="30" t="inlineStr">
        <is>
          <t>World's third largest automaker owning Chevrolet, Buick and Cadillac</t>
        </is>
      </c>
    </row>
    <row r="445">
      <c r="A445" s="30" t="inlineStr">
        <is>
          <t>XS2049548527</t>
        </is>
      </c>
      <c r="B445" s="30" t="inlineStr">
        <is>
          <t>World's third largest automaker owning Chevrolet, Buick and Cadillac</t>
        </is>
      </c>
    </row>
    <row r="446">
      <c r="A446" s="30" t="inlineStr">
        <is>
          <t>XS2384288747</t>
        </is>
      </c>
      <c r="B446" s="30" t="inlineStr">
        <is>
          <t>World's third largest automaker owning Chevrolet, Buick and Cadillac</t>
        </is>
      </c>
    </row>
    <row r="447">
      <c r="A447" s="30" t="inlineStr">
        <is>
          <t>XS1792505866</t>
        </is>
      </c>
      <c r="B447" s="30" t="inlineStr">
        <is>
          <t>World's third largest automaker owning Chevrolet, Buick and Cadillac</t>
        </is>
      </c>
    </row>
    <row r="448">
      <c r="A448" s="30" t="inlineStr">
        <is>
          <t>XS2384274366</t>
        </is>
      </c>
      <c r="B448" s="30" t="inlineStr">
        <is>
          <t>World's third largest automaker owning Chevrolet, Buick and Cadillac</t>
        </is>
      </c>
    </row>
    <row r="449">
      <c r="A449" s="30" t="inlineStr">
        <is>
          <t>USG3925DAD24</t>
        </is>
      </c>
      <c r="B449" s="30" t="inlineStr">
        <is>
          <t>Leading producer of steel in the Americas</t>
        </is>
      </c>
    </row>
    <row r="450">
      <c r="A450" s="30" t="inlineStr">
        <is>
          <t>XS1814065345</t>
        </is>
      </c>
      <c r="B450" s="30" t="inlineStr">
        <is>
          <t>Global automotive manufacturer</t>
        </is>
      </c>
    </row>
    <row r="451">
      <c r="A451" s="30" t="inlineStr">
        <is>
          <t>US655422AV53</t>
        </is>
      </c>
      <c r="B451" s="30" t="inlineStr">
        <is>
          <t>Diversified natural resources company</t>
        </is>
      </c>
    </row>
    <row r="452">
      <c r="A452" s="30" t="inlineStr">
        <is>
          <t>XS2811096267</t>
        </is>
      </c>
      <c r="B452" s="30" t="inlineStr">
        <is>
          <t>Diversified natural resources company</t>
        </is>
      </c>
    </row>
    <row r="453">
      <c r="A453" s="30" t="inlineStr">
        <is>
          <t>XS1968703345</t>
        </is>
      </c>
      <c r="B453" s="30" t="inlineStr">
        <is>
          <t>Leading diversified natural resources group</t>
        </is>
      </c>
    </row>
    <row r="454">
      <c r="A454" s="30" t="inlineStr">
        <is>
          <t>CH0435590390</t>
        </is>
      </c>
      <c r="B454" s="30" t="inlineStr">
        <is>
          <t>Leading diversified natural resources group</t>
        </is>
      </c>
    </row>
    <row r="455">
      <c r="A455" s="30" t="inlineStr">
        <is>
          <t>XS1202849086</t>
        </is>
      </c>
      <c r="B455" s="30" t="inlineStr">
        <is>
          <t>Leading diversified natural resources group</t>
        </is>
      </c>
    </row>
    <row r="456">
      <c r="A456" s="30" t="inlineStr">
        <is>
          <t>USU37818BC10</t>
        </is>
      </c>
      <c r="B456" s="30" t="inlineStr">
        <is>
          <t>Diversified natural resources company</t>
        </is>
      </c>
    </row>
    <row r="457">
      <c r="A457" s="30" t="inlineStr">
        <is>
          <t>USU37818BD92</t>
        </is>
      </c>
      <c r="B457" s="30" t="inlineStr">
        <is>
          <t>Diversified natural resources company</t>
        </is>
      </c>
    </row>
    <row r="458">
      <c r="A458" s="30" t="inlineStr">
        <is>
          <t>USP47777AC43</t>
        </is>
      </c>
      <c r="B458" s="30" t="inlineStr">
        <is>
          <t>Operates as an investment company</t>
        </is>
      </c>
    </row>
    <row r="459">
      <c r="A459" s="30" t="inlineStr">
        <is>
          <t>USP47777AA86</t>
        </is>
      </c>
      <c r="B459" s="30" t="inlineStr">
        <is>
          <t>Operates as an investment company</t>
        </is>
      </c>
    </row>
    <row r="460">
      <c r="A460" s="30" t="inlineStr">
        <is>
          <t>US38141GZV93</t>
        </is>
      </c>
      <c r="B460" s="30" t="inlineStr">
        <is>
          <t>One of the largest US investment banks</t>
        </is>
      </c>
    </row>
    <row r="461">
      <c r="A461" s="30" t="inlineStr">
        <is>
          <t>XS2473721210</t>
        </is>
      </c>
      <c r="B461" s="30" t="inlineStr">
        <is>
          <t>One of the largest US investment banks</t>
        </is>
      </c>
    </row>
    <row r="462">
      <c r="A462" s="30" t="inlineStr">
        <is>
          <t>XS2441552192</t>
        </is>
      </c>
      <c r="B462" s="30" t="inlineStr">
        <is>
          <t>One of the largest US investment banks</t>
        </is>
      </c>
    </row>
    <row r="463">
      <c r="A463" s="30" t="inlineStr">
        <is>
          <t>US38141GZU11</t>
        </is>
      </c>
      <c r="B463" s="30" t="inlineStr">
        <is>
          <t>One of the largest US investment banks</t>
        </is>
      </c>
    </row>
    <row r="464">
      <c r="A464" s="30" t="inlineStr">
        <is>
          <t>US38141GYN86</t>
        </is>
      </c>
      <c r="B464" s="30" t="inlineStr">
        <is>
          <t>One of the largest US investment banks</t>
        </is>
      </c>
    </row>
    <row r="465">
      <c r="A465" s="30" t="inlineStr">
        <is>
          <t>CH0379268672</t>
        </is>
      </c>
      <c r="B465" s="30" t="inlineStr">
        <is>
          <t>One of the largest US investment banks</t>
        </is>
      </c>
    </row>
    <row r="466">
      <c r="A466" s="30" t="inlineStr">
        <is>
          <t>US382550BN08</t>
        </is>
      </c>
      <c r="B466" s="30" t="inlineStr">
        <is>
          <t>Develops, distributes and sells tires</t>
        </is>
      </c>
    </row>
    <row r="467">
      <c r="A467" s="30" t="inlineStr">
        <is>
          <t>CH1251998220</t>
        </is>
      </c>
      <c r="B467" s="30" t="inlineStr">
        <is>
          <t>provides hydroelectric power generation services through several dams in Switzerland</t>
        </is>
      </c>
    </row>
    <row r="468">
      <c r="A468" s="30" t="inlineStr">
        <is>
          <t>USN3700LAD75</t>
        </is>
      </c>
      <c r="B468" s="30" t="inlineStr">
        <is>
          <t xml:space="preserve">renewable energy company </t>
        </is>
      </c>
    </row>
    <row r="469">
      <c r="A469" s="30" t="inlineStr">
        <is>
          <t>USV3855MAA54</t>
        </is>
      </c>
      <c r="B469" s="30" t="inlineStr">
        <is>
          <t xml:space="preserve">renewable energy company </t>
        </is>
      </c>
    </row>
    <row r="470">
      <c r="A470" s="30" t="inlineStr">
        <is>
          <t>USV3855GAB69</t>
        </is>
      </c>
      <c r="B470" s="30" t="inlineStr">
        <is>
          <t xml:space="preserve">renewable energy company </t>
        </is>
      </c>
    </row>
    <row r="471">
      <c r="A471" s="30" t="inlineStr">
        <is>
          <t>FR0013430840</t>
        </is>
      </c>
      <c r="B471" s="30" t="inlineStr">
        <is>
          <t>UMG Groupe VYV provides managed care services</t>
        </is>
      </c>
    </row>
    <row r="472">
      <c r="A472" s="30" t="inlineStr">
        <is>
          <t>USP4955MAA91</t>
        </is>
      </c>
      <c r="B472" s="30" t="inlineStr">
        <is>
          <t xml:space="preserve">Non-food retailer </t>
        </is>
      </c>
    </row>
    <row r="473">
      <c r="A473" s="30" t="inlineStr">
        <is>
          <t>USG2440JAG07</t>
        </is>
      </c>
      <c r="B473" s="30" t="inlineStr">
        <is>
          <t>Leading producer of steel in the Americas</t>
        </is>
      </c>
    </row>
    <row r="474">
      <c r="A474" s="30" t="inlineStr">
        <is>
          <t>US406216BG59</t>
        </is>
      </c>
      <c r="B474" s="30" t="inlineStr">
        <is>
          <t>One of the larstest oil field services companies</t>
        </is>
      </c>
    </row>
    <row r="475">
      <c r="A475" s="30" t="inlineStr">
        <is>
          <t>XS2607183980</t>
        </is>
      </c>
      <c r="B475" s="30" t="inlineStr">
        <is>
          <t>Provider of automobile financing services for Harley-Davidson</t>
        </is>
      </c>
    </row>
    <row r="476">
      <c r="A476" s="30" t="inlineStr">
        <is>
          <t>US404119CP27</t>
        </is>
      </c>
      <c r="B476" s="30" t="inlineStr">
        <is>
          <t>Provides health care services</t>
        </is>
      </c>
    </row>
    <row r="477">
      <c r="A477" s="30" t="inlineStr">
        <is>
          <t>US404119CQ00</t>
        </is>
      </c>
      <c r="B477" s="30" t="inlineStr">
        <is>
          <t>Provides health care services</t>
        </is>
      </c>
    </row>
    <row r="478">
      <c r="A478" s="30" t="inlineStr">
        <is>
          <t>XS1622694617</t>
        </is>
      </c>
      <c r="B478" s="30" t="inlineStr">
        <is>
          <t>Offers airport services, flights, cargo handling, and other related services</t>
        </is>
      </c>
    </row>
    <row r="479">
      <c r="A479" s="30" t="inlineStr">
        <is>
          <t>XS2777627907</t>
        </is>
      </c>
      <c r="B479" s="30" t="inlineStr">
        <is>
          <t>UK's largest airport</t>
        </is>
      </c>
    </row>
    <row r="480">
      <c r="A480" s="30" t="inlineStr">
        <is>
          <t>XS2328823104</t>
        </is>
      </c>
      <c r="B480" s="30" t="inlineStr">
        <is>
          <t>UK's largest airport</t>
        </is>
      </c>
    </row>
    <row r="481">
      <c r="A481" s="30" t="inlineStr">
        <is>
          <t>CH1184694722</t>
        </is>
      </c>
      <c r="B481" s="30" t="inlineStr">
        <is>
          <t>UK's largest airport</t>
        </is>
      </c>
    </row>
    <row r="482">
      <c r="A482" s="30" t="inlineStr">
        <is>
          <t>CH0467182413</t>
        </is>
      </c>
      <c r="B482" s="30" t="inlineStr">
        <is>
          <t>UK's largest airport</t>
        </is>
      </c>
    </row>
    <row r="483">
      <c r="A483" s="30" t="inlineStr">
        <is>
          <t>XS2721465271</t>
        </is>
      </c>
      <c r="B483" s="30" t="inlineStr">
        <is>
          <t>manufactures building materials</t>
        </is>
      </c>
    </row>
    <row r="484">
      <c r="A484" s="30" t="inlineStr">
        <is>
          <t>USU4328RAG93</t>
        </is>
      </c>
      <c r="B484" s="30" t="inlineStr">
        <is>
          <t>Owns and operates hotels and motels</t>
        </is>
      </c>
    </row>
    <row r="485">
      <c r="A485" s="30" t="inlineStr">
        <is>
          <t>CH0433761274</t>
        </is>
      </c>
      <c r="B485" s="30" t="inlineStr">
        <is>
          <t xml:space="preserve">Provides construction materials and solutions </t>
        </is>
      </c>
    </row>
    <row r="486">
      <c r="A486" s="30" t="inlineStr">
        <is>
          <t>XS2384273715</t>
        </is>
      </c>
      <c r="B486" s="30" t="inlineStr">
        <is>
          <t xml:space="preserve">provides construction materials and solutions </t>
        </is>
      </c>
    </row>
    <row r="487">
      <c r="A487" s="30" t="inlineStr">
        <is>
          <t>CH1154887140</t>
        </is>
      </c>
      <c r="B487" s="30" t="inlineStr">
        <is>
          <t>Provides construction materials and solutions</t>
        </is>
      </c>
    </row>
    <row r="488">
      <c r="A488" s="30" t="inlineStr">
        <is>
          <t>CH1154887132</t>
        </is>
      </c>
      <c r="B488" s="30" t="inlineStr">
        <is>
          <t>Provides construction materials and solutions</t>
        </is>
      </c>
    </row>
    <row r="489">
      <c r="A489" s="30" t="inlineStr">
        <is>
          <t>US437076CH36</t>
        </is>
      </c>
      <c r="B489" s="30" t="inlineStr">
        <is>
          <t>Home improvement retailer</t>
        </is>
      </c>
    </row>
    <row r="490">
      <c r="A490" s="30" t="inlineStr">
        <is>
          <t>US437076CK64</t>
        </is>
      </c>
      <c r="B490" s="30" t="inlineStr">
        <is>
          <t>Home improvement retailer</t>
        </is>
      </c>
    </row>
    <row r="491">
      <c r="A491" s="30" t="inlineStr">
        <is>
          <t>XS2624938655</t>
        </is>
      </c>
      <c r="B491" s="30" t="inlineStr">
        <is>
          <t>Worldwide technology and manufacturing company</t>
        </is>
      </c>
    </row>
    <row r="492">
      <c r="A492" s="30" t="inlineStr">
        <is>
          <t>XS2624938739</t>
        </is>
      </c>
      <c r="B492" s="30" t="inlineStr">
        <is>
          <t>Worldwide technology and manufacturing company</t>
        </is>
      </c>
    </row>
    <row r="493">
      <c r="A493" s="30" t="inlineStr">
        <is>
          <t>USY3422VCS52</t>
        </is>
      </c>
      <c r="B493" s="30" t="inlineStr">
        <is>
          <t>Government of Hong Kong</t>
        </is>
      </c>
    </row>
    <row r="494">
      <c r="A494" s="30" t="inlineStr">
        <is>
          <t>US42824CBK45</t>
        </is>
      </c>
      <c r="B494" s="30" t="inlineStr">
        <is>
          <t>Hewlett Packard Entreprise Company provides information technology solutions</t>
        </is>
      </c>
    </row>
    <row r="495">
      <c r="A495" s="30" t="inlineStr">
        <is>
          <t>XS1716248197</t>
        </is>
      </c>
      <c r="B495" s="30" t="inlineStr">
        <is>
          <t>UK largest banking and financial services group</t>
        </is>
      </c>
    </row>
    <row r="496">
      <c r="A496" s="30" t="inlineStr">
        <is>
          <t>US445545AQ90</t>
        </is>
      </c>
      <c r="B496" s="30" t="inlineStr">
        <is>
          <t>Hungary government bnnd</t>
        </is>
      </c>
    </row>
    <row r="497">
      <c r="A497" s="30" t="inlineStr">
        <is>
          <t>XS2010026305</t>
        </is>
      </c>
      <c r="B497" s="30" t="inlineStr">
        <is>
          <t>Hungary government bnnd</t>
        </is>
      </c>
    </row>
    <row r="498">
      <c r="A498" s="30" t="inlineStr">
        <is>
          <t>XS2574267261</t>
        </is>
      </c>
      <c r="B498" s="30" t="inlineStr">
        <is>
          <t>Hungary government bnnd</t>
        </is>
      </c>
    </row>
    <row r="499">
      <c r="A499" s="30" t="inlineStr">
        <is>
          <t>USP5300PAB96</t>
        </is>
      </c>
      <c r="B499" s="30" t="inlineStr">
        <is>
          <t xml:space="preserve">Oil and gas company </t>
        </is>
      </c>
    </row>
    <row r="500">
      <c r="A500" s="30" t="inlineStr">
        <is>
          <t>US44891CBG78</t>
        </is>
      </c>
      <c r="B500" s="30" t="inlineStr">
        <is>
          <t>Provides commercial finance services</t>
        </is>
      </c>
    </row>
    <row r="501">
      <c r="A501" s="30" t="inlineStr">
        <is>
          <t>CH1239495042</t>
        </is>
      </c>
      <c r="B501" s="30" t="inlineStr">
        <is>
          <t>Offers auto financing, durable goods financing, leasing services, and loans in Korea</t>
        </is>
      </c>
    </row>
    <row r="502">
      <c r="A502" s="30" t="inlineStr">
        <is>
          <t>XS2583741934</t>
        </is>
      </c>
      <c r="B502" s="30" t="inlineStr">
        <is>
          <t>International Business Machines Corporation (IBM) provides computer solutions</t>
        </is>
      </c>
    </row>
    <row r="503">
      <c r="A503" s="30" t="inlineStr">
        <is>
          <t>US459200KW06</t>
        </is>
      </c>
      <c r="B503" s="30" t="inlineStr">
        <is>
          <t>International Business Machines Corporation (IBM) provides computer solutions</t>
        </is>
      </c>
    </row>
    <row r="504">
      <c r="A504" s="30" t="inlineStr">
        <is>
          <t>US459200KX88</t>
        </is>
      </c>
      <c r="B504" s="30" t="inlineStr">
        <is>
          <t>International Business Machines Corporation (IBM) provides computer solutions</t>
        </is>
      </c>
    </row>
    <row r="505">
      <c r="A505" s="30" t="inlineStr">
        <is>
          <t>US459200KY61</t>
        </is>
      </c>
      <c r="B505" s="30" t="inlineStr">
        <is>
          <t>International Business Machines Corporation (IBM) provides computer solutions</t>
        </is>
      </c>
    </row>
    <row r="506">
      <c r="A506" s="30" t="inlineStr">
        <is>
          <t>US459200KZ37</t>
        </is>
      </c>
      <c r="B506" s="30" t="inlineStr">
        <is>
          <t>International Business Machines Corporation (IBM) provides computer solutions</t>
        </is>
      </c>
    </row>
    <row r="507">
      <c r="A507" s="30" t="inlineStr">
        <is>
          <t>XS2583743047</t>
        </is>
      </c>
      <c r="B507" s="30" t="inlineStr">
        <is>
          <t>International Business Machines Corporation (IBM) provides computer solutions</t>
        </is>
      </c>
    </row>
    <row r="508">
      <c r="A508" s="30" t="inlineStr">
        <is>
          <t>XS2583742239</t>
        </is>
      </c>
      <c r="B508" s="30" t="inlineStr">
        <is>
          <t>International Business Machines Corporation (IBM) provides computer solutions</t>
        </is>
      </c>
    </row>
    <row r="509">
      <c r="A509" s="30" t="inlineStr">
        <is>
          <t>XS2583742585</t>
        </is>
      </c>
      <c r="B509" s="30" t="inlineStr">
        <is>
          <t>International Business Machines Corporation (IBM) provides computer solutions</t>
        </is>
      </c>
    </row>
    <row r="510">
      <c r="A510" s="30" t="inlineStr">
        <is>
          <t>XS2583742668</t>
        </is>
      </c>
      <c r="B510" s="30" t="inlineStr">
        <is>
          <t>International Business Machines Corporation (IBM) provides computer solutions</t>
        </is>
      </c>
    </row>
    <row r="511">
      <c r="A511" s="30" t="inlineStr">
        <is>
          <t>XS2333299324</t>
        </is>
      </c>
      <c r="B511" s="30" t="inlineStr">
        <is>
          <t>Operates as a development financial institution</t>
        </is>
      </c>
    </row>
    <row r="512">
      <c r="A512" s="30" t="inlineStr">
        <is>
          <t>FR001400FIM6</t>
        </is>
      </c>
      <c r="B512" s="30" t="inlineStr">
        <is>
          <t>Operates as the transport authority</t>
        </is>
      </c>
    </row>
    <row r="513">
      <c r="A513" s="30" t="inlineStr">
        <is>
          <t>XS2384533563</t>
        </is>
      </c>
      <c r="B513" s="30" t="inlineStr">
        <is>
          <t xml:space="preserve">Chinese commercial bank </t>
        </is>
      </c>
    </row>
    <row r="514">
      <c r="A514" s="30" t="inlineStr">
        <is>
          <t>XS1733877762</t>
        </is>
      </c>
      <c r="B514" s="30" t="inlineStr">
        <is>
          <t>Provides rail transportation, catering and tourism services, majority state-owned</t>
        </is>
      </c>
    </row>
    <row r="515">
      <c r="A515" s="30" t="inlineStr">
        <is>
          <t>US45434M2A91</t>
        </is>
      </c>
      <c r="B515" s="30" t="inlineStr">
        <is>
          <t>largest utility company in Mumbai</t>
        </is>
      </c>
    </row>
    <row r="516">
      <c r="A516" s="30" t="inlineStr">
        <is>
          <t>US45434M2C57</t>
        </is>
      </c>
      <c r="B516" s="30" t="inlineStr">
        <is>
          <t>Provides rail transportation, catering and tourism services, majority state-owned</t>
        </is>
      </c>
    </row>
    <row r="517">
      <c r="A517" s="30" t="inlineStr">
        <is>
          <t>US45434M2H45</t>
        </is>
      </c>
      <c r="B517" s="30" t="inlineStr">
        <is>
          <t xml:space="preserve">Provides rail transportation, catering and tourism services </t>
        </is>
      </c>
    </row>
    <row r="518">
      <c r="A518" s="30" t="inlineStr">
        <is>
          <t>XS2526852350</t>
        </is>
      </c>
      <c r="B518" s="30" t="inlineStr">
        <is>
          <t>Largest financial services in Netherlands</t>
        </is>
      </c>
    </row>
    <row r="519">
      <c r="A519" s="30" t="inlineStr">
        <is>
          <t>XS2483607474</t>
        </is>
      </c>
      <c r="B519" s="30" t="inlineStr">
        <is>
          <t>Largest Dutch financial institution by total assets</t>
        </is>
      </c>
    </row>
    <row r="520">
      <c r="A520" s="30" t="inlineStr">
        <is>
          <t>XS1953146245</t>
        </is>
      </c>
      <c r="B520" s="30" t="inlineStr">
        <is>
          <t>Largest financial services in Netherlands</t>
        </is>
      </c>
    </row>
    <row r="521">
      <c r="A521" s="30" t="inlineStr">
        <is>
          <t>XS2554746185</t>
        </is>
      </c>
      <c r="B521" s="30" t="inlineStr">
        <is>
          <t>Largest Dutch financial institution by total assets</t>
        </is>
      </c>
    </row>
    <row r="522">
      <c r="A522" s="30" t="inlineStr">
        <is>
          <t>USP56236AB16</t>
        </is>
      </c>
      <c r="B522" s="30" t="inlineStr">
        <is>
          <t>Operates as a multi-format retailer company</t>
        </is>
      </c>
    </row>
    <row r="523">
      <c r="A523" s="30" t="inlineStr">
        <is>
          <t>XS2586947082</t>
        </is>
      </c>
      <c r="B523" s="30" t="inlineStr">
        <is>
          <t>Operates as government owned public sector bank</t>
        </is>
      </c>
    </row>
    <row r="524">
      <c r="A524" s="30" t="inlineStr">
        <is>
          <t>US458140CD04</t>
        </is>
      </c>
      <c r="B524" s="30" t="inlineStr">
        <is>
          <t>One of the world's largest semiconductor companies</t>
        </is>
      </c>
    </row>
    <row r="525">
      <c r="A525" s="30" t="inlineStr">
        <is>
          <t>US458140BH27</t>
        </is>
      </c>
      <c r="B525" s="30" t="inlineStr">
        <is>
          <t>One of the world's largest semiconductor companies</t>
        </is>
      </c>
    </row>
    <row r="526">
      <c r="A526" s="30" t="inlineStr">
        <is>
          <t>XS2594034998</t>
        </is>
      </c>
      <c r="B526" s="30" t="inlineStr">
        <is>
          <t>Multilateral development institution operating across America</t>
        </is>
      </c>
    </row>
    <row r="527">
      <c r="A527" s="30" t="inlineStr">
        <is>
          <t>US4581X0CM87</t>
        </is>
      </c>
      <c r="B527" s="30" t="inlineStr">
        <is>
          <t>Multilateral development institution operating across America</t>
        </is>
      </c>
    </row>
    <row r="528">
      <c r="A528" s="30" t="inlineStr">
        <is>
          <t>XS2473753841</t>
        </is>
      </c>
      <c r="B528" s="30" t="inlineStr">
        <is>
          <t>Multilateral development institution operating across America</t>
        </is>
      </c>
    </row>
    <row r="529">
      <c r="A529" s="30" t="inlineStr">
        <is>
          <t>XS2297244878</t>
        </is>
      </c>
      <c r="B529" s="30" t="inlineStr">
        <is>
          <t>A member of the Inter-American Development Bank Group</t>
        </is>
      </c>
    </row>
    <row r="530">
      <c r="A530" s="30" t="inlineStr">
        <is>
          <t>US45828Q2B29</t>
        </is>
      </c>
      <c r="B530" s="30" t="inlineStr">
        <is>
          <t>A member of the Inter-American Development Bank Group</t>
        </is>
      </c>
    </row>
    <row r="531">
      <c r="A531" s="30" t="inlineStr">
        <is>
          <t>XS2547604715</t>
        </is>
      </c>
      <c r="B531" s="30" t="inlineStr">
        <is>
          <t>A member of the Inter-American Development Bank Group</t>
        </is>
      </c>
    </row>
    <row r="532">
      <c r="A532" s="30" t="inlineStr">
        <is>
          <t>XS2633135699</t>
        </is>
      </c>
      <c r="B532" s="30" t="inlineStr">
        <is>
          <t>A member of the Inter-American Development Bank Group</t>
        </is>
      </c>
    </row>
    <row r="533">
      <c r="A533" s="30" t="inlineStr">
        <is>
          <t>XS1480022315</t>
        </is>
      </c>
      <c r="B533" s="30" t="inlineStr">
        <is>
          <t>Operates managed and franchised hotels</t>
        </is>
      </c>
    </row>
    <row r="534">
      <c r="A534" s="30" t="inlineStr">
        <is>
          <t>XS2559069849</t>
        </is>
      </c>
      <c r="B534" s="30" t="inlineStr">
        <is>
          <t>One of the largest Italian banks</t>
        </is>
      </c>
    </row>
    <row r="535">
      <c r="A535" s="30" t="inlineStr">
        <is>
          <t>XS2015314037</t>
        </is>
      </c>
      <c r="B535" s="30" t="inlineStr">
        <is>
          <t>One of the largest banks in Italy</t>
        </is>
      </c>
    </row>
    <row r="536">
      <c r="A536" s="30" t="inlineStr">
        <is>
          <t>XS2592658947</t>
        </is>
      </c>
      <c r="B536" s="30" t="inlineStr">
        <is>
          <t>One of the largest Italian banks</t>
        </is>
      </c>
    </row>
    <row r="537">
      <c r="A537" s="30" t="inlineStr">
        <is>
          <t>XS2630420268</t>
        </is>
      </c>
      <c r="B537" s="30" t="inlineStr">
        <is>
          <t>One of the largest Italian banks</t>
        </is>
      </c>
    </row>
    <row r="538">
      <c r="A538" s="30" t="inlineStr">
        <is>
          <t>XS2598063480</t>
        </is>
      </c>
      <c r="B538" s="30" t="inlineStr">
        <is>
          <t>One of the largest Italian banks</t>
        </is>
      </c>
    </row>
    <row r="539">
      <c r="A539" s="30" t="inlineStr">
        <is>
          <t>XS2804485915</t>
        </is>
      </c>
      <c r="B539" s="30" t="inlineStr">
        <is>
          <t>One of the largest banks in Italy</t>
        </is>
      </c>
    </row>
    <row r="540">
      <c r="A540" s="30" t="inlineStr">
        <is>
          <t>XS2592650373</t>
        </is>
      </c>
      <c r="B540" s="30" t="inlineStr">
        <is>
          <t>One of the largest Italian banks</t>
        </is>
      </c>
    </row>
    <row r="541">
      <c r="A541" s="30" t="inlineStr">
        <is>
          <t>US459058KQ56</t>
        </is>
      </c>
      <c r="B541" s="30" t="inlineStr">
        <is>
          <t>A multilateral development financial instiution</t>
        </is>
      </c>
    </row>
    <row r="542">
      <c r="A542" s="30" t="inlineStr">
        <is>
          <t>US459058KJ14</t>
        </is>
      </c>
      <c r="B542" s="30" t="inlineStr">
        <is>
          <t>A multilateral development financial instiution</t>
        </is>
      </c>
    </row>
    <row r="543">
      <c r="A543" s="30" t="inlineStr">
        <is>
          <t>XS2562657374</t>
        </is>
      </c>
      <c r="B543" s="30" t="inlineStr">
        <is>
          <t>Largest multilateral development bank serving clients throughout Europe</t>
        </is>
      </c>
    </row>
    <row r="544">
      <c r="A544" s="30" t="inlineStr">
        <is>
          <t>USP58072AX05</t>
        </is>
      </c>
      <c r="B544" s="30" t="inlineStr">
        <is>
          <t xml:space="preserve"> offers production and commercialization of papers, cellulose, and tissue products</t>
        </is>
      </c>
    </row>
    <row r="545">
      <c r="A545" s="30" t="inlineStr">
        <is>
          <t>IE00BKFVC568</t>
        </is>
      </c>
      <c r="B545" s="30" t="inlineStr">
        <is>
          <t>Ireland government bond</t>
        </is>
      </c>
    </row>
    <row r="546">
      <c r="A546" s="30" t="inlineStr">
        <is>
          <t>XS2197356186</t>
        </is>
      </c>
      <c r="B546" s="30" t="inlineStr">
        <is>
          <t>Generates, distributes, and sells electricity and district heating</t>
        </is>
      </c>
    </row>
    <row r="547">
      <c r="A547" s="30" t="inlineStr">
        <is>
          <t>IL0060001943</t>
        </is>
      </c>
      <c r="B547" s="30" t="inlineStr">
        <is>
          <t>Operates as an energy company</t>
        </is>
      </c>
    </row>
    <row r="548">
      <c r="A548" s="30" t="inlineStr">
        <is>
          <t>US46556KAB26</t>
        </is>
      </c>
      <c r="B548" s="30" t="inlineStr">
        <is>
          <t>Second largest bank in Brazil</t>
        </is>
      </c>
    </row>
    <row r="549">
      <c r="A549" s="30" t="inlineStr">
        <is>
          <t>US46556MAM47</t>
        </is>
      </c>
      <c r="B549" s="30" t="inlineStr">
        <is>
          <t>Second largest bank in Brazil</t>
        </is>
      </c>
    </row>
    <row r="550">
      <c r="A550" s="30" t="inlineStr">
        <is>
          <t>XS2010037849</t>
        </is>
      </c>
      <c r="B550" s="30" t="inlineStr">
        <is>
          <t xml:space="preserve"> designs, develops, and manufactures automobiles</t>
        </is>
      </c>
    </row>
    <row r="551">
      <c r="A551" s="30" t="inlineStr">
        <is>
          <t>XS2364593579</t>
        </is>
      </c>
      <c r="B551" s="30" t="inlineStr">
        <is>
          <t xml:space="preserve"> designs, develops, and manufactures automobiles</t>
        </is>
      </c>
    </row>
    <row r="552">
      <c r="A552" s="30" t="inlineStr">
        <is>
          <t>US47109LAD64</t>
        </is>
      </c>
      <c r="B552" s="30" t="inlineStr">
        <is>
          <t>Independant admisnistrative organization</t>
        </is>
      </c>
    </row>
    <row r="553">
      <c r="A553" s="30" t="inlineStr">
        <is>
          <t>XS2313088739</t>
        </is>
      </c>
      <c r="B553" s="30" t="inlineStr">
        <is>
          <t>Manufactures animal feed, breeds and processes chickens. Farms</t>
        </is>
      </c>
    </row>
    <row r="554">
      <c r="A554" s="30" t="inlineStr">
        <is>
          <t>US47215PAE60</t>
        </is>
      </c>
      <c r="B554" s="30" t="inlineStr">
        <is>
          <t>Online direct sales company in China</t>
        </is>
      </c>
    </row>
    <row r="555">
      <c r="A555" s="30" t="inlineStr">
        <is>
          <t>XS2801963716</t>
        </is>
      </c>
      <c r="B555" s="30" t="inlineStr">
        <is>
          <t xml:space="preserve">US investment bank </t>
        </is>
      </c>
    </row>
    <row r="556">
      <c r="A556" s="30" t="inlineStr">
        <is>
          <t>US47233JGT97</t>
        </is>
      </c>
      <c r="B556" s="30" t="inlineStr">
        <is>
          <t xml:space="preserve">US investment bank </t>
        </is>
      </c>
    </row>
    <row r="557">
      <c r="A557" s="30" t="inlineStr">
        <is>
          <t>XS2801964284</t>
        </is>
      </c>
      <c r="B557" s="30" t="inlineStr">
        <is>
          <t xml:space="preserve">US investment bank </t>
        </is>
      </c>
    </row>
    <row r="558">
      <c r="A558" s="30" t="inlineStr">
        <is>
          <t>XS2703627021</t>
        </is>
      </c>
      <c r="B558" s="30" t="inlineStr">
        <is>
          <t>Manufactures agricultural machinery and parts</t>
        </is>
      </c>
    </row>
    <row r="559">
      <c r="A559" s="30" t="inlineStr">
        <is>
          <t>US24422EWR60</t>
        </is>
      </c>
      <c r="B559" s="30" t="inlineStr">
        <is>
          <t>Manufactures agricultural machinery and parts</t>
        </is>
      </c>
    </row>
    <row r="560">
      <c r="A560" s="30" t="inlineStr">
        <is>
          <t>US24422EWL90</t>
        </is>
      </c>
      <c r="B560" s="30" t="inlineStr">
        <is>
          <t>Manufactures agricultural machinery and parts</t>
        </is>
      </c>
    </row>
    <row r="561">
      <c r="A561" s="30" t="inlineStr">
        <is>
          <t>XS2150006307</t>
        </is>
      </c>
      <c r="B561" s="30" t="inlineStr">
        <is>
          <t>Manufactures agricultural machinery and parts</t>
        </is>
      </c>
    </row>
    <row r="562">
      <c r="A562" s="30" t="inlineStr">
        <is>
          <t>XS2150006562</t>
        </is>
      </c>
      <c r="B562" s="30" t="inlineStr">
        <is>
          <t>Manufactures agricultural machinery and parts</t>
        </is>
      </c>
    </row>
    <row r="563">
      <c r="A563" s="30" t="inlineStr">
        <is>
          <t>US478160CQ51</t>
        </is>
      </c>
      <c r="B563" s="30" t="inlineStr">
        <is>
          <t>US medical devices, pharmaceutical and consumer packaged goods manufacturer</t>
        </is>
      </c>
    </row>
    <row r="564">
      <c r="A564" s="30" t="inlineStr">
        <is>
          <t>US478160BY94</t>
        </is>
      </c>
      <c r="B564" s="30" t="inlineStr">
        <is>
          <t>US medical devices, pharmaceutical and consumer packaged goods manufacturer</t>
        </is>
      </c>
    </row>
    <row r="565">
      <c r="A565" s="30" t="inlineStr">
        <is>
          <t>US478160CK81</t>
        </is>
      </c>
      <c r="B565" s="30" t="inlineStr">
        <is>
          <t>US medical devices, pharmaceutical and consumer packaged goods manufacturer</t>
        </is>
      </c>
    </row>
    <row r="566">
      <c r="A566" s="30" t="inlineStr">
        <is>
          <t>US46647PDE34</t>
        </is>
      </c>
      <c r="B566" s="30" t="inlineStr">
        <is>
          <t>The largest US bank</t>
        </is>
      </c>
    </row>
    <row r="567">
      <c r="A567" s="30" t="inlineStr">
        <is>
          <t>US46647PEC68</t>
        </is>
      </c>
      <c r="B567" s="30" t="inlineStr">
        <is>
          <t>The largest US bank</t>
        </is>
      </c>
    </row>
    <row r="568">
      <c r="A568" s="30" t="inlineStr">
        <is>
          <t>US46647PAV85</t>
        </is>
      </c>
      <c r="B568" s="30" t="inlineStr">
        <is>
          <t xml:space="preserve">The largest US bank </t>
        </is>
      </c>
    </row>
    <row r="569">
      <c r="A569" s="30" t="inlineStr">
        <is>
          <t>US46647PDU75</t>
        </is>
      </c>
      <c r="B569" s="30" t="inlineStr">
        <is>
          <t xml:space="preserve">The largest US bank </t>
        </is>
      </c>
    </row>
    <row r="570">
      <c r="A570" s="30" t="inlineStr">
        <is>
          <t>US46647PDH64</t>
        </is>
      </c>
      <c r="B570" s="30" t="inlineStr">
        <is>
          <t>The largest US bank</t>
        </is>
      </c>
    </row>
    <row r="571">
      <c r="A571" s="30" t="inlineStr">
        <is>
          <t>XS1883352095</t>
        </is>
      </c>
      <c r="B571" s="30" t="inlineStr">
        <is>
          <t>One of the largest tobacco producers</t>
        </is>
      </c>
    </row>
    <row r="572">
      <c r="A572" s="30" t="inlineStr">
        <is>
          <t>XS2793255162</t>
        </is>
      </c>
      <c r="B572" s="30" t="inlineStr">
        <is>
          <t>One of the largest tobacco producers</t>
        </is>
      </c>
    </row>
    <row r="573">
      <c r="A573" s="30" t="inlineStr">
        <is>
          <t>BE0002846278</t>
        </is>
      </c>
      <c r="B573" s="30" t="inlineStr">
        <is>
          <t>Attracts deposits and offers banking and insurance services.</t>
        </is>
      </c>
    </row>
    <row r="574">
      <c r="A574" s="30" t="inlineStr">
        <is>
          <t>US487836BP25</t>
        </is>
      </c>
      <c r="B574" s="30" t="inlineStr">
        <is>
          <t>Leading producer of cereals, cookies, crackers, snacks and frozen food</t>
        </is>
      </c>
    </row>
    <row r="575">
      <c r="A575" s="30" t="inlineStr">
        <is>
          <t>US487836BZ07</t>
        </is>
      </c>
      <c r="B575" s="30" t="inlineStr">
        <is>
          <t>Leading producer of cereals, cookies, crackers, snacks and frozen food</t>
        </is>
      </c>
    </row>
    <row r="576">
      <c r="A576" s="30" t="inlineStr">
        <is>
          <t>FR001400M6N9</t>
        </is>
      </c>
      <c r="B576" s="30" t="inlineStr">
        <is>
          <t>Designs, manufactures, and markets fashion and leather goods</t>
        </is>
      </c>
    </row>
    <row r="577">
      <c r="A577" s="30" t="inlineStr">
        <is>
          <t>FR001400M6M1</t>
        </is>
      </c>
      <c r="B577" s="30" t="inlineStr">
        <is>
          <t>Designs, manufactures, and markets fashion and leather goods</t>
        </is>
      </c>
    </row>
    <row r="578">
      <c r="A578" s="30" t="inlineStr">
        <is>
          <t>FR001400KHZ0</t>
        </is>
      </c>
      <c r="B578" s="30" t="inlineStr">
        <is>
          <t>Designs, manufactures, and markets fashion and leather goods</t>
        </is>
      </c>
    </row>
    <row r="579">
      <c r="A579" s="30" t="inlineStr">
        <is>
          <t>FR001400G3Y1</t>
        </is>
      </c>
      <c r="B579" s="30" t="inlineStr">
        <is>
          <t>Designs, manufactures, and markets fashion and leather goods</t>
        </is>
      </c>
    </row>
    <row r="580">
      <c r="A580" s="30" t="inlineStr">
        <is>
          <t>FR001400KHW7</t>
        </is>
      </c>
      <c r="B580" s="30" t="inlineStr">
        <is>
          <t>Designs, manufactures, and markets fashion and leather goods</t>
        </is>
      </c>
    </row>
    <row r="581">
      <c r="A581" s="30" t="inlineStr">
        <is>
          <t>FR001400KHX5</t>
        </is>
      </c>
      <c r="B581" s="30" t="inlineStr">
        <is>
          <t>Designs, manufactures, and markets fashion and leather goods</t>
        </is>
      </c>
    </row>
    <row r="582">
      <c r="A582" s="30" t="inlineStr">
        <is>
          <t>XS1941813617</t>
        </is>
      </c>
      <c r="B582" s="30" t="inlineStr">
        <is>
          <t>Germany’s largest public development bank serving policy objectives</t>
        </is>
      </c>
    </row>
    <row r="583">
      <c r="A583" s="30" t="inlineStr">
        <is>
          <t>US500769GQ12</t>
        </is>
      </c>
      <c r="B583" s="30" t="inlineStr">
        <is>
          <t>Germany’s largest public development bank serving policy objectives</t>
        </is>
      </c>
    </row>
    <row r="584">
      <c r="A584" s="30" t="inlineStr">
        <is>
          <t>US500769GQ12</t>
        </is>
      </c>
      <c r="B584" s="30" t="inlineStr">
        <is>
          <t>Germany’s largest public development bank serving policy objectives</t>
        </is>
      </c>
    </row>
    <row r="585">
      <c r="A585" s="30" t="inlineStr">
        <is>
          <t>US500769JD71</t>
        </is>
      </c>
      <c r="B585" s="30" t="inlineStr">
        <is>
          <t>Germany’s largest public development bank serving policy objectives</t>
        </is>
      </c>
    </row>
    <row r="586">
      <c r="A586" s="30" t="inlineStr">
        <is>
          <t>XS2584128263</t>
        </is>
      </c>
      <c r="B586" s="30" t="inlineStr">
        <is>
          <t>Germany’s largest public development bank serving policy objectives</t>
        </is>
      </c>
    </row>
    <row r="587">
      <c r="A587" s="30" t="inlineStr">
        <is>
          <t>XS2679764493</t>
        </is>
      </c>
      <c r="B587" s="30" t="inlineStr">
        <is>
          <t>Germany’s largest public development bank serving policy objectives</t>
        </is>
      </c>
    </row>
    <row r="588">
      <c r="A588" s="30" t="inlineStr">
        <is>
          <t>CH0022268004</t>
        </is>
      </c>
      <c r="B588" s="30" t="inlineStr">
        <is>
          <t>Germany’s largest public development bank serving policy objectives</t>
        </is>
      </c>
    </row>
    <row r="589">
      <c r="A589" s="30" t="inlineStr">
        <is>
          <t>XS2595028452</t>
        </is>
      </c>
      <c r="B589" s="30" t="inlineStr">
        <is>
          <t>Kingdom Of Morocco</t>
        </is>
      </c>
    </row>
    <row r="590">
      <c r="A590" s="30" t="inlineStr">
        <is>
          <t>XS2270576619</t>
        </is>
      </c>
      <c r="B590" s="30" t="inlineStr">
        <is>
          <t>Kingdom Of Morocco</t>
        </is>
      </c>
    </row>
    <row r="591">
      <c r="A591" s="30" t="inlineStr">
        <is>
          <t>USL5828LAB55</t>
        </is>
      </c>
      <c r="B591" s="30" t="inlineStr">
        <is>
          <t>Manufactures paper containers and packaging materials</t>
        </is>
      </c>
    </row>
    <row r="592">
      <c r="A592" s="30" t="inlineStr">
        <is>
          <t>XS1397023448</t>
        </is>
      </c>
      <c r="B592" s="30" t="inlineStr">
        <is>
          <t>Largest provider of funding to Norwegian local government</t>
        </is>
      </c>
    </row>
    <row r="593">
      <c r="A593" s="30" t="inlineStr">
        <is>
          <t>XS1397023448</t>
        </is>
      </c>
      <c r="B593" s="30" t="inlineStr">
        <is>
          <t>Provides local government funding services</t>
        </is>
      </c>
    </row>
    <row r="594">
      <c r="A594" s="30" t="inlineStr">
        <is>
          <t>XS1408351887</t>
        </is>
      </c>
      <c r="B594" s="30" t="inlineStr">
        <is>
          <t>Danish local government credit institutions providing financing and credit services</t>
        </is>
      </c>
    </row>
    <row r="595">
      <c r="A595" s="30" t="inlineStr">
        <is>
          <t>XS1408351887</t>
        </is>
      </c>
      <c r="B595" s="30" t="inlineStr">
        <is>
          <t>Provides local government funding services</t>
        </is>
      </c>
    </row>
    <row r="596">
      <c r="A596" s="30" t="inlineStr">
        <is>
          <t>US500630CJ53</t>
        </is>
      </c>
      <c r="B596" s="30" t="inlineStr">
        <is>
          <t>Korean government-owned policy bank supplying capital to Korean industries</t>
        </is>
      </c>
    </row>
    <row r="597">
      <c r="A597" s="30" t="inlineStr">
        <is>
          <t>CH1243933574</t>
        </is>
      </c>
      <c r="B597" s="30" t="inlineStr">
        <is>
          <t>Korea Housing Finance Corporation provides long-term housing finance services</t>
        </is>
      </c>
    </row>
    <row r="598">
      <c r="A598" s="30" t="inlineStr">
        <is>
          <t>CH1243933574</t>
        </is>
      </c>
      <c r="B598" s="30" t="inlineStr">
        <is>
          <t>Korea Housing Finance Corporation provides long-term housing finance services</t>
        </is>
      </c>
    </row>
    <row r="599">
      <c r="A599" s="30" t="inlineStr">
        <is>
          <t>US50066RAM88</t>
        </is>
      </c>
      <c r="B599" s="30" t="inlineStr">
        <is>
          <t>Upstream exploration and production company, owned by the Korean govt</t>
        </is>
      </c>
    </row>
    <row r="600">
      <c r="A600" s="30" t="inlineStr">
        <is>
          <t>US50065XAP96</t>
        </is>
      </c>
      <c r="B600" s="30" t="inlineStr">
        <is>
          <t>Upstream exploration and production company, owned by the Korean govt</t>
        </is>
      </c>
    </row>
    <row r="601">
      <c r="A601" s="30" t="inlineStr">
        <is>
          <t>XS1680281133</t>
        </is>
      </c>
      <c r="B601" s="30" t="inlineStr">
        <is>
          <t xml:space="preserve">One of the major producer of Titanium dioxyde </t>
        </is>
      </c>
    </row>
    <row r="602">
      <c r="A602" s="30" t="inlineStr">
        <is>
          <t>FR001400F5F6</t>
        </is>
      </c>
      <c r="B602" s="30" t="inlineStr">
        <is>
          <t>La Banque Postale provides banking services in France</t>
        </is>
      </c>
    </row>
    <row r="603">
      <c r="A603" s="30" t="inlineStr">
        <is>
          <t>US505861AC85</t>
        </is>
      </c>
      <c r="B603" s="30" t="inlineStr">
        <is>
          <t>Supplies building materials.</t>
        </is>
      </c>
    </row>
    <row r="604">
      <c r="A604" s="30" t="inlineStr">
        <is>
          <t>DE000A351PF4</t>
        </is>
      </c>
      <c r="B604" s="30" t="inlineStr">
        <is>
          <t>A state in Germany</t>
        </is>
      </c>
    </row>
    <row r="605">
      <c r="A605" s="30" t="inlineStr">
        <is>
          <t>US515110BR44</t>
        </is>
      </c>
      <c r="B605" s="30" t="inlineStr">
        <is>
          <t>Frankfurt-based bank that serves as a development agency in  Germany</t>
        </is>
      </c>
    </row>
    <row r="606">
      <c r="A606" s="30" t="inlineStr">
        <is>
          <t>XS1944468617</t>
        </is>
      </c>
      <c r="B606" s="30" t="inlineStr">
        <is>
          <t>Frankfurt-based bank that serves as a development agency in Germany</t>
        </is>
      </c>
    </row>
    <row r="607">
      <c r="A607" s="30" t="inlineStr">
        <is>
          <t>XS2125052261</t>
        </is>
      </c>
      <c r="B607" s="30" t="inlineStr">
        <is>
          <t>Largest manufacturer of personal computers.</t>
        </is>
      </c>
    </row>
    <row r="608">
      <c r="A608" s="30" t="inlineStr">
        <is>
          <t>USY5257YAL12</t>
        </is>
      </c>
      <c r="B608" s="30" t="inlineStr">
        <is>
          <t>Largest manufacturer of personal computers.</t>
        </is>
      </c>
    </row>
    <row r="609">
      <c r="A609" s="30" t="inlineStr">
        <is>
          <t>USY5257YAJ65</t>
        </is>
      </c>
      <c r="B609" s="30" t="inlineStr">
        <is>
          <t>Largest manufacturer of personal computers.</t>
        </is>
      </c>
    </row>
    <row r="610">
      <c r="A610" s="30" t="inlineStr">
        <is>
          <t>CH1243651929</t>
        </is>
      </c>
      <c r="B610" s="30" t="inlineStr">
        <is>
          <t xml:space="preserve">Operates as a bank, serving customers worlwide. </t>
        </is>
      </c>
    </row>
    <row r="611">
      <c r="A611" s="30" t="inlineStr">
        <is>
          <t>US53522KAB98</t>
        </is>
      </c>
      <c r="B611" s="30" t="inlineStr">
        <is>
          <t>Manufacturer of industrial gas</t>
        </is>
      </c>
    </row>
    <row r="612">
      <c r="A612" s="30" t="inlineStr">
        <is>
          <t>US53522KAA16</t>
        </is>
      </c>
      <c r="B612" s="30" t="inlineStr">
        <is>
          <t>Manufacturer of industrial gas</t>
        </is>
      </c>
    </row>
    <row r="613">
      <c r="A613" s="30" t="inlineStr">
        <is>
          <t>XS2834282142</t>
        </is>
      </c>
      <c r="B613" s="30" t="inlineStr">
        <is>
          <t xml:space="preserve">Manufacturer of industrial gas  </t>
        </is>
      </c>
    </row>
    <row r="614">
      <c r="A614" s="30" t="inlineStr">
        <is>
          <t>XS2430704655</t>
        </is>
      </c>
      <c r="B614" s="30" t="inlineStr">
        <is>
          <t>Third largest bank in the UK</t>
        </is>
      </c>
    </row>
    <row r="615">
      <c r="A615" s="30" t="inlineStr">
        <is>
          <t>XS2569069375</t>
        </is>
      </c>
      <c r="B615" s="30" t="inlineStr">
        <is>
          <t xml:space="preserve">Third largest bank in the UK </t>
        </is>
      </c>
    </row>
    <row r="616">
      <c r="A616" s="30" t="inlineStr">
        <is>
          <t>CH1243018806</t>
        </is>
      </c>
      <c r="B616" s="30" t="inlineStr">
        <is>
          <t>Third largest bank in the UK</t>
        </is>
      </c>
    </row>
    <row r="617">
      <c r="A617" s="30" t="inlineStr">
        <is>
          <t>FR001400M6K5</t>
        </is>
      </c>
      <c r="B617" s="30" t="inlineStr">
        <is>
          <t xml:space="preserve">World leader in the cosmetic industry </t>
        </is>
      </c>
    </row>
    <row r="618">
      <c r="A618" s="30" t="inlineStr">
        <is>
          <t>FR001400M6L3</t>
        </is>
      </c>
      <c r="B618" s="30" t="inlineStr">
        <is>
          <t xml:space="preserve">World leader in the cosmetic industry </t>
        </is>
      </c>
    </row>
    <row r="619">
      <c r="A619" s="30" t="inlineStr">
        <is>
          <t>FR001400HX81</t>
        </is>
      </c>
      <c r="B619" s="30" t="inlineStr">
        <is>
          <t xml:space="preserve">World leader in the cosmetic industry </t>
        </is>
      </c>
    </row>
    <row r="620">
      <c r="A620" s="30" t="inlineStr">
        <is>
          <t>XS1975699569</t>
        </is>
      </c>
      <c r="B620" s="30" t="inlineStr">
        <is>
          <t>EU Leader in rental equipment for the industrial &amp; construction sector</t>
        </is>
      </c>
    </row>
    <row r="621">
      <c r="A621" s="30" t="inlineStr">
        <is>
          <t>CH0399611307</t>
        </is>
      </c>
      <c r="B621" s="30" t="inlineStr">
        <is>
          <t>Swiss regional bank</t>
        </is>
      </c>
    </row>
    <row r="622">
      <c r="A622" s="30" t="inlineStr">
        <is>
          <t>FR001400HJE7</t>
        </is>
      </c>
      <c r="B622" s="30" t="inlineStr">
        <is>
          <t>French luxury group</t>
        </is>
      </c>
    </row>
    <row r="623">
      <c r="A623" s="30" t="inlineStr">
        <is>
          <t>FR001400KJP7</t>
        </is>
      </c>
      <c r="B623" s="30" t="inlineStr">
        <is>
          <t>French luxury group</t>
        </is>
      </c>
    </row>
    <row r="624">
      <c r="A624" s="30" t="inlineStr">
        <is>
          <t>FR001400KJO0</t>
        </is>
      </c>
      <c r="B624" s="30" t="inlineStr">
        <is>
          <t>French luxury group</t>
        </is>
      </c>
    </row>
    <row r="625">
      <c r="A625" s="30" t="inlineStr">
        <is>
          <t>US55608RAW07</t>
        </is>
      </c>
      <c r="B625" s="30" t="inlineStr">
        <is>
          <t>Australian global financial services provider</t>
        </is>
      </c>
    </row>
    <row r="626">
      <c r="A626" s="30" t="inlineStr">
        <is>
          <t>XS1991188548</t>
        </is>
      </c>
      <c r="B626" s="30" t="inlineStr">
        <is>
          <t>UAE conglomerate in shopping centres and exclusive Carrefour franchisee</t>
        </is>
      </c>
    </row>
    <row r="627">
      <c r="A627" s="30" t="inlineStr">
        <is>
          <t>XS2626291129</t>
        </is>
      </c>
      <c r="B627" s="30" t="inlineStr">
        <is>
          <t>UAE conglomerate in shopping centres and exclusive Carrefour franchisee</t>
        </is>
      </c>
    </row>
    <row r="628">
      <c r="A628" s="30" t="inlineStr">
        <is>
          <t>XS1991188548</t>
        </is>
      </c>
      <c r="B628" s="30" t="inlineStr">
        <is>
          <t>UAE conglomerate in shopping malls and Carrefour franchisee</t>
        </is>
      </c>
    </row>
    <row r="629">
      <c r="A629" s="30" t="inlineStr">
        <is>
          <t>XS2626291129</t>
        </is>
      </c>
      <c r="B629" s="30" t="inlineStr">
        <is>
          <t>UAE conglomerate in shopping malls and Carrefour franchisee</t>
        </is>
      </c>
    </row>
    <row r="630">
      <c r="A630" s="30" t="inlineStr">
        <is>
          <t>XS1839680680</t>
        </is>
      </c>
      <c r="B630" s="30" t="inlineStr">
        <is>
          <t>Third largest staffing firm in the World</t>
        </is>
      </c>
    </row>
    <row r="631">
      <c r="A631" s="30" t="inlineStr">
        <is>
          <t>XS2024535036</t>
        </is>
      </c>
      <c r="B631" s="30" t="inlineStr">
        <is>
          <t>Leading United Kingdom clothing and food retailer</t>
        </is>
      </c>
    </row>
    <row r="632">
      <c r="A632" s="30" t="inlineStr">
        <is>
          <t>US571903BH57</t>
        </is>
      </c>
      <c r="B632" s="30" t="inlineStr">
        <is>
          <t>Worldwide operator and franchisor of hotels</t>
        </is>
      </c>
    </row>
    <row r="633">
      <c r="A633" s="30" t="inlineStr">
        <is>
          <t>US57636QAW42</t>
        </is>
      </c>
      <c r="B633" s="30" t="inlineStr">
        <is>
          <t>Provides financial transaction processing services</t>
        </is>
      </c>
    </row>
    <row r="634">
      <c r="A634" s="30" t="inlineStr">
        <is>
          <t>US57636QAU85</t>
        </is>
      </c>
      <c r="B634" s="30" t="inlineStr">
        <is>
          <t>Provides financial transaction processing services</t>
        </is>
      </c>
    </row>
    <row r="635">
      <c r="A635" s="30" t="inlineStr">
        <is>
          <t>US57636QAX25</t>
        </is>
      </c>
      <c r="B635" s="30" t="inlineStr">
        <is>
          <t>Provides financial transaction processing services</t>
        </is>
      </c>
    </row>
    <row r="636">
      <c r="A636" s="30" t="inlineStr">
        <is>
          <t>XS2448014808</t>
        </is>
      </c>
      <c r="B636" s="30" t="inlineStr">
        <is>
          <t>Provides financial transaction processing services</t>
        </is>
      </c>
    </row>
    <row r="637">
      <c r="A637" s="30" t="inlineStr">
        <is>
          <t>USU57619AG08</t>
        </is>
      </c>
      <c r="B637" s="30" t="inlineStr">
        <is>
          <t>Leading global toy company</t>
        </is>
      </c>
    </row>
    <row r="638">
      <c r="A638" s="30" t="inlineStr">
        <is>
          <t>US58013MFV19</t>
        </is>
      </c>
      <c r="B638" s="30" t="inlineStr">
        <is>
          <t>franchised fast food chain</t>
        </is>
      </c>
    </row>
    <row r="639">
      <c r="A639" s="30" t="inlineStr">
        <is>
          <t>US58013MFW91</t>
        </is>
      </c>
      <c r="B639" s="30" t="inlineStr">
        <is>
          <t>franchised fast food chain</t>
        </is>
      </c>
    </row>
    <row r="640">
      <c r="A640" s="30" t="inlineStr">
        <is>
          <t>XS1567174286</t>
        </is>
      </c>
      <c r="B640" s="30" t="inlineStr">
        <is>
          <t>Distributor of pharmaceuticals and medical-surgical supplies.</t>
        </is>
      </c>
    </row>
    <row r="641">
      <c r="A641" s="30" t="inlineStr">
        <is>
          <t>XS2533094400</t>
        </is>
      </c>
      <c r="B641" s="30" t="inlineStr">
        <is>
          <t>European Investment banking boutique</t>
        </is>
      </c>
    </row>
    <row r="642">
      <c r="A642" s="30" t="inlineStr">
        <is>
          <t>XS2386287689</t>
        </is>
      </c>
      <c r="B642" s="30" t="inlineStr">
        <is>
          <t>European investment banking boutique.</t>
        </is>
      </c>
    </row>
    <row r="643">
      <c r="A643" s="30" t="inlineStr">
        <is>
          <t>USG59669AC89</t>
        </is>
      </c>
      <c r="B643" s="30" t="inlineStr">
        <is>
          <t>Operates as a web based shopping platform for locally found consumers</t>
        </is>
      </c>
    </row>
    <row r="644">
      <c r="A644" s="30" t="inlineStr">
        <is>
          <t>US58733RAE27</t>
        </is>
      </c>
      <c r="B644" s="30" t="inlineStr">
        <is>
          <t>Operates as an online trading site for the latin american market</t>
        </is>
      </c>
    </row>
    <row r="645">
      <c r="A645" s="30" t="inlineStr">
        <is>
          <t>USU2339CBX57</t>
        </is>
      </c>
      <c r="B645" s="30" t="inlineStr">
        <is>
          <t>Developer and Manufacturer of automotive products</t>
        </is>
      </c>
    </row>
    <row r="646">
      <c r="A646" s="30" t="inlineStr">
        <is>
          <t>USU2339CCC02</t>
        </is>
      </c>
      <c r="B646" s="30" t="inlineStr">
        <is>
          <t>Developer and Manufacturer of automotive products</t>
        </is>
      </c>
    </row>
    <row r="647">
      <c r="A647" s="30" t="inlineStr">
        <is>
          <t>USU5876JAG05</t>
        </is>
      </c>
      <c r="B647" s="30" t="inlineStr">
        <is>
          <t>Developer and Manufacturer of automotive products</t>
        </is>
      </c>
    </row>
    <row r="648">
      <c r="A648" s="30" t="inlineStr">
        <is>
          <t>DE000A190NE4</t>
        </is>
      </c>
      <c r="B648" s="30" t="inlineStr">
        <is>
          <t>Developer and Manufacturer of automotive products</t>
        </is>
      </c>
    </row>
    <row r="649">
      <c r="A649" s="30" t="inlineStr">
        <is>
          <t>US588056AW17</t>
        </is>
      </c>
      <c r="B649" s="30" t="inlineStr">
        <is>
          <t>American producer of bleached softwood fraft pulp</t>
        </is>
      </c>
    </row>
    <row r="650">
      <c r="A650" s="30" t="inlineStr">
        <is>
          <t>US58933YAR62</t>
        </is>
      </c>
      <c r="B650" s="30" t="inlineStr">
        <is>
          <t>One of the largest global pharmaceutical companies</t>
        </is>
      </c>
    </row>
    <row r="651">
      <c r="A651" s="30" t="inlineStr">
        <is>
          <t>US58933YBJ38</t>
        </is>
      </c>
      <c r="B651" s="30" t="inlineStr">
        <is>
          <t>One of the largest global pharmaceutical companies</t>
        </is>
      </c>
    </row>
    <row r="652">
      <c r="A652" s="30" t="inlineStr">
        <is>
          <t>US58933YBL83</t>
        </is>
      </c>
      <c r="B652" s="30" t="inlineStr">
        <is>
          <t>One of the largest global pharmaceutical companies</t>
        </is>
      </c>
    </row>
    <row r="653">
      <c r="A653" s="30" t="inlineStr">
        <is>
          <t>USU5900CAA81</t>
        </is>
      </c>
      <c r="B653" s="30" t="inlineStr">
        <is>
          <t xml:space="preserve">Holding company of utility </t>
        </is>
      </c>
    </row>
    <row r="654">
      <c r="A654" s="30" t="inlineStr">
        <is>
          <t>USU5922DDR09</t>
        </is>
      </c>
      <c r="B654" s="30" t="inlineStr">
        <is>
          <t>Provides individual insurance, employee benefits and financial services in the world</t>
        </is>
      </c>
    </row>
    <row r="655">
      <c r="A655" s="30" t="inlineStr">
        <is>
          <t>USU5922DDT64</t>
        </is>
      </c>
      <c r="B655" s="30" t="inlineStr">
        <is>
          <t>Provides individual insurance, employee benefits and financial services in the world</t>
        </is>
      </c>
    </row>
    <row r="656">
      <c r="A656" s="30" t="inlineStr">
        <is>
          <t>XS2429208056</t>
        </is>
      </c>
      <c r="B656" s="30" t="inlineStr">
        <is>
          <t>The company provides life insurance, automobile and homeowners insurance.</t>
        </is>
      </c>
    </row>
    <row r="657">
      <c r="A657" s="30" t="inlineStr">
        <is>
          <t>US30303M8M79</t>
        </is>
      </c>
      <c r="B657" s="30" t="inlineStr">
        <is>
          <t>A social technology company</t>
        </is>
      </c>
    </row>
    <row r="658">
      <c r="A658" s="30" t="inlineStr">
        <is>
          <t>US30303M8N52</t>
        </is>
      </c>
      <c r="B658" s="30" t="inlineStr">
        <is>
          <t>A social technology company</t>
        </is>
      </c>
    </row>
    <row r="659">
      <c r="A659" s="30" t="inlineStr">
        <is>
          <t>US30303M8Q83</t>
        </is>
      </c>
      <c r="B659" s="30" t="inlineStr">
        <is>
          <t>A social technology company</t>
        </is>
      </c>
    </row>
    <row r="660">
      <c r="A660" s="30" t="inlineStr">
        <is>
          <t>US30303M8R66</t>
        </is>
      </c>
      <c r="B660" s="30" t="inlineStr">
        <is>
          <t>A social technology company</t>
        </is>
      </c>
    </row>
    <row r="661">
      <c r="A661" s="30" t="inlineStr">
        <is>
          <t>US30303M8L96</t>
        </is>
      </c>
      <c r="B661" s="30" t="inlineStr">
        <is>
          <t>A social technology company</t>
        </is>
      </c>
    </row>
    <row r="662">
      <c r="A662" s="30" t="inlineStr">
        <is>
          <t>US59156RCE62</t>
        </is>
      </c>
      <c r="B662" s="30" t="inlineStr">
        <is>
          <t>Provides individual insurance, employee benefits, and financial services</t>
        </is>
      </c>
    </row>
    <row r="663">
      <c r="A663" s="30" t="inlineStr">
        <is>
          <t>USP6629MAC66</t>
        </is>
      </c>
      <c r="B663" s="30" t="inlineStr">
        <is>
          <t>Airport operator</t>
        </is>
      </c>
    </row>
    <row r="664">
      <c r="A664" s="30" t="inlineStr">
        <is>
          <t>US594918BY93</t>
        </is>
      </c>
      <c r="B664" s="30" t="inlineStr">
        <is>
          <t>World's largest software manufacturer</t>
        </is>
      </c>
    </row>
    <row r="665">
      <c r="A665" s="30" t="inlineStr">
        <is>
          <t>US594918BB90</t>
        </is>
      </c>
      <c r="B665" s="30" t="inlineStr">
        <is>
          <t>World's largest software manufacturer</t>
        </is>
      </c>
    </row>
    <row r="666">
      <c r="A666" s="30" t="inlineStr">
        <is>
          <t>US594918BC73</t>
        </is>
      </c>
      <c r="B666" s="30" t="inlineStr">
        <is>
          <t>World's largest software manufacturer</t>
        </is>
      </c>
    </row>
    <row r="667">
      <c r="A667" s="30" t="inlineStr">
        <is>
          <t>US594918BL72</t>
        </is>
      </c>
      <c r="B667" s="30" t="inlineStr">
        <is>
          <t>World's largest software manufacturer</t>
        </is>
      </c>
    </row>
    <row r="668">
      <c r="A668" s="30" t="inlineStr">
        <is>
          <t>USL6401PAH66</t>
        </is>
      </c>
      <c r="B668" s="30" t="inlineStr">
        <is>
          <t>One of Brazil's leaders in the production and sale of fresh beef</t>
        </is>
      </c>
    </row>
    <row r="669">
      <c r="A669" s="30" t="inlineStr">
        <is>
          <t>US606822BS23</t>
        </is>
      </c>
      <c r="B669" s="30" t="inlineStr">
        <is>
          <t>Mitsubishi UFJ Financial Group is a holding company (Mitsubishi Tokyo and UFJ)</t>
        </is>
      </c>
    </row>
    <row r="670">
      <c r="A670" s="30" t="inlineStr">
        <is>
          <t>XS2594990892</t>
        </is>
      </c>
      <c r="B670" s="30" t="inlineStr">
        <is>
          <t>One of the largest banks in Japan</t>
        </is>
      </c>
    </row>
    <row r="671">
      <c r="A671" s="30" t="inlineStr">
        <is>
          <t>USY6142NAG35</t>
        </is>
      </c>
      <c r="B671" s="30" t="inlineStr">
        <is>
          <t>Mongolia sovereign bond</t>
        </is>
      </c>
    </row>
    <row r="672">
      <c r="A672" s="30" t="inlineStr">
        <is>
          <t>US61746BCY02</t>
        </is>
      </c>
      <c r="B672" s="30" t="inlineStr">
        <is>
          <t>One of the largest US investment banks</t>
        </is>
      </c>
    </row>
    <row r="673">
      <c r="A673" s="30" t="inlineStr">
        <is>
          <t>XS2446386356</t>
        </is>
      </c>
      <c r="B673" s="30" t="inlineStr">
        <is>
          <t>One of the largest US investment banks</t>
        </is>
      </c>
    </row>
    <row r="674">
      <c r="A674" s="30" t="inlineStr">
        <is>
          <t>USU5521TAG77</t>
        </is>
      </c>
      <c r="B674" s="30" t="inlineStr">
        <is>
          <t>Global provider of financial indices, data and analytics</t>
        </is>
      </c>
    </row>
    <row r="675">
      <c r="A675" s="30" t="inlineStr">
        <is>
          <t>US55354GAL41</t>
        </is>
      </c>
      <c r="B675" s="30" t="inlineStr">
        <is>
          <t>Global provider of financial indices, data and analytics</t>
        </is>
      </c>
    </row>
    <row r="676">
      <c r="A676" s="30" t="inlineStr">
        <is>
          <t>USJ0423YBX16</t>
        </is>
      </c>
      <c r="B676" s="30" t="inlineStr">
        <is>
          <t>Major commercial banking organization in Japan</t>
        </is>
      </c>
    </row>
    <row r="677">
      <c r="A677" s="30" t="inlineStr">
        <is>
          <t>XS2242171291</t>
        </is>
      </c>
      <c r="B677" s="30" t="inlineStr">
        <is>
          <t>UAE partially state-owned district cooling company</t>
        </is>
      </c>
    </row>
    <row r="678">
      <c r="A678" s="30" t="inlineStr">
        <is>
          <t>US639057AG33</t>
        </is>
      </c>
      <c r="B678" s="30" t="inlineStr">
        <is>
          <t xml:space="preserve">Provide worldwide financial services. </t>
        </is>
      </c>
    </row>
    <row r="679">
      <c r="A679" s="30" t="inlineStr">
        <is>
          <t>XS1795261822</t>
        </is>
      </c>
      <c r="B679" s="30" t="inlineStr">
        <is>
          <t>Banking and Financial service company</t>
        </is>
      </c>
    </row>
    <row r="680">
      <c r="A680" s="30" t="inlineStr">
        <is>
          <t>XS2449911143</t>
        </is>
      </c>
      <c r="B680" s="30" t="inlineStr">
        <is>
          <t>Banking and Financial service company</t>
        </is>
      </c>
    </row>
    <row r="681">
      <c r="A681" s="30" t="inlineStr">
        <is>
          <t>XS2576255249</t>
        </is>
      </c>
      <c r="B681" s="30" t="inlineStr">
        <is>
          <t xml:space="preserve">Banking and Financial service company </t>
        </is>
      </c>
    </row>
    <row r="682">
      <c r="A682" s="30" t="inlineStr">
        <is>
          <t>CH1231312708</t>
        </is>
      </c>
      <c r="B682" s="30" t="inlineStr">
        <is>
          <t>Banking and Financial service company</t>
        </is>
      </c>
    </row>
    <row r="683">
      <c r="A683" s="30" t="inlineStr">
        <is>
          <t>CH1167887277</t>
        </is>
      </c>
      <c r="B683" s="30" t="inlineStr">
        <is>
          <t>Banking and Financial service company</t>
        </is>
      </c>
    </row>
    <row r="684">
      <c r="A684" s="30" t="inlineStr">
        <is>
          <t>USP71340AD81</t>
        </is>
      </c>
      <c r="B684" s="30" t="inlineStr">
        <is>
          <t>Nemak develops and markets aluminum products for the automotive industry</t>
        </is>
      </c>
    </row>
    <row r="685">
      <c r="A685" s="30" t="inlineStr">
        <is>
          <t>XS2362994068</t>
        </is>
      </c>
      <c r="B685" s="30" t="inlineStr">
        <is>
          <t>Developer and manufacturer of aluminum products for the auto industry</t>
        </is>
      </c>
    </row>
    <row r="686">
      <c r="A686" s="30" t="inlineStr">
        <is>
          <t>XS2595412631</t>
        </is>
      </c>
      <c r="B686" s="30" t="inlineStr">
        <is>
          <t>Swiss multinational packaged food company</t>
        </is>
      </c>
    </row>
    <row r="687">
      <c r="A687" s="30" t="inlineStr">
        <is>
          <t>XS2595410775</t>
        </is>
      </c>
      <c r="B687" s="30" t="inlineStr">
        <is>
          <t>Swiss multinational packaged food company</t>
        </is>
      </c>
    </row>
    <row r="688">
      <c r="A688" s="30" t="inlineStr">
        <is>
          <t>XS2148390755</t>
        </is>
      </c>
      <c r="B688" s="30" t="inlineStr">
        <is>
          <t>Swiss multinational packaged food company</t>
        </is>
      </c>
    </row>
    <row r="689">
      <c r="A689" s="30" t="inlineStr">
        <is>
          <t>XS2689046626</t>
        </is>
      </c>
      <c r="B689" s="30" t="inlineStr">
        <is>
          <t>Swiss multinational packaged food company</t>
        </is>
      </c>
    </row>
    <row r="690">
      <c r="A690" s="30" t="inlineStr">
        <is>
          <t>USU64106CD47</t>
        </is>
      </c>
      <c r="B690" s="30" t="inlineStr">
        <is>
          <t>Swiss multinational packaged food company</t>
        </is>
      </c>
    </row>
    <row r="691">
      <c r="A691" s="30" t="inlineStr">
        <is>
          <t>USU74078CU56</t>
        </is>
      </c>
      <c r="B691" s="30" t="inlineStr">
        <is>
          <t>Swiss multinational packaged food company</t>
        </is>
      </c>
    </row>
    <row r="692">
      <c r="A692" s="30" t="inlineStr">
        <is>
          <t>USU64106CB80</t>
        </is>
      </c>
      <c r="B692" s="30" t="inlineStr">
        <is>
          <t>Swiss multinational packaged food company</t>
        </is>
      </c>
    </row>
    <row r="693">
      <c r="A693" s="30" t="inlineStr">
        <is>
          <t>XS2689044258</t>
        </is>
      </c>
      <c r="B693" s="30" t="inlineStr">
        <is>
          <t>Swiss multinational packaged food company</t>
        </is>
      </c>
    </row>
    <row r="694">
      <c r="A694" s="30" t="inlineStr">
        <is>
          <t>CH1226543846</t>
        </is>
      </c>
      <c r="B694" s="30" t="inlineStr">
        <is>
          <t>Swiss multinational packaged food company</t>
        </is>
      </c>
    </row>
    <row r="695">
      <c r="A695" s="30" t="inlineStr">
        <is>
          <t>CH1226543838</t>
        </is>
      </c>
      <c r="B695" s="30" t="inlineStr">
        <is>
          <t>Swiss multinational packaged food company</t>
        </is>
      </c>
    </row>
    <row r="696">
      <c r="A696" s="30" t="inlineStr">
        <is>
          <t>CH1221150506</t>
        </is>
      </c>
      <c r="B696" s="30" t="inlineStr">
        <is>
          <t>Swiss multinational packaged food company</t>
        </is>
      </c>
    </row>
    <row r="697">
      <c r="A697" s="30" t="inlineStr">
        <is>
          <t>XS2811733240</t>
        </is>
      </c>
      <c r="B697" s="30" t="inlineStr">
        <is>
          <t>The company provides life insurance, automobile and homeowners insurance.</t>
        </is>
      </c>
    </row>
    <row r="698">
      <c r="A698" s="30" t="inlineStr">
        <is>
          <t>XS2572476864</t>
        </is>
      </c>
      <c r="B698" s="30" t="inlineStr">
        <is>
          <t>The company provides life insurance, automobile and homeowners insurance.</t>
        </is>
      </c>
    </row>
    <row r="699">
      <c r="A699" s="30" t="inlineStr">
        <is>
          <t>USP98118AA38</t>
        </is>
      </c>
      <c r="B699" s="30" t="inlineStr">
        <is>
          <t xml:space="preserve">Mining company </t>
        </is>
      </c>
    </row>
    <row r="700">
      <c r="A700" s="30" t="inlineStr">
        <is>
          <t>USL67359AB21</t>
        </is>
      </c>
      <c r="B700" s="30" t="inlineStr">
        <is>
          <t xml:space="preserve">Mining company </t>
        </is>
      </c>
    </row>
    <row r="701">
      <c r="A701" s="30" t="inlineStr">
        <is>
          <t>FR001400H0F5</t>
        </is>
      </c>
      <c r="B701" s="30" t="inlineStr">
        <is>
          <t>Manufactures cables</t>
        </is>
      </c>
    </row>
    <row r="702">
      <c r="A702" s="30" t="inlineStr">
        <is>
          <t>XS1985037974</t>
        </is>
      </c>
      <c r="B702" s="30" t="inlineStr">
        <is>
          <t>British clothing, footwear and home products company</t>
        </is>
      </c>
    </row>
    <row r="703">
      <c r="A703" s="30" t="inlineStr">
        <is>
          <t>US65339KCP30</t>
        </is>
      </c>
      <c r="B703" s="30" t="inlineStr">
        <is>
          <t>Develops, constructs, operates and manages wind and solar energy plants</t>
        </is>
      </c>
    </row>
    <row r="704">
      <c r="A704" s="30" t="inlineStr">
        <is>
          <t>US65339KCQ13</t>
        </is>
      </c>
      <c r="B704" s="30" t="inlineStr">
        <is>
          <t>Develops, constructs, operates and manages wind and solar energy plants</t>
        </is>
      </c>
    </row>
    <row r="705">
      <c r="A705" s="30" t="inlineStr">
        <is>
          <t>XS1423753463</t>
        </is>
      </c>
      <c r="B705" s="30" t="inlineStr">
        <is>
          <t>Dutch bank with activities in corporate and investment banking</t>
        </is>
      </c>
    </row>
    <row r="706">
      <c r="A706" s="30" t="inlineStr">
        <is>
          <t>US65535HAR03</t>
        </is>
      </c>
      <c r="B706" s="30" t="inlineStr">
        <is>
          <t>Japanese financial holding company</t>
        </is>
      </c>
    </row>
    <row r="707">
      <c r="A707" s="30" t="inlineStr">
        <is>
          <t>US65535HBK41</t>
        </is>
      </c>
      <c r="B707" s="30" t="inlineStr">
        <is>
          <t>Japanese financial holding company</t>
        </is>
      </c>
    </row>
    <row r="708">
      <c r="A708" s="30" t="inlineStr">
        <is>
          <t>USX6000LAA27</t>
        </is>
      </c>
      <c r="B708" s="30" t="inlineStr">
        <is>
          <t>Largest financial services group in the Nordic and Baltic Sea region</t>
        </is>
      </c>
    </row>
    <row r="709">
      <c r="A709" s="30" t="inlineStr">
        <is>
          <t>XS2443893255</t>
        </is>
      </c>
      <c r="B709" s="30" t="inlineStr">
        <is>
          <t>Largest financial services group in the Nordic and Baltic Sea region</t>
        </is>
      </c>
    </row>
    <row r="710">
      <c r="A710" s="30" t="inlineStr">
        <is>
          <t>XS2578472412</t>
        </is>
      </c>
      <c r="B710" s="30" t="inlineStr">
        <is>
          <t>Provides banking and financial services.</t>
        </is>
      </c>
    </row>
    <row r="711">
      <c r="A711" s="30" t="inlineStr">
        <is>
          <t>XS2578472412</t>
        </is>
      </c>
      <c r="B711" s="30" t="inlineStr">
        <is>
          <t>Provides banking and financial services</t>
        </is>
      </c>
    </row>
    <row r="712">
      <c r="A712" s="30" t="inlineStr">
        <is>
          <t>US66989HAN89</t>
        </is>
      </c>
      <c r="B712" s="30" t="inlineStr">
        <is>
          <t>Global pharmaceutical company</t>
        </is>
      </c>
    </row>
    <row r="713">
      <c r="A713" s="30" t="inlineStr">
        <is>
          <t>US66989HAR93</t>
        </is>
      </c>
      <c r="B713" s="30" t="inlineStr">
        <is>
          <t>Global pharmaceutical company</t>
        </is>
      </c>
    </row>
    <row r="714">
      <c r="A714" s="30" t="inlineStr">
        <is>
          <t>XS2820449945</t>
        </is>
      </c>
      <c r="B714" s="30" t="inlineStr">
        <is>
          <t xml:space="preserve">Global leading pharmaceutical company in diabetes and chronic diseases </t>
        </is>
      </c>
    </row>
    <row r="715">
      <c r="A715" s="30" t="inlineStr">
        <is>
          <t>XS2820454606</t>
        </is>
      </c>
      <c r="B715" s="30" t="inlineStr">
        <is>
          <t xml:space="preserve">Global leading pharmaceutical company in diabetes and chronic diseases </t>
        </is>
      </c>
    </row>
    <row r="716">
      <c r="A716" s="30" t="inlineStr">
        <is>
          <t>XS2820455678</t>
        </is>
      </c>
      <c r="B716" s="30" t="inlineStr">
        <is>
          <t xml:space="preserve">Global leading pharmaceutical company in diabetes and chronic diseases </t>
        </is>
      </c>
    </row>
    <row r="717">
      <c r="A717" s="30" t="inlineStr">
        <is>
          <t>XS1372846003</t>
        </is>
      </c>
      <c r="B717" s="30" t="inlineStr">
        <is>
          <t xml:space="preserve">Majority state-owned power generation company </t>
        </is>
      </c>
    </row>
    <row r="718">
      <c r="A718" s="30" t="inlineStr">
        <is>
          <t>XS1372846003</t>
        </is>
      </c>
      <c r="B718" s="30" t="inlineStr">
        <is>
          <t xml:space="preserve">Majority state-owned power generation company </t>
        </is>
      </c>
    </row>
    <row r="719">
      <c r="A719" s="30" t="inlineStr">
        <is>
          <t>XS1792122266</t>
        </is>
      </c>
      <c r="B719" s="30" t="inlineStr">
        <is>
          <t xml:space="preserve">Majority state-owned power generation company </t>
        </is>
      </c>
    </row>
    <row r="720">
      <c r="A720" s="30" t="inlineStr">
        <is>
          <t>XS2576361609</t>
        </is>
      </c>
      <c r="B720" s="30" t="inlineStr">
        <is>
          <t>Doing business as OeKB, provides financial</t>
        </is>
      </c>
    </row>
    <row r="721">
      <c r="A721" s="30" t="inlineStr">
        <is>
          <t>CH0020632144</t>
        </is>
      </c>
      <c r="B721" s="30" t="inlineStr">
        <is>
          <t>Doing business as OeKB, provides financial</t>
        </is>
      </c>
    </row>
    <row r="722">
      <c r="A722" s="30" t="inlineStr">
        <is>
          <t>XS2810168737</t>
        </is>
      </c>
      <c r="B722" s="30" t="inlineStr">
        <is>
          <t xml:space="preserve">Moroccan state-owned fertiliser company </t>
        </is>
      </c>
    </row>
    <row r="723">
      <c r="A723" s="30" t="inlineStr">
        <is>
          <t>XS1221677120</t>
        </is>
      </c>
      <c r="B723" s="30" t="inlineStr">
        <is>
          <t xml:space="preserve">Moroccan state-owned fertiliser company </t>
        </is>
      </c>
    </row>
    <row r="724">
      <c r="A724" s="30" t="inlineStr">
        <is>
          <t>XS1565437487</t>
        </is>
      </c>
      <c r="B724" s="30" t="inlineStr">
        <is>
          <t xml:space="preserve">Majority state-owned oil and gas company </t>
        </is>
      </c>
    </row>
    <row r="725">
      <c r="A725" s="30" t="inlineStr">
        <is>
          <t>XS1932866079</t>
        </is>
      </c>
      <c r="B725" s="30" t="inlineStr">
        <is>
          <t xml:space="preserve">Majority state-owned oil and gas company </t>
        </is>
      </c>
    </row>
    <row r="726">
      <c r="A726" s="30" t="inlineStr">
        <is>
          <t>XS1457499645</t>
        </is>
      </c>
      <c r="B726" s="30" t="inlineStr">
        <is>
          <t xml:space="preserve">Majority state-owned oil and gas producer </t>
        </is>
      </c>
    </row>
    <row r="727">
      <c r="A727" s="30" t="inlineStr">
        <is>
          <t>US683234AU21</t>
        </is>
      </c>
      <c r="B727" s="30" t="inlineStr">
        <is>
          <t>Province of Ontario (Canada)</t>
        </is>
      </c>
    </row>
    <row r="728">
      <c r="A728" s="30" t="inlineStr">
        <is>
          <t>XS2484353219</t>
        </is>
      </c>
      <c r="B728" s="30" t="inlineStr">
        <is>
          <t>Province of Ontario (Canada)</t>
        </is>
      </c>
    </row>
    <row r="729">
      <c r="A729" s="30" t="inlineStr">
        <is>
          <t>USC69798AJ27</t>
        </is>
      </c>
      <c r="B729" s="30" t="inlineStr">
        <is>
          <t>The Company engages in raising funds and incurring indebtedness</t>
        </is>
      </c>
    </row>
    <row r="730">
      <c r="A730" s="30" t="inlineStr">
        <is>
          <t>XS2311299957</t>
        </is>
      </c>
      <c r="B730" s="30" t="inlineStr">
        <is>
          <t xml:space="preserve">Qatari majority state-owned telecom </t>
        </is>
      </c>
    </row>
    <row r="731">
      <c r="A731" s="30" t="inlineStr">
        <is>
          <t>US68389XAU90</t>
        </is>
      </c>
      <c r="B731" s="30" t="inlineStr">
        <is>
          <t xml:space="preserve">One of the largest global enterprise software company </t>
        </is>
      </c>
    </row>
    <row r="732">
      <c r="A732" s="30" t="inlineStr">
        <is>
          <t>US68389XCF06</t>
        </is>
      </c>
      <c r="B732" s="30" t="inlineStr">
        <is>
          <t xml:space="preserve">One of the largest global enterprise software company </t>
        </is>
      </c>
    </row>
    <row r="733">
      <c r="A733" s="30" t="inlineStr">
        <is>
          <t>US68389XCH61</t>
        </is>
      </c>
      <c r="B733" s="30" t="inlineStr">
        <is>
          <t>One of the largest global enterprise software companies</t>
        </is>
      </c>
    </row>
    <row r="734">
      <c r="A734" s="30" t="inlineStr">
        <is>
          <t>US68389XCK90</t>
        </is>
      </c>
      <c r="B734" s="30" t="inlineStr">
        <is>
          <t xml:space="preserve">One of the largest global enterprise software company </t>
        </is>
      </c>
    </row>
    <row r="735">
      <c r="A735" s="30" t="inlineStr">
        <is>
          <t>USP7372BAA19</t>
        </is>
      </c>
      <c r="B735" s="30" t="inlineStr">
        <is>
          <t>Utility company</t>
        </is>
      </c>
    </row>
    <row r="736">
      <c r="A736" s="30" t="inlineStr">
        <is>
          <t>XS2647371843</t>
        </is>
      </c>
      <c r="B736" s="30" t="inlineStr">
        <is>
          <t>Is an integrated, multi-utility company, operating in Central Europe and Canada</t>
        </is>
      </c>
    </row>
    <row r="737">
      <c r="A737" s="30" t="inlineStr">
        <is>
          <t>XS1997070781</t>
        </is>
      </c>
      <c r="B737" s="30" t="inlineStr">
        <is>
          <t>Danish utility company operating offshore wind farm</t>
        </is>
      </c>
    </row>
    <row r="738">
      <c r="A738" s="30" t="inlineStr">
        <is>
          <t>USP7464EAA49</t>
        </is>
      </c>
      <c r="B738" s="30" t="inlineStr">
        <is>
          <t>Generates, transmits and distributes electricity</t>
        </is>
      </c>
    </row>
    <row r="739">
      <c r="A739" s="30" t="inlineStr">
        <is>
          <t>US713448CT37</t>
        </is>
      </c>
      <c r="B739" s="30" t="inlineStr">
        <is>
          <t>One of the world leaders in snack foods and beverages</t>
        </is>
      </c>
    </row>
    <row r="740">
      <c r="A740" s="30" t="inlineStr">
        <is>
          <t>US713448EL82</t>
        </is>
      </c>
      <c r="B740" s="30" t="inlineStr">
        <is>
          <t>One of the world leaders in snack foods and beverages</t>
        </is>
      </c>
    </row>
    <row r="741">
      <c r="A741" s="30" t="inlineStr">
        <is>
          <t>US713448FS27</t>
        </is>
      </c>
      <c r="B741" s="30" t="inlineStr">
        <is>
          <t>One of the world leaders in snack foods and beverages</t>
        </is>
      </c>
    </row>
    <row r="742">
      <c r="A742" s="30" t="inlineStr">
        <is>
          <t>US713448FT00</t>
        </is>
      </c>
      <c r="B742" s="30" t="inlineStr">
        <is>
          <t>One of the world leaders in snack foods and beverages</t>
        </is>
      </c>
    </row>
    <row r="743">
      <c r="A743" s="30" t="inlineStr">
        <is>
          <t>USU7136QAB78</t>
        </is>
      </c>
      <c r="B743" s="30" t="inlineStr">
        <is>
          <t>Pernod Ricard International Finance LLC manufactures alcoholic beverages.</t>
        </is>
      </c>
    </row>
    <row r="744">
      <c r="A744" s="30" t="inlineStr">
        <is>
          <t>FR001400KPB4</t>
        </is>
      </c>
      <c r="B744" s="30" t="inlineStr">
        <is>
          <t>Pernod Ricard produces and markets alcoholic beverages.</t>
        </is>
      </c>
    </row>
    <row r="745">
      <c r="A745" s="30" t="inlineStr">
        <is>
          <t>FR001400KPC2</t>
        </is>
      </c>
      <c r="B745" s="30" t="inlineStr">
        <is>
          <t>Pernod Ricard produces and markets alcoholic beverages.</t>
        </is>
      </c>
    </row>
    <row r="746">
      <c r="A746" s="30" t="inlineStr">
        <is>
          <t>XS0718502007</t>
        </is>
      </c>
      <c r="B746" s="30" t="inlineStr">
        <is>
          <t>Largest oil company in Latin America</t>
        </is>
      </c>
    </row>
    <row r="747">
      <c r="A747" s="30" t="inlineStr">
        <is>
          <t>US71647NAQ25</t>
        </is>
      </c>
      <c r="B747" s="30" t="inlineStr">
        <is>
          <t>Largest oil company in Latin America</t>
        </is>
      </c>
    </row>
    <row r="748">
      <c r="A748" s="30" t="inlineStr">
        <is>
          <t>US71647NAS80</t>
        </is>
      </c>
      <c r="B748" s="30" t="inlineStr">
        <is>
          <t>Largest oil company in Latin America</t>
        </is>
      </c>
    </row>
    <row r="749">
      <c r="A749" s="30" t="inlineStr">
        <is>
          <t>US71647NAY58</t>
        </is>
      </c>
      <c r="B749" s="30" t="inlineStr">
        <is>
          <t>Largest oil company in Latin America</t>
        </is>
      </c>
    </row>
    <row r="750">
      <c r="A750" s="30" t="inlineStr">
        <is>
          <t>US71647NAZ24</t>
        </is>
      </c>
      <c r="B750" s="30" t="inlineStr">
        <is>
          <t>Largest oil company in Latin America</t>
        </is>
      </c>
    </row>
    <row r="751">
      <c r="A751" s="30" t="inlineStr">
        <is>
          <t>US71647NBH17</t>
        </is>
      </c>
      <c r="B751" s="30" t="inlineStr">
        <is>
          <t>Largest oil company in Latin America</t>
        </is>
      </c>
    </row>
    <row r="752">
      <c r="A752" s="30" t="inlineStr">
        <is>
          <t>US71645WAQ42</t>
        </is>
      </c>
      <c r="B752" s="30" t="inlineStr">
        <is>
          <t>Largest oil company in Latin America</t>
        </is>
      </c>
    </row>
    <row r="753">
      <c r="A753" s="30" t="inlineStr">
        <is>
          <t>US71645WAS08</t>
        </is>
      </c>
      <c r="B753" s="30" t="inlineStr">
        <is>
          <t>Largest oil company in Latin America</t>
        </is>
      </c>
    </row>
    <row r="754">
      <c r="A754" s="30" t="inlineStr">
        <is>
          <t>US71647NAK54</t>
        </is>
      </c>
      <c r="B754" s="30" t="inlineStr">
        <is>
          <t>Largest oil company in Latin America</t>
        </is>
      </c>
    </row>
    <row r="755">
      <c r="A755" s="30" t="inlineStr">
        <is>
          <t>US71647NAN93</t>
        </is>
      </c>
      <c r="B755" s="30" t="inlineStr">
        <is>
          <t>Largest oil company in Latin America</t>
        </is>
      </c>
    </row>
    <row r="756">
      <c r="A756" s="30" t="inlineStr">
        <is>
          <t>XS0835891838</t>
        </is>
      </c>
      <c r="B756" s="30" t="inlineStr">
        <is>
          <t>7th largest commercial bank in Brazil, 50% owned by Banco do Brasil</t>
        </is>
      </c>
    </row>
    <row r="757">
      <c r="A757" s="30" t="inlineStr">
        <is>
          <t>XS0982711714</t>
        </is>
      </c>
      <c r="B757" s="30" t="inlineStr">
        <is>
          <t>Largest oil company in Latin America</t>
        </is>
      </c>
    </row>
    <row r="758">
      <c r="A758" s="30" t="inlineStr">
        <is>
          <t>US71654QBV32</t>
        </is>
      </c>
      <c r="B758" s="30" t="inlineStr">
        <is>
          <t>Mexican state oil and gas company</t>
        </is>
      </c>
    </row>
    <row r="759">
      <c r="A759" s="30" t="inlineStr">
        <is>
          <t>US71654QCG55</t>
        </is>
      </c>
      <c r="B759" s="30" t="inlineStr">
        <is>
          <t>Mexican state oil and gas company</t>
        </is>
      </c>
    </row>
    <row r="760">
      <c r="A760" s="30" t="inlineStr">
        <is>
          <t>USP8000UAA71</t>
        </is>
      </c>
      <c r="B760" s="30" t="inlineStr">
        <is>
          <t>Mexican state oil and gas company</t>
        </is>
      </c>
    </row>
    <row r="761">
      <c r="A761" s="30" t="inlineStr">
        <is>
          <t>XS1824425182</t>
        </is>
      </c>
      <c r="B761" s="30" t="inlineStr">
        <is>
          <t>Mexican state oil and gas company</t>
        </is>
      </c>
    </row>
    <row r="762">
      <c r="A762" s="30" t="inlineStr">
        <is>
          <t>CH1206367588</t>
        </is>
      </c>
      <c r="B762" s="30" t="inlineStr">
        <is>
          <t>Provides mortgage finance services</t>
        </is>
      </c>
    </row>
    <row r="763">
      <c r="A763" s="30" t="inlineStr">
        <is>
          <t>CH1206367570</t>
        </is>
      </c>
      <c r="B763" s="30" t="inlineStr">
        <is>
          <t>Provides mortgage finance services</t>
        </is>
      </c>
    </row>
    <row r="764">
      <c r="A764" s="30" t="inlineStr">
        <is>
          <t>CH1131931243</t>
        </is>
      </c>
      <c r="B764" s="30" t="inlineStr">
        <is>
          <t>Provides mortgage finance services</t>
        </is>
      </c>
    </row>
    <row r="765">
      <c r="A765" s="30" t="inlineStr">
        <is>
          <t>CH1206367570</t>
        </is>
      </c>
      <c r="B765" s="30" t="inlineStr">
        <is>
          <t>Provides mortgage finance services</t>
        </is>
      </c>
    </row>
    <row r="766">
      <c r="A766" s="30" t="inlineStr">
        <is>
          <t>CH0373476073</t>
        </is>
      </c>
      <c r="B766" s="30" t="inlineStr">
        <is>
          <t>Provides mortgage finance services</t>
        </is>
      </c>
    </row>
    <row r="767">
      <c r="A767" s="30" t="inlineStr">
        <is>
          <t>CH1206367588</t>
        </is>
      </c>
      <c r="B767" s="30" t="inlineStr">
        <is>
          <t>Provides mortgage finance services</t>
        </is>
      </c>
    </row>
    <row r="768">
      <c r="A768" s="30" t="inlineStr">
        <is>
          <t>CH0352595893</t>
        </is>
      </c>
      <c r="B768" s="30" t="inlineStr">
        <is>
          <t>Provides mortgage finance services</t>
        </is>
      </c>
    </row>
    <row r="769">
      <c r="A769" s="30" t="inlineStr">
        <is>
          <t>CH0360172768</t>
        </is>
      </c>
      <c r="B769" s="30" t="inlineStr">
        <is>
          <t>Provides mortgage finance services</t>
        </is>
      </c>
    </row>
    <row r="770">
      <c r="A770" s="30" t="inlineStr">
        <is>
          <t>CH1255924438</t>
        </is>
      </c>
      <c r="B770" s="30" t="inlineStr">
        <is>
          <t>Provides mortgage finance services</t>
        </is>
      </c>
    </row>
    <row r="771">
      <c r="A771" s="30" t="inlineStr">
        <is>
          <t>US717081ET61</t>
        </is>
      </c>
      <c r="B771" s="30" t="inlineStr">
        <is>
          <t>One of the world's largest pharmaceutical companies</t>
        </is>
      </c>
    </row>
    <row r="772">
      <c r="A772" s="30" t="inlineStr">
        <is>
          <t>XS1574158082</t>
        </is>
      </c>
      <c r="B772" s="30" t="inlineStr">
        <is>
          <t>World's largest pharmaceutical company</t>
        </is>
      </c>
    </row>
    <row r="773">
      <c r="A773" s="30" t="inlineStr">
        <is>
          <t>US716973AD41</t>
        </is>
      </c>
      <c r="B773" s="30" t="inlineStr">
        <is>
          <t>One of the world's largest pharmaceutical companies</t>
        </is>
      </c>
    </row>
    <row r="774">
      <c r="A774" s="30" t="inlineStr">
        <is>
          <t>US718172BM02</t>
        </is>
      </c>
      <c r="B774" s="30" t="inlineStr">
        <is>
          <t>World's leading international tobacco company</t>
        </is>
      </c>
    </row>
    <row r="775">
      <c r="A775" s="30" t="inlineStr">
        <is>
          <t>US718172DA46</t>
        </is>
      </c>
      <c r="B775" s="30" t="inlineStr">
        <is>
          <t>World's leading international tobacco company</t>
        </is>
      </c>
    </row>
    <row r="776">
      <c r="A776" s="30" t="inlineStr">
        <is>
          <t>XS2361342889</t>
        </is>
      </c>
      <c r="B776" s="30" t="inlineStr">
        <is>
          <t xml:space="preserve">French distributor of Frozen food products </t>
        </is>
      </c>
    </row>
    <row r="777">
      <c r="A777" s="30" t="inlineStr">
        <is>
          <t>XS2577396430</t>
        </is>
      </c>
      <c r="B777" s="30" t="inlineStr">
        <is>
          <t>Designs, produces and sells tires for cars, motorcycles and bicycles</t>
        </is>
      </c>
    </row>
    <row r="778">
      <c r="A778" s="30" t="inlineStr">
        <is>
          <t>XS2643320109</t>
        </is>
      </c>
      <c r="B778" s="30" t="inlineStr">
        <is>
          <t>Holding company of Prosche AG and Volkswagen AG</t>
        </is>
      </c>
    </row>
    <row r="779">
      <c r="A779" s="30" t="inlineStr">
        <is>
          <t>XS2615940215</t>
        </is>
      </c>
      <c r="B779" s="30" t="inlineStr">
        <is>
          <t>Holding company of Prosche AG and Volkswagen AG</t>
        </is>
      </c>
    </row>
    <row r="780">
      <c r="A780" s="30" t="inlineStr">
        <is>
          <t>FR0013535150</t>
        </is>
      </c>
      <c r="B780" s="30" t="inlineStr">
        <is>
          <t>Hospital operator</t>
        </is>
      </c>
    </row>
    <row r="781">
      <c r="A781" s="30" t="inlineStr">
        <is>
          <t>US742718GA10</t>
        </is>
      </c>
      <c r="B781" s="30" t="inlineStr">
        <is>
          <t>Manufactures and markets consumer products</t>
        </is>
      </c>
    </row>
    <row r="782">
      <c r="A782" s="30" t="inlineStr">
        <is>
          <t>US742718FY05</t>
        </is>
      </c>
      <c r="B782" s="30" t="inlineStr">
        <is>
          <t>Manufactures and markets consumer products</t>
        </is>
      </c>
    </row>
    <row r="783">
      <c r="A783" s="30" t="inlineStr">
        <is>
          <t>XS1608101066</t>
        </is>
      </c>
      <c r="B783" s="30" t="inlineStr">
        <is>
          <t xml:space="preserve">Manufactures and markets consumer products </t>
        </is>
      </c>
    </row>
    <row r="784">
      <c r="A784" s="30" t="inlineStr">
        <is>
          <t>USN7163RAW36</t>
        </is>
      </c>
      <c r="B784" s="30" t="inlineStr">
        <is>
          <t>Firm which invests in internet, digital media and technology companies</t>
        </is>
      </c>
    </row>
    <row r="785">
      <c r="A785" s="30" t="inlineStr">
        <is>
          <t>USN7163RAX19</t>
        </is>
      </c>
      <c r="B785" s="30" t="inlineStr">
        <is>
          <t>Firm which invests in internet, digital media and technology companies</t>
        </is>
      </c>
    </row>
    <row r="786">
      <c r="A786" s="30" t="inlineStr">
        <is>
          <t>USN7163RAY91</t>
        </is>
      </c>
      <c r="B786" s="30" t="inlineStr">
        <is>
          <t>Firm which invests in internet, digital media and technology companies</t>
        </is>
      </c>
    </row>
    <row r="787">
      <c r="A787" s="30" t="inlineStr">
        <is>
          <t>US013051EM50</t>
        </is>
      </c>
      <c r="B787" s="30" t="inlineStr">
        <is>
          <t>Province of Alberta (Canada)</t>
        </is>
      </c>
    </row>
    <row r="788">
      <c r="A788" s="30" t="inlineStr">
        <is>
          <t>US748148SC86</t>
        </is>
      </c>
      <c r="B788" s="30" t="inlineStr">
        <is>
          <t>Province of Quebec (Canada)</t>
        </is>
      </c>
    </row>
    <row r="789">
      <c r="A789" s="30" t="inlineStr">
        <is>
          <t>XS2476287979</t>
        </is>
      </c>
      <c r="B789" s="30" t="inlineStr">
        <is>
          <t>Province of Quebec (Canada)</t>
        </is>
      </c>
    </row>
    <row r="790">
      <c r="A790" s="30" t="inlineStr">
        <is>
          <t>XS1606720131</t>
        </is>
      </c>
      <c r="B790" s="30" t="inlineStr">
        <is>
          <t>Province of Quebec (Canada)</t>
        </is>
      </c>
    </row>
    <row r="791">
      <c r="A791" s="30" t="inlineStr">
        <is>
          <t>US803854KQ02</t>
        </is>
      </c>
      <c r="B791" s="30" t="inlineStr">
        <is>
          <t>A prairie province in Canada</t>
        </is>
      </c>
    </row>
    <row r="792">
      <c r="A792" s="30" t="inlineStr">
        <is>
          <t>CH1232107164</t>
        </is>
      </c>
      <c r="B792" s="30" t="inlineStr">
        <is>
          <t>Owns and manage real estate</t>
        </is>
      </c>
    </row>
    <row r="793">
      <c r="A793" s="30" t="inlineStr">
        <is>
          <t>XS2327392234</t>
        </is>
      </c>
      <c r="B793" s="30" t="inlineStr">
        <is>
          <t>One of the leading property developers in Indonesia</t>
        </is>
      </c>
    </row>
    <row r="794">
      <c r="A794" s="30" t="inlineStr">
        <is>
          <t>XS2357494322</t>
        </is>
      </c>
      <c r="B794" s="30" t="inlineStr">
        <is>
          <t xml:space="preserve">Qatari fully state-owned integrated energy company </t>
        </is>
      </c>
    </row>
    <row r="795">
      <c r="A795" s="30" t="inlineStr">
        <is>
          <t>XS2114850949</t>
        </is>
      </c>
      <c r="B795" s="30" t="inlineStr">
        <is>
          <t>Qatari bank owned by the government</t>
        </is>
      </c>
    </row>
    <row r="796">
      <c r="A796" s="30" t="inlineStr">
        <is>
          <t>US74736KAH41</t>
        </is>
      </c>
      <c r="B796" s="30" t="inlineStr">
        <is>
          <t>Designs semiconductor solutions for connectivity and power applications</t>
        </is>
      </c>
    </row>
    <row r="797">
      <c r="A797" s="30" t="inlineStr">
        <is>
          <t>US747262AU78</t>
        </is>
      </c>
      <c r="B797" s="30" t="inlineStr">
        <is>
          <t>offers online shopping services</t>
        </is>
      </c>
    </row>
    <row r="798">
      <c r="A798" s="30" t="inlineStr">
        <is>
          <t>XS2579606927</t>
        </is>
      </c>
      <c r="B798" s="30" t="inlineStr">
        <is>
          <t>The bank operates in Austria and Central and Eastern</t>
        </is>
      </c>
    </row>
    <row r="799">
      <c r="A799" s="30" t="inlineStr">
        <is>
          <t>USL7909CAA55</t>
        </is>
      </c>
      <c r="B799" s="30" t="inlineStr">
        <is>
          <t>operates as a sepcial purpose entitty</t>
        </is>
      </c>
    </row>
    <row r="800">
      <c r="A800" s="30" t="inlineStr">
        <is>
          <t>FR001400F0U6</t>
        </is>
      </c>
      <c r="B800" s="30" t="inlineStr">
        <is>
          <t>Provider of automobile financing services for Renault</t>
        </is>
      </c>
    </row>
    <row r="801">
      <c r="A801" s="30" t="inlineStr">
        <is>
          <t>FR001400P3E2</t>
        </is>
      </c>
      <c r="B801" s="30" t="inlineStr">
        <is>
          <t>Provider of automobile financing services for Renault</t>
        </is>
      </c>
    </row>
    <row r="802">
      <c r="A802" s="30" t="inlineStr">
        <is>
          <t>USL7915RAA43</t>
        </is>
      </c>
      <c r="B802" s="30" t="inlineStr">
        <is>
          <t>Provides medical and surgical hospital services</t>
        </is>
      </c>
    </row>
    <row r="803">
      <c r="A803" s="30" t="inlineStr">
        <is>
          <t>US168863DX33</t>
        </is>
      </c>
      <c r="B803" s="30" t="inlineStr">
        <is>
          <t>Chile Government bond</t>
        </is>
      </c>
    </row>
    <row r="804">
      <c r="A804" s="30" t="inlineStr">
        <is>
          <t>US168863DN50</t>
        </is>
      </c>
      <c r="B804" s="30" t="inlineStr">
        <is>
          <t>Chile Government bond</t>
        </is>
      </c>
    </row>
    <row r="805">
      <c r="A805" s="30" t="inlineStr">
        <is>
          <t>US168863DZ80</t>
        </is>
      </c>
      <c r="B805" s="30" t="inlineStr">
        <is>
          <t>Chile Government bond</t>
        </is>
      </c>
    </row>
    <row r="806">
      <c r="A806" s="30" t="inlineStr">
        <is>
          <t>US195325EG61</t>
        </is>
      </c>
      <c r="B806" s="30" t="inlineStr">
        <is>
          <t>Colombian Government bond</t>
        </is>
      </c>
    </row>
    <row r="807">
      <c r="A807" s="30" t="inlineStr">
        <is>
          <t>USP5015VAQ97</t>
        </is>
      </c>
      <c r="B807" s="30" t="inlineStr">
        <is>
          <t>Guatemala government bond</t>
        </is>
      </c>
    </row>
    <row r="808">
      <c r="A808" s="30" t="inlineStr">
        <is>
          <t>US455780DQ66</t>
        </is>
      </c>
      <c r="B808" s="30" t="inlineStr">
        <is>
          <t>Republic Of Indonesia</t>
        </is>
      </c>
    </row>
    <row r="809">
      <c r="A809" s="30" t="inlineStr">
        <is>
          <t>US455780DR40</t>
        </is>
      </c>
      <c r="B809" s="30" t="inlineStr">
        <is>
          <t>Republic Of Indonesia</t>
        </is>
      </c>
    </row>
    <row r="810">
      <c r="A810" s="30" t="inlineStr">
        <is>
          <t>US455780DS23</t>
        </is>
      </c>
      <c r="B810" s="30" t="inlineStr">
        <is>
          <t>Republic Of Indonesia</t>
        </is>
      </c>
    </row>
    <row r="811">
      <c r="A811" s="30" t="inlineStr">
        <is>
          <t>USP75744AM75</t>
        </is>
      </c>
      <c r="B811" s="30" t="inlineStr">
        <is>
          <t>Paraguay Government bond</t>
        </is>
      </c>
    </row>
    <row r="812">
      <c r="A812" s="30" t="inlineStr">
        <is>
          <t>US731011AV42</t>
        </is>
      </c>
      <c r="B812" s="30" t="inlineStr">
        <is>
          <t>Republic of Poland</t>
        </is>
      </c>
    </row>
    <row r="813">
      <c r="A813" s="30" t="inlineStr">
        <is>
          <t>XS2586944659</t>
        </is>
      </c>
      <c r="B813" s="30" t="inlineStr">
        <is>
          <t>Poland government bond</t>
        </is>
      </c>
    </row>
    <row r="814">
      <c r="A814" s="30" t="inlineStr">
        <is>
          <t>XS2586944147</t>
        </is>
      </c>
      <c r="B814" s="30" t="inlineStr">
        <is>
          <t>Poland government bond</t>
        </is>
      </c>
    </row>
    <row r="815">
      <c r="A815" s="30" t="inlineStr">
        <is>
          <t>US857524AD47</t>
        </is>
      </c>
      <c r="B815" s="30" t="inlineStr">
        <is>
          <t xml:space="preserve">Poland government bond </t>
        </is>
      </c>
    </row>
    <row r="816">
      <c r="A816" s="30" t="inlineStr">
        <is>
          <t>US731011AV42</t>
        </is>
      </c>
      <c r="B816" s="30" t="inlineStr">
        <is>
          <t xml:space="preserve">Poland government bond </t>
        </is>
      </c>
    </row>
    <row r="817">
      <c r="A817" s="30" t="inlineStr">
        <is>
          <t>US731011AW25</t>
        </is>
      </c>
      <c r="B817" s="30" t="inlineStr">
        <is>
          <t xml:space="preserve">Poland government bond </t>
        </is>
      </c>
    </row>
    <row r="818">
      <c r="A818" s="30" t="inlineStr">
        <is>
          <t>XS1508566392</t>
        </is>
      </c>
      <c r="B818" s="30" t="inlineStr">
        <is>
          <t>Poland government bond</t>
        </is>
      </c>
    </row>
    <row r="819">
      <c r="A819" s="30" t="inlineStr">
        <is>
          <t>XS2447602793</t>
        </is>
      </c>
      <c r="B819" s="30" t="inlineStr">
        <is>
          <t>Poland government bond</t>
        </is>
      </c>
    </row>
    <row r="820">
      <c r="A820" s="30" t="inlineStr">
        <is>
          <t>XS1085735899</t>
        </is>
      </c>
      <c r="B820" s="30" t="inlineStr">
        <is>
          <t xml:space="preserve">Portuguese government bond </t>
        </is>
      </c>
    </row>
    <row r="821">
      <c r="A821" s="30" t="inlineStr">
        <is>
          <t>XS2580269426</t>
        </is>
      </c>
      <c r="B821" s="30" t="inlineStr">
        <is>
          <t>Serbian government bond</t>
        </is>
      </c>
    </row>
    <row r="822">
      <c r="A822" s="30" t="inlineStr">
        <is>
          <t>XS2580270275</t>
        </is>
      </c>
      <c r="B822" s="30" t="inlineStr">
        <is>
          <t>Serbian government bond</t>
        </is>
      </c>
    </row>
    <row r="823">
      <c r="A823" s="30" t="inlineStr">
        <is>
          <t>US900123CQ19</t>
        </is>
      </c>
      <c r="B823" s="30" t="inlineStr">
        <is>
          <t>Turkey sovereign bond</t>
        </is>
      </c>
    </row>
    <row r="824">
      <c r="A824" s="30" t="inlineStr">
        <is>
          <t>US900123DG28</t>
        </is>
      </c>
      <c r="B824" s="30" t="inlineStr">
        <is>
          <t>Turkey sovereign bond</t>
        </is>
      </c>
    </row>
    <row r="825">
      <c r="A825" s="30" t="inlineStr">
        <is>
          <t>US900123BG46</t>
        </is>
      </c>
      <c r="B825" s="30" t="inlineStr">
        <is>
          <t>Turkey sovereign bond</t>
        </is>
      </c>
    </row>
    <row r="826">
      <c r="A826" s="30" t="inlineStr">
        <is>
          <t>SI0002103990</t>
        </is>
      </c>
      <c r="B826" s="30" t="inlineStr">
        <is>
          <t>Slovekia government bond</t>
        </is>
      </c>
    </row>
    <row r="827">
      <c r="A827" s="30" t="inlineStr">
        <is>
          <t>XS2403428472</t>
        </is>
      </c>
      <c r="B827" s="30" t="inlineStr">
        <is>
          <t xml:space="preserve">Provides a wide range of electrical supplies </t>
        </is>
      </c>
    </row>
    <row r="828">
      <c r="A828" s="30" t="inlineStr">
        <is>
          <t>US76720AAN63</t>
        </is>
      </c>
      <c r="B828" s="30" t="inlineStr">
        <is>
          <t>Provides iron ore mining services</t>
        </is>
      </c>
    </row>
    <row r="829">
      <c r="A829" s="30" t="inlineStr">
        <is>
          <t>XS2592088236</t>
        </is>
      </c>
      <c r="B829" s="30" t="inlineStr">
        <is>
          <t>One of the leading global pharmaceutical companys</t>
        </is>
      </c>
    </row>
    <row r="830">
      <c r="A830" s="30" t="inlineStr">
        <is>
          <t>USU75000CF14</t>
        </is>
      </c>
      <c r="B830" s="30" t="inlineStr">
        <is>
          <t>Global healthcare company, with international pharmaceutical operations</t>
        </is>
      </c>
    </row>
    <row r="831">
      <c r="A831" s="30" t="inlineStr">
        <is>
          <t>USU75000BD74</t>
        </is>
      </c>
      <c r="B831" s="30" t="inlineStr">
        <is>
          <t>One of the leading global pharmaceutical companies</t>
        </is>
      </c>
    </row>
    <row r="832">
      <c r="A832" s="30" t="inlineStr">
        <is>
          <t>CH1305916772</t>
        </is>
      </c>
      <c r="B832" s="30" t="inlineStr">
        <is>
          <t>One of the largest Swiss pharmaceutical company</t>
        </is>
      </c>
    </row>
    <row r="833">
      <c r="A833" s="30" t="inlineStr">
        <is>
          <t>CH1305916764</t>
        </is>
      </c>
      <c r="B833" s="30" t="inlineStr">
        <is>
          <t>One of the largest Swiss pharmaceutical company</t>
        </is>
      </c>
    </row>
    <row r="834">
      <c r="A834" s="30" t="inlineStr">
        <is>
          <t>XS0944831154</t>
        </is>
      </c>
      <c r="B834" s="30" t="inlineStr">
        <is>
          <t xml:space="preserve">Manufactures aero, marine, and industrial gas turbines for civil and military aircraft. </t>
        </is>
      </c>
    </row>
    <row r="835">
      <c r="A835" s="30" t="inlineStr">
        <is>
          <t>XS2485248806</t>
        </is>
      </c>
      <c r="B835" s="30" t="inlineStr">
        <is>
          <t>Romania government bmnd</t>
        </is>
      </c>
    </row>
    <row r="836">
      <c r="A836" s="30" t="inlineStr">
        <is>
          <t>XS2201851172</t>
        </is>
      </c>
      <c r="B836" s="30" t="inlineStr">
        <is>
          <t>Romania government bmnd</t>
        </is>
      </c>
    </row>
    <row r="837">
      <c r="A837" s="30" t="inlineStr">
        <is>
          <t>XS2538440780</t>
        </is>
      </c>
      <c r="B837" s="30" t="inlineStr">
        <is>
          <t>Romanian government bond</t>
        </is>
      </c>
    </row>
    <row r="838">
      <c r="A838" s="30" t="inlineStr">
        <is>
          <t>XS2571922884</t>
        </is>
      </c>
      <c r="B838" s="30" t="inlineStr">
        <is>
          <t>Romanian government bond</t>
        </is>
      </c>
    </row>
    <row r="839">
      <c r="A839" s="30" t="inlineStr">
        <is>
          <t>XS2571923007</t>
        </is>
      </c>
      <c r="B839" s="30" t="inlineStr">
        <is>
          <t>Romanian government bond</t>
        </is>
      </c>
    </row>
    <row r="840">
      <c r="A840" s="30" t="inlineStr">
        <is>
          <t>XS2571924070</t>
        </is>
      </c>
      <c r="B840" s="30" t="inlineStr">
        <is>
          <t>Romanian government bond</t>
        </is>
      </c>
    </row>
    <row r="841">
      <c r="A841" s="30" t="inlineStr">
        <is>
          <t>XS2538441598</t>
        </is>
      </c>
      <c r="B841" s="30" t="inlineStr">
        <is>
          <t>Romanian government bond</t>
        </is>
      </c>
    </row>
    <row r="842">
      <c r="A842" s="30" t="inlineStr">
        <is>
          <t>CH1230759552</t>
        </is>
      </c>
      <c r="B842" s="30" t="inlineStr">
        <is>
          <t>One of the Canada's largest bank</t>
        </is>
      </c>
    </row>
    <row r="843">
      <c r="A843" s="30" t="inlineStr">
        <is>
          <t>US78016FZW75</t>
        </is>
      </c>
      <c r="B843" s="30" t="inlineStr">
        <is>
          <t>Canada's largest bank and one of the largest in the world by market capitalization</t>
        </is>
      </c>
    </row>
    <row r="844">
      <c r="A844" s="30" t="inlineStr">
        <is>
          <t>US78016FZX58</t>
        </is>
      </c>
      <c r="B844" s="30" t="inlineStr">
        <is>
          <t>Canada's largest bank and one of the largest in the world by market capitalization</t>
        </is>
      </c>
    </row>
    <row r="845">
      <c r="A845" s="30" t="inlineStr">
        <is>
          <t>XS2578939527</t>
        </is>
      </c>
      <c r="B845" s="30" t="inlineStr">
        <is>
          <t>One of the Canada's largest bank</t>
        </is>
      </c>
    </row>
    <row r="846">
      <c r="A846" s="30" t="inlineStr">
        <is>
          <t>XS2523390271</t>
        </is>
      </c>
      <c r="B846" s="30" t="inlineStr">
        <is>
          <t>Generates and trades electricity</t>
        </is>
      </c>
    </row>
    <row r="847">
      <c r="A847" s="30" t="inlineStr">
        <is>
          <t>USU75091AT28</t>
        </is>
      </c>
      <c r="B847" s="30" t="inlineStr">
        <is>
          <t>One of the largest rating agencies</t>
        </is>
      </c>
    </row>
    <row r="848">
      <c r="A848" s="30" t="inlineStr">
        <is>
          <t>XS2352861814</t>
        </is>
      </c>
      <c r="B848" s="30" t="inlineStr">
        <is>
          <t>Saudi majority state-owned integrated energy company</t>
        </is>
      </c>
    </row>
    <row r="849">
      <c r="A849" s="30" t="inlineStr">
        <is>
          <t>XS1890684761</t>
        </is>
      </c>
      <c r="B849" s="30" t="inlineStr">
        <is>
          <t>State-owned petrochemical company</t>
        </is>
      </c>
    </row>
    <row r="850">
      <c r="A850" s="30" t="inlineStr">
        <is>
          <t>XS2441259137</t>
        </is>
      </c>
      <c r="B850" s="30" t="inlineStr">
        <is>
          <t>Software publishing company</t>
        </is>
      </c>
    </row>
    <row r="851">
      <c r="A851" s="30" t="inlineStr">
        <is>
          <t>US80282KAW62</t>
        </is>
      </c>
      <c r="B851" s="30" t="inlineStr">
        <is>
          <t>One of the largest bank in the Eurozone by market value</t>
        </is>
      </c>
    </row>
    <row r="852">
      <c r="A852" s="30" t="inlineStr">
        <is>
          <t>US80282KBB17</t>
        </is>
      </c>
      <c r="B852" s="30" t="inlineStr">
        <is>
          <t>One of the largest bank in the Eurozone by market value</t>
        </is>
      </c>
    </row>
    <row r="853">
      <c r="A853" s="30" t="inlineStr">
        <is>
          <t>XS1345415472</t>
        </is>
      </c>
      <c r="B853" s="30" t="inlineStr">
        <is>
          <t>One of the largest bank in the Eurozone by market value</t>
        </is>
      </c>
    </row>
    <row r="854">
      <c r="A854" s="30" t="inlineStr">
        <is>
          <t>US80386WAD74</t>
        </is>
      </c>
      <c r="B854" s="30" t="inlineStr">
        <is>
          <t xml:space="preserve">Integrated energy and chemical company </t>
        </is>
      </c>
    </row>
    <row r="855">
      <c r="A855" s="30" t="inlineStr">
        <is>
          <t>XS2763630774</t>
        </is>
      </c>
      <c r="B855" s="30" t="inlineStr">
        <is>
          <t>Saudi majority state-owned electricity company</t>
        </is>
      </c>
    </row>
    <row r="856">
      <c r="A856" s="30" t="inlineStr">
        <is>
          <t>XS2763630857</t>
        </is>
      </c>
      <c r="B856" s="30" t="inlineStr">
        <is>
          <t>Saudi state-owned dominant player in electricity generation</t>
        </is>
      </c>
    </row>
    <row r="857">
      <c r="A857" s="30" t="inlineStr">
        <is>
          <t>XS2763630857</t>
        </is>
      </c>
      <c r="B857" s="30" t="inlineStr">
        <is>
          <t>Saudi majority state-owned electricity company</t>
        </is>
      </c>
    </row>
    <row r="858">
      <c r="A858" s="30" t="inlineStr">
        <is>
          <t>XS2577134401</t>
        </is>
      </c>
      <c r="B858" s="30" t="inlineStr">
        <is>
          <t>Kingdom of Saudia sovereign bond</t>
        </is>
      </c>
    </row>
    <row r="859">
      <c r="A859" s="30" t="inlineStr">
        <is>
          <t>XS2577135127</t>
        </is>
      </c>
      <c r="B859" s="30" t="inlineStr">
        <is>
          <t>Kingdom of Saudia sovereign bond</t>
        </is>
      </c>
    </row>
    <row r="860">
      <c r="A860" s="30" t="inlineStr">
        <is>
          <t>XS2577136109</t>
        </is>
      </c>
      <c r="B860" s="30" t="inlineStr">
        <is>
          <t>Kingdom of Saudia sovereign bond</t>
        </is>
      </c>
    </row>
    <row r="861">
      <c r="A861" s="30" t="inlineStr">
        <is>
          <t>XS1992985694</t>
        </is>
      </c>
      <c r="B861" s="30" t="inlineStr">
        <is>
          <t xml:space="preserve">Majority state-owned telecom </t>
        </is>
      </c>
    </row>
    <row r="862">
      <c r="A862" s="30" t="inlineStr">
        <is>
          <t>FR001400F703</t>
        </is>
      </c>
      <c r="B862" s="30" t="inlineStr">
        <is>
          <t>manufactures electrical power products</t>
        </is>
      </c>
    </row>
    <row r="863">
      <c r="A863" s="30" t="inlineStr">
        <is>
          <t>FR001400F711</t>
        </is>
      </c>
      <c r="B863" s="30" t="inlineStr">
        <is>
          <t>manufactures electrical power products</t>
        </is>
      </c>
    </row>
    <row r="864">
      <c r="A864" s="30" t="inlineStr">
        <is>
          <t>XS2676818482</t>
        </is>
      </c>
      <c r="B864" s="30" t="inlineStr">
        <is>
          <t>Provides security services</t>
        </is>
      </c>
    </row>
    <row r="865">
      <c r="A865" s="30" t="inlineStr">
        <is>
          <t>XS2771418097</t>
        </is>
      </c>
      <c r="B865" s="30" t="inlineStr">
        <is>
          <t xml:space="preserve">Security services provider </t>
        </is>
      </c>
    </row>
    <row r="866">
      <c r="A866" s="30" t="inlineStr">
        <is>
          <t>XS2607381436</t>
        </is>
      </c>
      <c r="B866" s="30" t="inlineStr">
        <is>
          <t>Security services provider</t>
        </is>
      </c>
    </row>
    <row r="867">
      <c r="A867" s="30" t="inlineStr">
        <is>
          <t>CH1189217990</t>
        </is>
      </c>
      <c r="B867" s="30" t="inlineStr">
        <is>
          <t>Provides industrial inspection, analysis, testing and verification services</t>
        </is>
      </c>
    </row>
    <row r="868">
      <c r="A868" s="30" t="inlineStr">
        <is>
          <t>XS2187634642</t>
        </is>
      </c>
      <c r="B868" s="30" t="inlineStr">
        <is>
          <t>Operator of public terminals in the Port of Shanghai</t>
        </is>
      </c>
    </row>
    <row r="869">
      <c r="A869" s="30" t="inlineStr">
        <is>
          <t>US822582BD31</t>
        </is>
      </c>
      <c r="B869" s="30" t="inlineStr">
        <is>
          <t>One of the largest and most geographically diversified integrated oil companies</t>
        </is>
      </c>
    </row>
    <row r="870">
      <c r="A870" s="30" t="inlineStr">
        <is>
          <t>USN82008AE85</t>
        </is>
      </c>
      <c r="B870" s="30" t="inlineStr">
        <is>
          <t>Europe's largest electrical engineering and electronics group</t>
        </is>
      </c>
    </row>
    <row r="871">
      <c r="A871" s="30" t="inlineStr">
        <is>
          <t>XS2526839175</t>
        </is>
      </c>
      <c r="B871" s="30" t="inlineStr">
        <is>
          <t>Europe's largest manufacturer of electrical equipment</t>
        </is>
      </c>
    </row>
    <row r="872">
      <c r="A872" s="30" t="inlineStr">
        <is>
          <t>USU8215LAA27</t>
        </is>
      </c>
      <c r="B872" s="30" t="inlineStr">
        <is>
          <t xml:space="preserve">Oil and gas company </t>
        </is>
      </c>
    </row>
    <row r="873">
      <c r="A873" s="30" t="inlineStr">
        <is>
          <t>USP8674JAE93</t>
        </is>
      </c>
      <c r="B873" s="30" t="inlineStr">
        <is>
          <t>Mexican multinational producer of packaged food</t>
        </is>
      </c>
    </row>
    <row r="874">
      <c r="A874" s="30" t="inlineStr">
        <is>
          <t>CH1226543879</t>
        </is>
      </c>
      <c r="B874" s="30" t="inlineStr">
        <is>
          <t>Manufactures construction materials</t>
        </is>
      </c>
    </row>
    <row r="875">
      <c r="A875" s="30" t="inlineStr">
        <is>
          <t>CH1226543861</t>
        </is>
      </c>
      <c r="B875" s="30" t="inlineStr">
        <is>
          <t>Manufactures construction materials</t>
        </is>
      </c>
    </row>
    <row r="876">
      <c r="A876" s="30" t="inlineStr">
        <is>
          <t>CH1253456078</t>
        </is>
      </c>
      <c r="B876" s="30" t="inlineStr">
        <is>
          <t>Manufactures construction materials</t>
        </is>
      </c>
    </row>
    <row r="877">
      <c r="A877" s="30" t="inlineStr">
        <is>
          <t>XS2616008970</t>
        </is>
      </c>
      <c r="B877" s="30" t="inlineStr">
        <is>
          <t xml:space="preserve"> manufactures construction chemical products.</t>
        </is>
      </c>
    </row>
    <row r="878">
      <c r="A878" s="30" t="inlineStr">
        <is>
          <t>XS2405871570</t>
        </is>
      </c>
      <c r="B878" s="30" t="inlineStr">
        <is>
          <t xml:space="preserve">Flag carrier airline of Singapore </t>
        </is>
      </c>
    </row>
    <row r="879">
      <c r="A879" s="30" t="inlineStr">
        <is>
          <t>XS2408454077</t>
        </is>
      </c>
      <c r="B879" s="30" t="inlineStr">
        <is>
          <t>The company provides oil exploration, production, refining, trading</t>
        </is>
      </c>
    </row>
    <row r="880">
      <c r="A880" s="30" t="inlineStr">
        <is>
          <t>USG82016AR01</t>
        </is>
      </c>
      <c r="B880" s="30" t="inlineStr">
        <is>
          <t>Produces energy products</t>
        </is>
      </c>
    </row>
    <row r="881">
      <c r="A881" s="30" t="inlineStr">
        <is>
          <t>XS2190256706</t>
        </is>
      </c>
      <c r="B881" s="30" t="inlineStr">
        <is>
          <t>Owns and operates Italy's natural-gas distribution network</t>
        </is>
      </c>
    </row>
    <row r="882">
      <c r="A882" s="30" t="inlineStr">
        <is>
          <t>XS2412586450</t>
        </is>
      </c>
      <c r="B882" s="30" t="inlineStr">
        <is>
          <t xml:space="preserve">The Saudi National Bank provides commercial banking services. </t>
        </is>
      </c>
    </row>
    <row r="883">
      <c r="A883" s="30" t="inlineStr">
        <is>
          <t>XS0096412548</t>
        </is>
      </c>
      <c r="B883" s="30" t="inlineStr">
        <is>
          <t>Provides railway network management services</t>
        </is>
      </c>
    </row>
    <row r="884">
      <c r="A884" s="30" t="inlineStr">
        <is>
          <t>XS0123656836</t>
        </is>
      </c>
      <c r="B884" s="30" t="inlineStr">
        <is>
          <t>Provides railway network management services</t>
        </is>
      </c>
    </row>
    <row r="885">
      <c r="A885" s="30" t="inlineStr">
        <is>
          <t>XS0143739182</t>
        </is>
      </c>
      <c r="B885" s="30" t="inlineStr">
        <is>
          <t>Provides railway network management services</t>
        </is>
      </c>
    </row>
    <row r="886">
      <c r="A886" s="30" t="inlineStr">
        <is>
          <t>US83368TBS69</t>
        </is>
      </c>
      <c r="B886" s="30" t="inlineStr">
        <is>
          <t>One of the largest banks in Europe</t>
        </is>
      </c>
    </row>
    <row r="887">
      <c r="A887" s="30" t="inlineStr">
        <is>
          <t>FR001400IDW0</t>
        </is>
      </c>
      <c r="B887" s="30" t="inlineStr">
        <is>
          <t>one of the largest banks in Europe</t>
        </is>
      </c>
    </row>
    <row r="888">
      <c r="A888" s="30" t="inlineStr">
        <is>
          <t>FR0013518057</t>
        </is>
      </c>
      <c r="B888" s="30" t="inlineStr">
        <is>
          <t>One of the largest banks in Europe</t>
        </is>
      </c>
    </row>
    <row r="889">
      <c r="A889" s="30" t="inlineStr">
        <is>
          <t>CH1248666948</t>
        </is>
      </c>
      <c r="B889" s="30" t="inlineStr">
        <is>
          <t xml:space="preserve">One of the largest banks in Europe </t>
        </is>
      </c>
    </row>
    <row r="890">
      <c r="A890" s="30" t="inlineStr">
        <is>
          <t>CH1248666948</t>
        </is>
      </c>
      <c r="B890" s="30" t="inlineStr">
        <is>
          <t xml:space="preserve">One of the largest banks in Europe </t>
        </is>
      </c>
    </row>
    <row r="891">
      <c r="A891" s="30" t="inlineStr">
        <is>
          <t>US83368TBR86</t>
        </is>
      </c>
      <c r="B891" s="30" t="inlineStr">
        <is>
          <t>One of the largest banks in Europe</t>
        </is>
      </c>
    </row>
    <row r="892">
      <c r="A892" s="30" t="inlineStr">
        <is>
          <t>FR001400ISF3</t>
        </is>
      </c>
      <c r="B892" s="30" t="inlineStr">
        <is>
          <t xml:space="preserve">one of the largest banks in Europe </t>
        </is>
      </c>
    </row>
    <row r="893">
      <c r="A893" s="30" t="inlineStr">
        <is>
          <t>FR001400EHG3</t>
        </is>
      </c>
      <c r="B893" s="30" t="inlineStr">
        <is>
          <t>One of the largest banks in Europe</t>
        </is>
      </c>
    </row>
    <row r="894">
      <c r="A894" s="30" t="inlineStr">
        <is>
          <t>CH1159841340</t>
        </is>
      </c>
      <c r="B894" s="30" t="inlineStr">
        <is>
          <t xml:space="preserve">One of the largest banks in Europe </t>
        </is>
      </c>
    </row>
    <row r="895">
      <c r="A895" s="30" t="inlineStr">
        <is>
          <t>CH1248666955</t>
        </is>
      </c>
      <c r="B895" s="30" t="inlineStr">
        <is>
          <t xml:space="preserve">One of the largest banks in Europe </t>
        </is>
      </c>
    </row>
    <row r="896">
      <c r="A896" s="30" t="inlineStr">
        <is>
          <t>CH1159841332</t>
        </is>
      </c>
      <c r="B896" s="30" t="inlineStr">
        <is>
          <t xml:space="preserve">One of the largest banks in Europe </t>
        </is>
      </c>
    </row>
    <row r="897">
      <c r="A897" s="30" t="inlineStr">
        <is>
          <t>USC86068AA80</t>
        </is>
      </c>
      <c r="B897" s="30" t="inlineStr">
        <is>
          <t xml:space="preserve">Produces and supplies construction matierials </t>
        </is>
      </c>
    </row>
    <row r="898">
      <c r="A898" s="30" t="inlineStr">
        <is>
          <t>USG84228FH65</t>
        </is>
      </c>
      <c r="B898" s="30" t="inlineStr">
        <is>
          <t>International banking group</t>
        </is>
      </c>
    </row>
    <row r="899">
      <c r="A899" s="30" t="inlineStr">
        <is>
          <t>USG84228EW42</t>
        </is>
      </c>
      <c r="B899" s="30" t="inlineStr">
        <is>
          <t>International banking group</t>
        </is>
      </c>
    </row>
    <row r="900">
      <c r="A900" s="30" t="inlineStr">
        <is>
          <t>USG84228FL77</t>
        </is>
      </c>
      <c r="B900" s="30" t="inlineStr">
        <is>
          <t>International banking group</t>
        </is>
      </c>
    </row>
    <row r="901">
      <c r="A901" s="30" t="inlineStr">
        <is>
          <t>US855244BF54</t>
        </is>
      </c>
      <c r="B901" s="30" t="inlineStr">
        <is>
          <t xml:space="preserve">US leading coffee chain </t>
        </is>
      </c>
    </row>
    <row r="902">
      <c r="A902" s="30" t="inlineStr">
        <is>
          <t>US855244AQ29</t>
        </is>
      </c>
      <c r="B902" s="30" t="inlineStr">
        <is>
          <t>US leading coffee chain</t>
        </is>
      </c>
    </row>
    <row r="903">
      <c r="A903" s="30" t="inlineStr">
        <is>
          <t>US855244BE89</t>
        </is>
      </c>
      <c r="B903" s="30" t="inlineStr">
        <is>
          <t>US leading coffee chain</t>
        </is>
      </c>
    </row>
    <row r="904">
      <c r="A904" s="30" t="inlineStr">
        <is>
          <t>US46514BRA79</t>
        </is>
      </c>
      <c r="B904" s="30" t="inlineStr">
        <is>
          <t>State of Israel</t>
        </is>
      </c>
    </row>
    <row r="905">
      <c r="A905" s="30" t="inlineStr">
        <is>
          <t>US4651387N91</t>
        </is>
      </c>
      <c r="B905" s="30" t="inlineStr">
        <is>
          <t>State of Israel</t>
        </is>
      </c>
    </row>
    <row r="906">
      <c r="A906" s="30" t="inlineStr">
        <is>
          <t>XS1405782159</t>
        </is>
      </c>
      <c r="B906" s="30" t="inlineStr">
        <is>
          <t>State of Qatar sovereign bond</t>
        </is>
      </c>
    </row>
    <row r="907">
      <c r="A907" s="30" t="inlineStr">
        <is>
          <t>USU85861AE97</t>
        </is>
      </c>
      <c r="B907" s="30" t="inlineStr">
        <is>
          <t>Developer and Manufacturer of automotive products</t>
        </is>
      </c>
    </row>
    <row r="908">
      <c r="A908" s="30" t="inlineStr">
        <is>
          <t>USU85861AA75</t>
        </is>
      </c>
      <c r="B908" s="30" t="inlineStr">
        <is>
          <t>Developer and Manufacturer of automotive products</t>
        </is>
      </c>
    </row>
    <row r="909">
      <c r="A909" s="30" t="inlineStr">
        <is>
          <t>USU85861AB58</t>
        </is>
      </c>
      <c r="B909" s="30" t="inlineStr">
        <is>
          <t>Developer and Manufacturer of automotive products</t>
        </is>
      </c>
    </row>
    <row r="910">
      <c r="A910" s="30" t="inlineStr">
        <is>
          <t>XS2597110027</t>
        </is>
      </c>
      <c r="B910" s="30" t="inlineStr">
        <is>
          <t>One of largest auto maker in the world</t>
        </is>
      </c>
    </row>
    <row r="911">
      <c r="A911" s="30" t="inlineStr">
        <is>
          <t>FR0013447166</t>
        </is>
      </c>
      <c r="B911" s="30" t="inlineStr">
        <is>
          <t>One of the world's largest auto maker</t>
        </is>
      </c>
    </row>
    <row r="912">
      <c r="A912" s="30" t="inlineStr">
        <is>
          <t>XS2787827190</t>
        </is>
      </c>
      <c r="B912" s="30" t="inlineStr">
        <is>
          <t>One of largest auto maker in the world</t>
        </is>
      </c>
    </row>
    <row r="913">
      <c r="A913" s="30" t="inlineStr">
        <is>
          <t>XS1426022536</t>
        </is>
      </c>
      <c r="B913" s="30" t="inlineStr">
        <is>
          <t>One of the Japan's largest commercial banks</t>
        </is>
      </c>
    </row>
    <row r="914">
      <c r="A914" s="30" t="inlineStr">
        <is>
          <t>USA9890AAA81</t>
        </is>
      </c>
      <c r="B914" s="30" t="inlineStr">
        <is>
          <t>Manufactures paper products</t>
        </is>
      </c>
    </row>
    <row r="915">
      <c r="A915" s="30" t="inlineStr">
        <is>
          <t>USA8372TAC20</t>
        </is>
      </c>
      <c r="B915" s="30" t="inlineStr">
        <is>
          <t>Manufactures paper products</t>
        </is>
      </c>
    </row>
    <row r="916">
      <c r="A916" s="30" t="inlineStr">
        <is>
          <t>XS2465622459</t>
        </is>
      </c>
      <c r="B916" s="30" t="inlineStr">
        <is>
          <t xml:space="preserve">Sweden's first savings bank. </t>
        </is>
      </c>
    </row>
    <row r="917">
      <c r="A917" s="30" t="inlineStr">
        <is>
          <t>XS2831017467</t>
        </is>
      </c>
      <c r="B917" s="30" t="inlineStr">
        <is>
          <t xml:space="preserve">Sweden's first savings bank. </t>
        </is>
      </c>
    </row>
    <row r="918">
      <c r="A918" s="30" t="inlineStr">
        <is>
          <t>XS2573709925</t>
        </is>
      </c>
      <c r="B918" s="30" t="inlineStr">
        <is>
          <t>provides financing to facilitate the export of capital goods and infrastructure projects.</t>
        </is>
      </c>
    </row>
    <row r="919">
      <c r="A919" s="30" t="inlineStr">
        <is>
          <t>US87031CAE30</t>
        </is>
      </c>
      <c r="B919" s="30" t="inlineStr">
        <is>
          <t>Provides financing to facilitate the export of goods and infrastructure projects</t>
        </is>
      </c>
    </row>
    <row r="920">
      <c r="A920" s="30" t="inlineStr">
        <is>
          <t>US87031CAL72</t>
        </is>
      </c>
      <c r="B920" s="30" t="inlineStr">
        <is>
          <t>Provides financing to facilitate the export of goods and infrastructure projects</t>
        </is>
      </c>
    </row>
    <row r="921">
      <c r="A921" s="30" t="inlineStr">
        <is>
          <t>XS2573709925</t>
        </is>
      </c>
      <c r="B921" s="30" t="inlineStr">
        <is>
          <t>provides financing to facilitate the export of goods and infrastructure projects</t>
        </is>
      </c>
    </row>
    <row r="922">
      <c r="A922" s="30" t="inlineStr">
        <is>
          <t>CH1239494979</t>
        </is>
      </c>
      <c r="B922" s="30" t="inlineStr">
        <is>
          <t>Provides financial solutions to the export industry</t>
        </is>
      </c>
    </row>
    <row r="923">
      <c r="A923" s="30" t="inlineStr">
        <is>
          <t>CH1236363433</t>
        </is>
      </c>
      <c r="B923" s="30" t="inlineStr">
        <is>
          <t>Provides life and property insurance</t>
        </is>
      </c>
    </row>
    <row r="924">
      <c r="A924" s="30" t="inlineStr">
        <is>
          <t>CH1242301286</t>
        </is>
      </c>
      <c r="B924" s="30" t="inlineStr">
        <is>
          <t>Provides life and property insurance</t>
        </is>
      </c>
    </row>
    <row r="925">
      <c r="A925" s="30" t="inlineStr">
        <is>
          <t>CH1242301278</t>
        </is>
      </c>
      <c r="B925" s="30" t="inlineStr">
        <is>
          <t>Provides life and property insurance</t>
        </is>
      </c>
    </row>
    <row r="926">
      <c r="A926" s="30" t="inlineStr">
        <is>
          <t>CH1248666930</t>
        </is>
      </c>
      <c r="B926" s="30" t="inlineStr">
        <is>
          <t>Swiss largest telco company</t>
        </is>
      </c>
    </row>
    <row r="927">
      <c r="A927" s="30" t="inlineStr">
        <is>
          <t>CH0184249990</t>
        </is>
      </c>
      <c r="B927" s="30" t="inlineStr">
        <is>
          <t>Swiss government bond</t>
        </is>
      </c>
    </row>
    <row r="928">
      <c r="A928" s="30" t="inlineStr">
        <is>
          <t>CH0224396983</t>
        </is>
      </c>
      <c r="B928" s="30" t="inlineStr">
        <is>
          <t>Swiss government bond</t>
        </is>
      </c>
    </row>
    <row r="929">
      <c r="A929" s="30" t="inlineStr">
        <is>
          <t>CH0224397346</t>
        </is>
      </c>
      <c r="B929" s="30" t="inlineStr">
        <is>
          <t>Swiss government bond</t>
        </is>
      </c>
    </row>
    <row r="930">
      <c r="A930" s="30" t="inlineStr">
        <is>
          <t>CH0015803239</t>
        </is>
      </c>
      <c r="B930" s="30" t="inlineStr">
        <is>
          <t>Swiss government bond</t>
        </is>
      </c>
    </row>
    <row r="931">
      <c r="A931" s="30" t="inlineStr">
        <is>
          <t>CH0440081393</t>
        </is>
      </c>
      <c r="B931" s="30" t="inlineStr">
        <is>
          <t>Swiss government bond</t>
        </is>
      </c>
    </row>
    <row r="932">
      <c r="A932" s="30" t="inlineStr">
        <is>
          <t>CH0557778815</t>
        </is>
      </c>
      <c r="B932" s="30" t="inlineStr">
        <is>
          <t>Swiss government bond</t>
        </is>
      </c>
    </row>
    <row r="933">
      <c r="A933" s="30" t="inlineStr">
        <is>
          <t>XS1199954691</t>
        </is>
      </c>
      <c r="B933" s="30" t="inlineStr">
        <is>
          <t>Swiss producer of crop protection products and seeds</t>
        </is>
      </c>
    </row>
    <row r="934">
      <c r="A934" s="30" t="inlineStr">
        <is>
          <t>US189754AA23</t>
        </is>
      </c>
      <c r="B934" s="30" t="inlineStr">
        <is>
          <t>US designer house of modern luxury accessories</t>
        </is>
      </c>
    </row>
    <row r="935">
      <c r="A935" s="30" t="inlineStr">
        <is>
          <t>US87901JAJ43</t>
        </is>
      </c>
      <c r="B935" s="30" t="inlineStr">
        <is>
          <t>a broadcasting, digital media and marketing services company</t>
        </is>
      </c>
    </row>
    <row r="936">
      <c r="A936" s="30" t="inlineStr">
        <is>
          <t>XS2288109676</t>
        </is>
      </c>
      <c r="B936" s="30" t="inlineStr">
        <is>
          <t>Italy's largest telecom company</t>
        </is>
      </c>
    </row>
    <row r="937">
      <c r="A937" s="30" t="inlineStr">
        <is>
          <t>XS1681521081</t>
        </is>
      </c>
      <c r="B937" s="30" t="inlineStr">
        <is>
          <t>Leading Spanish telecom company with operations in Latin America</t>
        </is>
      </c>
    </row>
    <row r="938">
      <c r="A938" s="30" t="inlineStr">
        <is>
          <t>USP90475AB31</t>
        </is>
      </c>
      <c r="B938" s="30" t="inlineStr">
        <is>
          <t>Telecom company</t>
        </is>
      </c>
    </row>
    <row r="939">
      <c r="A939" s="30" t="inlineStr">
        <is>
          <t>CH1290222426</t>
        </is>
      </c>
      <c r="B939" s="30" t="inlineStr">
        <is>
          <t>Software company for financial sector</t>
        </is>
      </c>
    </row>
    <row r="940">
      <c r="A940" s="30" t="inlineStr">
        <is>
          <t>US88032XAG97</t>
        </is>
      </c>
      <c r="B940" s="30" t="inlineStr">
        <is>
          <t>Provider of Internet and mobile value-added services</t>
        </is>
      </c>
    </row>
    <row r="941">
      <c r="A941" s="30" t="inlineStr">
        <is>
          <t>US88032XAN49</t>
        </is>
      </c>
      <c r="B941" s="30" t="inlineStr">
        <is>
          <t>Provider of Internet and mobile value-added services</t>
        </is>
      </c>
    </row>
    <row r="942">
      <c r="A942" s="30" t="inlineStr">
        <is>
          <t>XS2532478430</t>
        </is>
      </c>
      <c r="B942" s="30" t="inlineStr">
        <is>
          <t xml:space="preserve">French producer of sugar, ethanol, alcohol, starches and sweeteners. </t>
        </is>
      </c>
    </row>
    <row r="943">
      <c r="A943" s="30" t="inlineStr">
        <is>
          <t>XS2592302330</t>
        </is>
      </c>
      <c r="B943" s="30" t="inlineStr">
        <is>
          <t>Largest player in the UK grocery industry</t>
        </is>
      </c>
    </row>
    <row r="944">
      <c r="A944" s="30" t="inlineStr">
        <is>
          <t>XS2592301365</t>
        </is>
      </c>
      <c r="B944" s="30" t="inlineStr">
        <is>
          <t>Largest player in the UK grocery industry</t>
        </is>
      </c>
    </row>
    <row r="945">
      <c r="A945" s="30" t="inlineStr">
        <is>
          <t>CH0333827506</t>
        </is>
      </c>
      <c r="B945" s="30" t="inlineStr">
        <is>
          <t>Largest manufacturer of pharmaceutical generics</t>
        </is>
      </c>
    </row>
    <row r="946">
      <c r="A946" s="30" t="inlineStr">
        <is>
          <t>XS2406607098</t>
        </is>
      </c>
      <c r="B946" s="30" t="inlineStr">
        <is>
          <t>Largest manufacturer of pharmaceutical generics</t>
        </is>
      </c>
    </row>
    <row r="947">
      <c r="A947" s="30" t="inlineStr">
        <is>
          <t>XS1813724603</t>
        </is>
      </c>
      <c r="B947" s="30" t="inlineStr">
        <is>
          <t>Largest manufacturer of pharmaceutical generics</t>
        </is>
      </c>
    </row>
    <row r="948">
      <c r="A948" s="30" t="inlineStr">
        <is>
          <t>XS2592804434</t>
        </is>
      </c>
      <c r="B948" s="30" t="inlineStr">
        <is>
          <t>Largest manufacturer of pharmaceutical generics</t>
        </is>
      </c>
    </row>
    <row r="949">
      <c r="A949" s="30" t="inlineStr">
        <is>
          <t>XS2406607171</t>
        </is>
      </c>
      <c r="B949" s="30" t="inlineStr">
        <is>
          <t>Largest manufacturer of pharmaceutical generics</t>
        </is>
      </c>
    </row>
    <row r="950">
      <c r="A950" s="30" t="inlineStr">
        <is>
          <t>XS2592804194</t>
        </is>
      </c>
      <c r="B950" s="30" t="inlineStr">
        <is>
          <t>Largest manufacturer of pharmaceutical generics</t>
        </is>
      </c>
    </row>
    <row r="951">
      <c r="A951" s="30" t="inlineStr">
        <is>
          <t>US88167AAP66</t>
        </is>
      </c>
      <c r="B951" s="30" t="inlineStr">
        <is>
          <t>Largest manufacturer of pharmaceutical generics</t>
        </is>
      </c>
    </row>
    <row r="952">
      <c r="A952" s="30" t="inlineStr">
        <is>
          <t>US88167AAE10</t>
        </is>
      </c>
      <c r="B952" s="30" t="inlineStr">
        <is>
          <t>Largest manufacturer of pharmaceutical generics</t>
        </is>
      </c>
    </row>
    <row r="953">
      <c r="A953" s="30" t="inlineStr">
        <is>
          <t>US88167AAQ40</t>
        </is>
      </c>
      <c r="B953" s="30" t="inlineStr">
        <is>
          <t>Largest manufacturer of pharmaceutical generics</t>
        </is>
      </c>
    </row>
    <row r="954">
      <c r="A954" s="30" t="inlineStr">
        <is>
          <t>US88167AAS06</t>
        </is>
      </c>
      <c r="B954" s="30" t="inlineStr">
        <is>
          <t>Largest manufacturer of pharmaceutical generics</t>
        </is>
      </c>
    </row>
    <row r="955">
      <c r="A955" s="30" t="inlineStr">
        <is>
          <t>US88167AAR23</t>
        </is>
      </c>
      <c r="B955" s="30" t="inlineStr">
        <is>
          <t>Largest manufacturer of pharmaceutical generics</t>
        </is>
      </c>
    </row>
    <row r="956">
      <c r="A956" s="30" t="inlineStr">
        <is>
          <t>US882508BR48</t>
        </is>
      </c>
      <c r="B956" s="30" t="inlineStr">
        <is>
          <t>Worldwide semiconductor design and manufacturing company</t>
        </is>
      </c>
    </row>
    <row r="957">
      <c r="A957" s="30" t="inlineStr">
        <is>
          <t>US882508BK94</t>
        </is>
      </c>
      <c r="B957" s="30" t="inlineStr">
        <is>
          <t>Worldwide semiconductor design and manufacturing company</t>
        </is>
      </c>
    </row>
    <row r="958">
      <c r="A958" s="30" t="inlineStr">
        <is>
          <t>US882508BL77</t>
        </is>
      </c>
      <c r="B958" s="30" t="inlineStr">
        <is>
          <t>Worldwide semiconductor design and manufacturing company</t>
        </is>
      </c>
    </row>
    <row r="959">
      <c r="A959" s="30" t="inlineStr">
        <is>
          <t>US882508BM50</t>
        </is>
      </c>
      <c r="B959" s="30" t="inlineStr">
        <is>
          <t>Worldwide semiconductor design and manufacturing company</t>
        </is>
      </c>
    </row>
    <row r="960">
      <c r="A960" s="30" t="inlineStr">
        <is>
          <t>FR001400KKX9</t>
        </is>
      </c>
      <c r="B960" s="30" t="inlineStr">
        <is>
          <t>Operates as an asset management and investment company</t>
        </is>
      </c>
    </row>
    <row r="961">
      <c r="A961" s="30" t="inlineStr">
        <is>
          <t>XS0630584166</t>
        </is>
      </c>
      <c r="B961" s="30" t="inlineStr">
        <is>
          <t>provides cable television services.</t>
        </is>
      </c>
    </row>
    <row r="962">
      <c r="A962" s="30" t="inlineStr">
        <is>
          <t>US87264ACZ66</t>
        </is>
      </c>
      <c r="B962" s="30" t="inlineStr">
        <is>
          <t>Provides telecommunications services</t>
        </is>
      </c>
    </row>
    <row r="963">
      <c r="A963" s="30" t="inlineStr">
        <is>
          <t>US87264ACY91</t>
        </is>
      </c>
      <c r="B963" s="30" t="inlineStr">
        <is>
          <t>Provides telecommunications services</t>
        </is>
      </c>
    </row>
    <row r="964">
      <c r="A964" s="30" t="inlineStr">
        <is>
          <t>XS2574220971</t>
        </is>
      </c>
      <c r="B964" s="30" t="inlineStr">
        <is>
          <t>largest bank in Canada</t>
        </is>
      </c>
    </row>
    <row r="965">
      <c r="A965" s="30" t="inlineStr">
        <is>
          <t>US89114TZE53</t>
        </is>
      </c>
      <c r="B965" s="30" t="inlineStr">
        <is>
          <t>Largest bank in Canada</t>
        </is>
      </c>
    </row>
    <row r="966">
      <c r="A966" s="30" t="inlineStr">
        <is>
          <t>US89114TZG02</t>
        </is>
      </c>
      <c r="B966" s="30" t="inlineStr">
        <is>
          <t>Largest bank in Canada</t>
        </is>
      </c>
    </row>
    <row r="967">
      <c r="A967" s="30" t="inlineStr">
        <is>
          <t>US89114TZJ41</t>
        </is>
      </c>
      <c r="B967" s="30" t="inlineStr">
        <is>
          <t>Largest bank in Canada</t>
        </is>
      </c>
    </row>
    <row r="968">
      <c r="A968" s="30" t="inlineStr">
        <is>
          <t>XS2432502008</t>
        </is>
      </c>
      <c r="B968" s="30" t="inlineStr">
        <is>
          <t>Largest bank in Canada</t>
        </is>
      </c>
    </row>
    <row r="969">
      <c r="A969" s="30" t="inlineStr">
        <is>
          <t>CH1243933558</t>
        </is>
      </c>
      <c r="B969" s="30" t="inlineStr">
        <is>
          <t>Largest bank in Canada</t>
        </is>
      </c>
    </row>
    <row r="970">
      <c r="A970" s="30" t="inlineStr">
        <is>
          <t>US89153VAT61</t>
        </is>
      </c>
      <c r="B970" s="30" t="inlineStr">
        <is>
          <t>Operates as an oil and gas company</t>
        </is>
      </c>
    </row>
    <row r="971">
      <c r="A971" s="30" t="inlineStr">
        <is>
          <t>CH0425766539</t>
        </is>
      </c>
      <c r="B971" s="30" t="inlineStr">
        <is>
          <t>One of the largest oil companies of the world</t>
        </is>
      </c>
    </row>
    <row r="972">
      <c r="A972" s="30" t="inlineStr">
        <is>
          <t>US89236TKG93</t>
        </is>
      </c>
      <c r="B972" s="30" t="inlineStr">
        <is>
          <t>Japan's largest auto maker</t>
        </is>
      </c>
    </row>
    <row r="973">
      <c r="A973" s="30" t="inlineStr">
        <is>
          <t>US89236TKQ75</t>
        </is>
      </c>
      <c r="B973" s="30" t="inlineStr">
        <is>
          <t>Japan's largest auto maker</t>
        </is>
      </c>
    </row>
    <row r="974">
      <c r="A974" s="30" t="inlineStr">
        <is>
          <t>US89236TKR58</t>
        </is>
      </c>
      <c r="B974" s="30" t="inlineStr">
        <is>
          <t>Japan's largest auto maker</t>
        </is>
      </c>
    </row>
    <row r="975">
      <c r="A975" s="30" t="inlineStr">
        <is>
          <t>XS2597093009</t>
        </is>
      </c>
      <c r="B975" s="30" t="inlineStr">
        <is>
          <t>One of the largest car maker in the world</t>
        </is>
      </c>
    </row>
    <row r="976">
      <c r="A976" s="30" t="inlineStr">
        <is>
          <t>XS2823302026</t>
        </is>
      </c>
      <c r="B976" s="30" t="inlineStr">
        <is>
          <t>Japan's largest auto maker</t>
        </is>
      </c>
    </row>
    <row r="977">
      <c r="A977" s="30" t="inlineStr">
        <is>
          <t>XS2696749626</t>
        </is>
      </c>
      <c r="B977" s="30" t="inlineStr">
        <is>
          <t>One of the largest car maker in the world</t>
        </is>
      </c>
    </row>
    <row r="978">
      <c r="A978" s="30" t="inlineStr">
        <is>
          <t>CH1264414348</t>
        </is>
      </c>
      <c r="B978" s="30" t="inlineStr">
        <is>
          <t>Japan's largest auto maker</t>
        </is>
      </c>
    </row>
    <row r="979">
      <c r="A979" s="30" t="inlineStr">
        <is>
          <t>XS2562996665</t>
        </is>
      </c>
      <c r="B979" s="30" t="inlineStr">
        <is>
          <t>Japan's largest auto maker</t>
        </is>
      </c>
    </row>
    <row r="980">
      <c r="A980" s="30" t="inlineStr">
        <is>
          <t>XS2572989650</t>
        </is>
      </c>
      <c r="B980" s="30" t="inlineStr">
        <is>
          <t>One of the largest car maker in the world</t>
        </is>
      </c>
    </row>
    <row r="981">
      <c r="A981" s="30" t="inlineStr">
        <is>
          <t>XS2572989817</t>
        </is>
      </c>
      <c r="B981" s="30" t="inlineStr">
        <is>
          <t>One of the largest car maker in the world</t>
        </is>
      </c>
    </row>
    <row r="982">
      <c r="A982" s="30" t="inlineStr">
        <is>
          <t>XS2051061625</t>
        </is>
      </c>
      <c r="B982" s="30" t="inlineStr">
        <is>
          <t>Japan's largest auto maker</t>
        </is>
      </c>
    </row>
    <row r="983">
      <c r="A983" s="30" t="inlineStr">
        <is>
          <t>XS2004431107</t>
        </is>
      </c>
      <c r="B983" s="30" t="inlineStr">
        <is>
          <t>Provides brokerage services</t>
        </is>
      </c>
    </row>
    <row r="984">
      <c r="A984" s="30" t="inlineStr">
        <is>
          <t>XS1222743061</t>
        </is>
      </c>
      <c r="B984" s="30" t="inlineStr">
        <is>
          <t>Manage and provide transportation facilities in London</t>
        </is>
      </c>
    </row>
    <row r="985">
      <c r="A985" s="30" t="inlineStr">
        <is>
          <t>XS1222743061</t>
        </is>
      </c>
      <c r="B985" s="30" t="inlineStr">
        <is>
          <t>Manage and provide transportation facilities in London</t>
        </is>
      </c>
    </row>
    <row r="986">
      <c r="A986" s="30" t="inlineStr">
        <is>
          <t>XS0928618569</t>
        </is>
      </c>
      <c r="B986" s="30" t="inlineStr">
        <is>
          <t>Manage and provide transportation facilities in London</t>
        </is>
      </c>
    </row>
    <row r="987">
      <c r="A987" s="30" t="inlineStr">
        <is>
          <t>USP93077AC28</t>
        </is>
      </c>
      <c r="B987" s="30" t="inlineStr">
        <is>
          <t xml:space="preserve">Gas midstream company </t>
        </is>
      </c>
    </row>
    <row r="988">
      <c r="A988" s="30" t="inlineStr">
        <is>
          <t>US912797FS14</t>
        </is>
      </c>
      <c r="B988" s="30" t="inlineStr">
        <is>
          <t>U.S. Government bond</t>
        </is>
      </c>
    </row>
    <row r="989">
      <c r="A989" s="30" t="inlineStr">
        <is>
          <t>US912797GB79</t>
        </is>
      </c>
      <c r="B989" s="30" t="inlineStr">
        <is>
          <t>U.S. Government bond</t>
        </is>
      </c>
    </row>
    <row r="990">
      <c r="A990" s="30" t="inlineStr">
        <is>
          <t>USP9406GAC26</t>
        </is>
      </c>
      <c r="B990" s="30" t="inlineStr">
        <is>
          <t> </t>
        </is>
      </c>
    </row>
    <row r="991">
      <c r="A991" s="30" t="inlineStr">
        <is>
          <t>US872898AA96</t>
        </is>
      </c>
      <c r="B991" s="30" t="inlineStr">
        <is>
          <t>Manufactures semiconductor devices</t>
        </is>
      </c>
    </row>
    <row r="992">
      <c r="A992" s="30" t="inlineStr">
        <is>
          <t>US872898AC52</t>
        </is>
      </c>
      <c r="B992" s="30" t="inlineStr">
        <is>
          <t>Manufactures semiconductor devices</t>
        </is>
      </c>
    </row>
    <row r="993">
      <c r="A993" s="30" t="inlineStr">
        <is>
          <t>US872898AD36</t>
        </is>
      </c>
      <c r="B993" s="30" t="inlineStr">
        <is>
          <t>Manufactures semiconductor devices</t>
        </is>
      </c>
    </row>
    <row r="994">
      <c r="A994" s="30" t="inlineStr">
        <is>
          <t>US872898AE19</t>
        </is>
      </c>
      <c r="B994" s="30" t="inlineStr">
        <is>
          <t>Manufactures semiconductor devices</t>
        </is>
      </c>
    </row>
    <row r="995">
      <c r="A995" s="30" t="inlineStr">
        <is>
          <t>USG91139Af57</t>
        </is>
      </c>
      <c r="B995" s="30" t="inlineStr">
        <is>
          <t>Manufactures semiconductor devices</t>
        </is>
      </c>
    </row>
    <row r="996">
      <c r="A996" s="30" t="inlineStr">
        <is>
          <t>USG91139AD00</t>
        </is>
      </c>
      <c r="B996" s="30" t="inlineStr">
        <is>
          <t>Manufactures semiconductor devices</t>
        </is>
      </c>
    </row>
    <row r="997">
      <c r="A997" s="30" t="inlineStr">
        <is>
          <t>US912828Z377</t>
        </is>
      </c>
      <c r="B997" s="30" t="inlineStr">
        <is>
          <t>U.S. Government bond</t>
        </is>
      </c>
    </row>
    <row r="998">
      <c r="A998" s="30" t="inlineStr">
        <is>
          <t>US91282CBF77</t>
        </is>
      </c>
      <c r="B998" s="30" t="inlineStr">
        <is>
          <t>U.S. Government bond</t>
        </is>
      </c>
    </row>
    <row r="999">
      <c r="A999" s="30" t="inlineStr">
        <is>
          <t>US912828N712</t>
        </is>
      </c>
      <c r="B999" s="30" t="inlineStr">
        <is>
          <t>U.S. Government bond</t>
        </is>
      </c>
    </row>
    <row r="1000">
      <c r="A1000" s="30" t="inlineStr">
        <is>
          <t>US9128283R96</t>
        </is>
      </c>
      <c r="B1000" s="30" t="inlineStr">
        <is>
          <t>U.S. Government bond</t>
        </is>
      </c>
    </row>
    <row r="1001">
      <c r="A1001" s="30" t="inlineStr">
        <is>
          <t>US91282CGK18</t>
        </is>
      </c>
      <c r="B1001" s="30" t="inlineStr">
        <is>
          <t>U.S. Government bond</t>
        </is>
      </c>
    </row>
    <row r="1002">
      <c r="A1002" s="30" t="inlineStr">
        <is>
          <t>US912810QF84</t>
        </is>
      </c>
      <c r="B1002" s="30" t="inlineStr">
        <is>
          <t>U.S. Government bond</t>
        </is>
      </c>
    </row>
    <row r="1003">
      <c r="A1003" s="30" t="inlineStr">
        <is>
          <t>US912810QV35</t>
        </is>
      </c>
      <c r="B1003" s="30" t="inlineStr">
        <is>
          <t>U.S. Government bond</t>
        </is>
      </c>
    </row>
    <row r="1004">
      <c r="A1004" s="30" t="inlineStr">
        <is>
          <t>XS1298711729</t>
        </is>
      </c>
      <c r="B1004" s="30" t="inlineStr">
        <is>
          <t>Turkish telecom company</t>
        </is>
      </c>
    </row>
    <row r="1005">
      <c r="A1005" s="30" t="inlineStr">
        <is>
          <t>XS2575155671</t>
        </is>
      </c>
      <c r="B1005" s="30" t="inlineStr">
        <is>
          <t>Second largest swiss banking group</t>
        </is>
      </c>
    </row>
    <row r="1006">
      <c r="A1006" s="30" t="inlineStr">
        <is>
          <t>CH1228837865</t>
        </is>
      </c>
      <c r="B1006" s="30" t="inlineStr">
        <is>
          <t>One of the world’s largest wealth managers.</t>
        </is>
      </c>
    </row>
    <row r="1007">
      <c r="A1007" s="30" t="inlineStr">
        <is>
          <t>US22550L2L41</t>
        </is>
      </c>
      <c r="B1007" s="30" t="inlineStr">
        <is>
          <t>Second largest swiss banking group</t>
        </is>
      </c>
    </row>
    <row r="1008">
      <c r="A1008" s="30" t="inlineStr">
        <is>
          <t>US22550L2M24</t>
        </is>
      </c>
      <c r="B1008" s="30" t="inlineStr">
        <is>
          <t>Second largest swiss banking group</t>
        </is>
      </c>
    </row>
    <row r="1009">
      <c r="A1009" s="30" t="inlineStr">
        <is>
          <t>USH42097CZ86</t>
        </is>
      </c>
      <c r="B1009" s="30" t="inlineStr">
        <is>
          <t>Largest wealth management bank in the world</t>
        </is>
      </c>
    </row>
    <row r="1010">
      <c r="A1010" s="30" t="inlineStr">
        <is>
          <t>USH42097DT18</t>
        </is>
      </c>
      <c r="B1010" s="30" t="inlineStr">
        <is>
          <t>Largest bank of Switzerland</t>
        </is>
      </c>
    </row>
    <row r="1011">
      <c r="A1011" s="30" t="inlineStr">
        <is>
          <t>CH1214797172</t>
        </is>
      </c>
      <c r="B1011" s="30" t="inlineStr">
        <is>
          <t>Largest wealth management bank in the world</t>
        </is>
      </c>
    </row>
    <row r="1012">
      <c r="A1012" s="30" t="inlineStr">
        <is>
          <t>USH42097DS35</t>
        </is>
      </c>
      <c r="B1012" s="30" t="inlineStr">
        <is>
          <t>Largest bank of Switzerland</t>
        </is>
      </c>
    </row>
    <row r="1013">
      <c r="A1013" s="30" t="inlineStr">
        <is>
          <t>CH0330938876</t>
        </is>
      </c>
      <c r="B1013" s="30" t="inlineStr">
        <is>
          <t>Largest bank in Switzerland</t>
        </is>
      </c>
    </row>
    <row r="1014">
      <c r="A1014" s="30" t="inlineStr">
        <is>
          <t>CH1142754311</t>
        </is>
      </c>
      <c r="B1014" s="30" t="inlineStr">
        <is>
          <t>Largest bank in Switzerland</t>
        </is>
      </c>
    </row>
    <row r="1015">
      <c r="A1015" s="30" t="inlineStr">
        <is>
          <t>CH1236363391</t>
        </is>
      </c>
      <c r="B1015" s="30" t="inlineStr">
        <is>
          <t>Largest wealth management bank in the world</t>
        </is>
      </c>
    </row>
    <row r="1016">
      <c r="A1016" s="30" t="inlineStr">
        <is>
          <t>USL9412AAA53</t>
        </is>
      </c>
      <c r="B1016" s="30" t="inlineStr">
        <is>
          <t>Provides petroleum products</t>
        </is>
      </c>
    </row>
    <row r="1017">
      <c r="A1017" s="30" t="inlineStr">
        <is>
          <t>FR001400MLN4</t>
        </is>
      </c>
      <c r="B1017" s="30" t="inlineStr">
        <is>
          <t>Operates as a commercial real estate owners and development company</t>
        </is>
      </c>
    </row>
    <row r="1018">
      <c r="A1018" s="30" t="inlineStr">
        <is>
          <t>XS2577053825</t>
        </is>
      </c>
      <c r="B1018" s="30" t="inlineStr">
        <is>
          <t>One of the largest bank in italy</t>
        </is>
      </c>
    </row>
    <row r="1019">
      <c r="A1019" s="30" t="inlineStr">
        <is>
          <t>XS2104968404</t>
        </is>
      </c>
      <c r="B1019" s="30" t="inlineStr">
        <is>
          <t>One of the largest bank in italy</t>
        </is>
      </c>
    </row>
    <row r="1020">
      <c r="A1020" s="30" t="inlineStr">
        <is>
          <t>XS2588885025</t>
        </is>
      </c>
      <c r="B1020" s="30" t="inlineStr">
        <is>
          <t>One of the largest bank in italy</t>
        </is>
      </c>
    </row>
    <row r="1021">
      <c r="A1021" s="30" t="inlineStr">
        <is>
          <t>XS2591848275</t>
        </is>
      </c>
      <c r="B1021" s="30" t="inlineStr">
        <is>
          <t xml:space="preserve">Offers a part-food and part-consumer products </t>
        </is>
      </c>
    </row>
    <row r="1022">
      <c r="A1022" s="30" t="inlineStr">
        <is>
          <t>US910047AK50</t>
        </is>
      </c>
      <c r="B1022" s="30" t="inlineStr">
        <is>
          <t>Provides air transportation services</t>
        </is>
      </c>
    </row>
    <row r="1023">
      <c r="A1023" s="30" t="inlineStr">
        <is>
          <t>GB00BPSNB460</t>
        </is>
      </c>
      <c r="B1023" s="30" t="inlineStr">
        <is>
          <t>UK Treasury bonds</t>
        </is>
      </c>
    </row>
    <row r="1024">
      <c r="A1024" s="30" t="inlineStr">
        <is>
          <t>GB00BPCJD880</t>
        </is>
      </c>
      <c r="B1024" s="30" t="inlineStr">
        <is>
          <t>UK government bond</t>
        </is>
      </c>
    </row>
    <row r="1025">
      <c r="A1025" s="30" t="inlineStr">
        <is>
          <t>GB00BYZW3G56</t>
        </is>
      </c>
      <c r="B1025" s="30" t="inlineStr">
        <is>
          <t>UK government bond</t>
        </is>
      </c>
    </row>
    <row r="1026">
      <c r="A1026" s="30" t="inlineStr">
        <is>
          <t>GB00BMF9LG83</t>
        </is>
      </c>
      <c r="B1026" s="30" t="inlineStr">
        <is>
          <t>UK government bond</t>
        </is>
      </c>
    </row>
    <row r="1027">
      <c r="A1027" s="30" t="inlineStr">
        <is>
          <t>GB00BJMHB534</t>
        </is>
      </c>
      <c r="B1027" s="30" t="inlineStr">
        <is>
          <t>UK government bond</t>
        </is>
      </c>
    </row>
    <row r="1028">
      <c r="A1028" s="30" t="inlineStr">
        <is>
          <t>GB00BL68HH02</t>
        </is>
      </c>
      <c r="B1028" s="30" t="inlineStr">
        <is>
          <t>UK government bond</t>
        </is>
      </c>
    </row>
    <row r="1029">
      <c r="A1029" s="30" t="inlineStr">
        <is>
          <t>GB00BMV7TC88</t>
        </is>
      </c>
      <c r="B1029" s="30" t="inlineStr">
        <is>
          <t>UK government bond</t>
        </is>
      </c>
    </row>
    <row r="1030">
      <c r="A1030" s="30" t="inlineStr">
        <is>
          <t>GB0032452392</t>
        </is>
      </c>
      <c r="B1030" s="30" t="inlineStr">
        <is>
          <t>UK government bond</t>
        </is>
      </c>
    </row>
    <row r="1031">
      <c r="A1031" s="30" t="inlineStr">
        <is>
          <t>GB00B3KJDS62</t>
        </is>
      </c>
      <c r="B1031" s="30" t="inlineStr">
        <is>
          <t>UK government bond</t>
        </is>
      </c>
    </row>
    <row r="1032">
      <c r="A1032" s="30" t="inlineStr">
        <is>
          <t>GB00BMBL1D50</t>
        </is>
      </c>
      <c r="B1032" s="30" t="inlineStr">
        <is>
          <t>UK government bond</t>
        </is>
      </c>
    </row>
    <row r="1033">
      <c r="A1033" s="30" t="inlineStr">
        <is>
          <t>US91087BAV27</t>
        </is>
      </c>
      <c r="B1033" s="30" t="inlineStr">
        <is>
          <t>Mexican Government</t>
        </is>
      </c>
    </row>
    <row r="1034">
      <c r="A1034" s="30" t="inlineStr">
        <is>
          <t>US91087BAU44</t>
        </is>
      </c>
      <c r="B1034" s="30" t="inlineStr">
        <is>
          <t>Mexican Government</t>
        </is>
      </c>
    </row>
    <row r="1035">
      <c r="A1035" s="30" t="inlineStr">
        <is>
          <t>US91087BAM28</t>
        </is>
      </c>
      <c r="B1035" s="30" t="inlineStr">
        <is>
          <t>Mexican Government</t>
        </is>
      </c>
    </row>
    <row r="1036">
      <c r="A1036" s="30" t="inlineStr">
        <is>
          <t>XS2135361686</t>
        </is>
      </c>
      <c r="B1036" s="30" t="inlineStr">
        <is>
          <t>Mexican Government</t>
        </is>
      </c>
    </row>
    <row r="1037">
      <c r="A1037" s="30" t="inlineStr">
        <is>
          <t>US911312BZ82</t>
        </is>
      </c>
      <c r="B1037" s="30" t="inlineStr">
        <is>
          <t>Delivers packages and documents</t>
        </is>
      </c>
    </row>
    <row r="1038">
      <c r="A1038" s="30" t="inlineStr">
        <is>
          <t>US911312CA23</t>
        </is>
      </c>
      <c r="B1038" s="30" t="inlineStr">
        <is>
          <t>Delivers packages and documents</t>
        </is>
      </c>
    </row>
    <row r="1039">
      <c r="A1039" s="30" t="inlineStr">
        <is>
          <t>US91159HJA95</t>
        </is>
      </c>
      <c r="B1039" s="30" t="inlineStr">
        <is>
          <t xml:space="preserve">U.S Bancorp is a diversified financial services company </t>
        </is>
      </c>
    </row>
    <row r="1040">
      <c r="A1040" s="30" t="inlineStr">
        <is>
          <t>US91282CGJ45</t>
        </is>
      </c>
      <c r="B1040" s="30" t="inlineStr">
        <is>
          <t>U.S. Government bond</t>
        </is>
      </c>
    </row>
    <row r="1041">
      <c r="A1041" s="30" t="inlineStr">
        <is>
          <t>US91282CGM73</t>
        </is>
      </c>
      <c r="B1041" s="30" t="inlineStr">
        <is>
          <t>U.S. Government bond</t>
        </is>
      </c>
    </row>
    <row r="1042">
      <c r="A1042" s="30" t="inlineStr">
        <is>
          <t>US912810RK60</t>
        </is>
      </c>
      <c r="B1042" s="30" t="inlineStr">
        <is>
          <t>U.S. Government bond</t>
        </is>
      </c>
    </row>
    <row r="1043">
      <c r="A1043" s="30" t="inlineStr">
        <is>
          <t>US912828K742</t>
        </is>
      </c>
      <c r="B1043" s="30" t="inlineStr">
        <is>
          <t>U.S. Government bond</t>
        </is>
      </c>
    </row>
    <row r="1044">
      <c r="A1044" s="30" t="inlineStr">
        <is>
          <t>US912828YG91</t>
        </is>
      </c>
      <c r="B1044" s="30" t="inlineStr">
        <is>
          <t>U.S. Government bond</t>
        </is>
      </c>
    </row>
    <row r="1045">
      <c r="A1045" s="30" t="inlineStr">
        <is>
          <t>US91282CGC91</t>
        </is>
      </c>
      <c r="B1045" s="30" t="inlineStr">
        <is>
          <t>U.S. Government bond</t>
        </is>
      </c>
    </row>
    <row r="1046">
      <c r="A1046" s="30" t="inlineStr">
        <is>
          <t>US91282CCH25</t>
        </is>
      </c>
      <c r="B1046" s="30" t="inlineStr">
        <is>
          <t>U.S. Government bond</t>
        </is>
      </c>
    </row>
    <row r="1047">
      <c r="A1047" s="30" t="inlineStr">
        <is>
          <t>US91282CFV81</t>
        </is>
      </c>
      <c r="B1047" s="30" t="inlineStr">
        <is>
          <t>U.S. Government bond</t>
        </is>
      </c>
    </row>
    <row r="1048">
      <c r="A1048" s="30" t="inlineStr">
        <is>
          <t>US912810PU60</t>
        </is>
      </c>
      <c r="B1048" s="30" t="inlineStr">
        <is>
          <t>U.S. Government bond</t>
        </is>
      </c>
    </row>
    <row r="1049">
      <c r="A1049" s="30" t="inlineStr">
        <is>
          <t>US912810QD37</t>
        </is>
      </c>
      <c r="B1049" s="30" t="inlineStr">
        <is>
          <t>U.S. Government bond</t>
        </is>
      </c>
    </row>
    <row r="1050">
      <c r="A1050" s="30" t="inlineStr">
        <is>
          <t>US912810RH32</t>
        </is>
      </c>
      <c r="B1050" s="30" t="inlineStr">
        <is>
          <t>U.S. Government bond</t>
        </is>
      </c>
    </row>
    <row r="1051">
      <c r="A1051" s="30" t="inlineStr">
        <is>
          <t>US912810SE91</t>
        </is>
      </c>
      <c r="B1051" s="30" t="inlineStr">
        <is>
          <t>U.S. Government bond</t>
        </is>
      </c>
    </row>
    <row r="1052">
      <c r="A1052" s="30" t="inlineStr">
        <is>
          <t>US912810TN81</t>
        </is>
      </c>
      <c r="B1052" s="30" t="inlineStr">
        <is>
          <t>U.S. Government bond</t>
        </is>
      </c>
    </row>
    <row r="1053">
      <c r="A1053" s="30" t="inlineStr">
        <is>
          <t>US91911TAP84</t>
        </is>
      </c>
      <c r="B1053" s="30" t="inlineStr">
        <is>
          <t>One of the largest miners in the world, largest global producer of nickel</t>
        </is>
      </c>
    </row>
    <row r="1054">
      <c r="A1054" s="30" t="inlineStr">
        <is>
          <t>US91911TAE38</t>
        </is>
      </c>
      <c r="B1054" s="30" t="inlineStr">
        <is>
          <t>One of the largest miners in the world, largest global producer of nickel</t>
        </is>
      </c>
    </row>
    <row r="1055">
      <c r="A1055" s="30" t="inlineStr">
        <is>
          <t>US91911TAH68</t>
        </is>
      </c>
      <c r="B1055" s="30" t="inlineStr">
        <is>
          <t>One of the largest miners in the world, largest global producer of nickel</t>
        </is>
      </c>
    </row>
    <row r="1056">
      <c r="A1056" s="30" t="inlineStr">
        <is>
          <t>US91911TAK97</t>
        </is>
      </c>
      <c r="B1056" s="30" t="inlineStr">
        <is>
          <t>One of the largest miners in the world, largest global producer of nickel</t>
        </is>
      </c>
    </row>
    <row r="1057">
      <c r="A1057" s="30" t="inlineStr">
        <is>
          <t>CH0553695815</t>
        </is>
      </c>
      <c r="B1057" s="30" t="inlineStr">
        <is>
          <t>Swiss residential real estate company</t>
        </is>
      </c>
    </row>
    <row r="1058">
      <c r="A1058" s="30" t="inlineStr">
        <is>
          <t>USG9328DAP53</t>
        </is>
      </c>
      <c r="B1058" s="30" t="inlineStr">
        <is>
          <t>Diversified resources company with interests mainly in India</t>
        </is>
      </c>
    </row>
    <row r="1059">
      <c r="A1059" s="30" t="inlineStr">
        <is>
          <t>USU9226NAA38</t>
        </is>
      </c>
      <c r="B1059" s="30" t="inlineStr">
        <is>
          <t xml:space="preserve">Spinoff from Danaher, emerging as an independent company within the water treatment industry. </t>
        </is>
      </c>
    </row>
    <row r="1060">
      <c r="A1060" s="30" t="inlineStr">
        <is>
          <t>USU9226NAC93</t>
        </is>
      </c>
      <c r="B1060" s="30" t="inlineStr">
        <is>
          <t xml:space="preserve">Spinoff from Danaher, emerging as an independent company within the water treatment industry. </t>
        </is>
      </c>
    </row>
    <row r="1061">
      <c r="A1061" s="30" t="inlineStr">
        <is>
          <t>XS2689127467</t>
        </is>
      </c>
      <c r="B1061" s="30" t="inlineStr">
        <is>
          <t xml:space="preserve">Spinoff from Danaher, acting within the water treatment industry. </t>
        </is>
      </c>
    </row>
    <row r="1062">
      <c r="A1062" s="30" t="inlineStr">
        <is>
          <t>XS2541437583</t>
        </is>
      </c>
      <c r="B1062" s="30" t="inlineStr">
        <is>
          <t>Designs, sells and installs burglar alarms, water and smoke detectors maong others</t>
        </is>
      </c>
    </row>
    <row r="1063">
      <c r="A1063" s="30" t="inlineStr">
        <is>
          <t>XS1405766897</t>
        </is>
      </c>
      <c r="B1063" s="30" t="inlineStr">
        <is>
          <t>Second largest telecommunications provider in the United States</t>
        </is>
      </c>
    </row>
    <row r="1064">
      <c r="A1064" s="30" t="inlineStr">
        <is>
          <t>XS1555173019</t>
        </is>
      </c>
      <c r="B1064" s="30" t="inlineStr">
        <is>
          <t>UK wireless company</t>
        </is>
      </c>
    </row>
    <row r="1065">
      <c r="A1065" s="30" t="inlineStr">
        <is>
          <t>XS1596735701</t>
        </is>
      </c>
      <c r="B1065" s="30" t="inlineStr">
        <is>
          <t>Financial arm of multinational auto manufacturing company</t>
        </is>
      </c>
    </row>
    <row r="1066">
      <c r="A1066" s="30" t="inlineStr">
        <is>
          <t>XS2562941927</t>
        </is>
      </c>
      <c r="B1066" s="30" t="inlineStr">
        <is>
          <t>Financial arm of multinational auto manufacturing company</t>
        </is>
      </c>
    </row>
    <row r="1067">
      <c r="A1067" s="30" t="inlineStr">
        <is>
          <t>XS2433140113</t>
        </is>
      </c>
      <c r="B1067" s="30" t="inlineStr">
        <is>
          <t>Financial arm of multinational auto manufacturing company</t>
        </is>
      </c>
    </row>
    <row r="1068">
      <c r="A1068" s="30" t="inlineStr">
        <is>
          <t>XS2386886803</t>
        </is>
      </c>
      <c r="B1068" s="30" t="inlineStr">
        <is>
          <t>Financial arm of multinational auto manufacturing company</t>
        </is>
      </c>
    </row>
    <row r="1069">
      <c r="A1069" s="30" t="inlineStr">
        <is>
          <t>USU9273ADK89</t>
        </is>
      </c>
      <c r="B1069" s="30" t="inlineStr">
        <is>
          <t>Western Europe's largest car manufacturer</t>
        </is>
      </c>
    </row>
    <row r="1070">
      <c r="A1070" s="30" t="inlineStr">
        <is>
          <t>XS2491738352</t>
        </is>
      </c>
      <c r="B1070" s="30" t="inlineStr">
        <is>
          <t>Financial arm of multinational auto manufacturing company</t>
        </is>
      </c>
    </row>
    <row r="1071">
      <c r="A1071" s="30" t="inlineStr">
        <is>
          <t>XS1910948329</t>
        </is>
      </c>
      <c r="B1071" s="30" t="inlineStr">
        <is>
          <t>Financial arm of multinational auto manufacturing company</t>
        </is>
      </c>
    </row>
    <row r="1072">
      <c r="A1072" s="30" t="inlineStr">
        <is>
          <t>XS1586555945</t>
        </is>
      </c>
      <c r="B1072" s="30" t="inlineStr">
        <is>
          <t>Financial arm of multinational auto manufacturing company</t>
        </is>
      </c>
    </row>
    <row r="1073">
      <c r="A1073" s="30" t="inlineStr">
        <is>
          <t>XS2554488978</t>
        </is>
      </c>
      <c r="B1073" s="30" t="inlineStr">
        <is>
          <t>Financial arm of multinational auto manufacturing company</t>
        </is>
      </c>
    </row>
    <row r="1074">
      <c r="A1074" s="30" t="inlineStr">
        <is>
          <t>USP98088AA83</t>
        </is>
      </c>
      <c r="B1074" s="30" t="inlineStr">
        <is>
          <t>Brazil's largest industrial group</t>
        </is>
      </c>
    </row>
    <row r="1075">
      <c r="A1075" s="30" t="inlineStr">
        <is>
          <t>XS1138359663</t>
        </is>
      </c>
      <c r="B1075" s="30" t="inlineStr">
        <is>
          <t xml:space="preserve">US's large retail pharmacy network </t>
        </is>
      </c>
    </row>
    <row r="1076">
      <c r="A1076" s="30" t="inlineStr">
        <is>
          <t>US931142EW94</t>
        </is>
      </c>
      <c r="B1076" s="30" t="inlineStr">
        <is>
          <t>World's largest retailer operating in the US and internationally</t>
        </is>
      </c>
    </row>
    <row r="1077">
      <c r="A1077" s="30" t="inlineStr">
        <is>
          <t>US931142EQ27</t>
        </is>
      </c>
      <c r="B1077" s="30" t="inlineStr">
        <is>
          <t>World's largest retailer operating in the US and internationally</t>
        </is>
      </c>
    </row>
    <row r="1078">
      <c r="A1078" s="30" t="inlineStr">
        <is>
          <t>US254687FL52</t>
        </is>
      </c>
      <c r="B1078" s="30" t="inlineStr">
        <is>
          <t>One of the largest entertainment company</t>
        </is>
      </c>
    </row>
    <row r="1079">
      <c r="A1079" s="30" t="inlineStr">
        <is>
          <t>US55903VBG77</t>
        </is>
      </c>
      <c r="B1079" s="30" t="inlineStr">
        <is>
          <t>creates and distributes films and television content.</t>
        </is>
      </c>
    </row>
    <row r="1080">
      <c r="A1080" s="30" t="inlineStr">
        <is>
          <t>XS1457522727</t>
        </is>
      </c>
      <c r="B1080" s="30" t="inlineStr">
        <is>
          <t>Fourth largest US bank by assets</t>
        </is>
      </c>
    </row>
    <row r="1081">
      <c r="A1081" s="30" t="inlineStr">
        <is>
          <t>XS1617830721</t>
        </is>
      </c>
      <c r="B1081" s="30" t="inlineStr">
        <is>
          <t>Fourth largest US bank by assets</t>
        </is>
      </c>
    </row>
    <row r="1082">
      <c r="A1082" s="30" t="inlineStr">
        <is>
          <t>FR0013417128</t>
        </is>
      </c>
      <c r="B1082" s="30" t="inlineStr">
        <is>
          <t>French investment firm that invest in industrial and services companies</t>
        </is>
      </c>
    </row>
    <row r="1083">
      <c r="A1083" s="30" t="inlineStr">
        <is>
          <t>USY77108AA93</t>
        </is>
      </c>
      <c r="B1083" s="30" t="inlineStr">
        <is>
          <t>Xiaomi Best time International Limited is a special purpose vehicle</t>
        </is>
      </c>
    </row>
    <row r="1084">
      <c r="A1084" s="30" t="inlineStr">
        <is>
          <t>USG98239AA72</t>
        </is>
      </c>
      <c r="B1084" s="30" t="inlineStr">
        <is>
          <t>XP Inc operates as an investment management company in Brazil.</t>
        </is>
      </c>
    </row>
    <row r="1085">
      <c r="A1085" s="30" t="inlineStr">
        <is>
          <t>XS2338564870</t>
        </is>
      </c>
      <c r="B1085" s="30" t="inlineStr">
        <is>
          <t xml:space="preserve">Germany's leading auto supplier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AA5B1"/>
    <outlinePr summaryBelow="1" summaryRight="1"/>
    <pageSetUpPr/>
  </sheetPr>
  <dimension ref="A1:V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29" t="inlineStr">
        <is>
          <t>ISIN</t>
        </is>
      </c>
      <c r="B1" s="29" t="inlineStr">
        <is>
          <t>SYZ view</t>
        </is>
      </c>
      <c r="C1" s="29" t="inlineStr">
        <is>
          <t>Company</t>
        </is>
      </c>
      <c r="D1" s="29" t="inlineStr">
        <is>
          <t>Coupon</t>
        </is>
      </c>
      <c r="E1" s="29" t="inlineStr">
        <is>
          <t>Structure</t>
        </is>
      </c>
      <c r="F1" s="29" t="inlineStr">
        <is>
          <t>Maturity</t>
        </is>
      </c>
      <c r="G1" s="29" t="inlineStr">
        <is>
          <t>Country</t>
        </is>
      </c>
      <c r="H1" s="29" t="inlineStr">
        <is>
          <t>Sector</t>
        </is>
      </c>
      <c r="I1" s="29" t="inlineStr">
        <is>
          <t>Den. (k)</t>
        </is>
      </c>
      <c r="J1" s="29" t="inlineStr">
        <is>
          <t>Price</t>
        </is>
      </c>
      <c r="K1" s="29" t="inlineStr">
        <is>
          <t>YTW</t>
        </is>
      </c>
      <c r="L1" s="29" t="inlineStr">
        <is>
          <t>YTW 1w chg</t>
        </is>
      </c>
      <c r="M1" s="29" t="inlineStr">
        <is>
          <t>YTW 1m chg</t>
        </is>
      </c>
      <c r="N1" s="29" t="inlineStr">
        <is>
          <t>Spread</t>
        </is>
      </c>
      <c r="O1" s="29" t="inlineStr">
        <is>
          <t>Dur.</t>
        </is>
      </c>
      <c r="P1" s="29" t="inlineStr">
        <is>
          <t>Ind LV.</t>
        </is>
      </c>
      <c r="Q1" s="29" t="inlineStr">
        <is>
          <t>Company Description</t>
        </is>
      </c>
      <c r="R1" s="29" t="inlineStr">
        <is>
          <t>Currency</t>
        </is>
      </c>
      <c r="S1" s="29" t="inlineStr">
        <is>
          <t>Bond Classification</t>
        </is>
      </c>
      <c r="T1" s="29" t="inlineStr">
        <is>
          <t>rating</t>
        </is>
      </c>
      <c r="U1" s="29" t="inlineStr">
        <is>
          <t>Tax Group</t>
        </is>
      </c>
      <c r="V1" s="29" t="inlineStr">
        <is>
          <t>Column1</t>
        </is>
      </c>
    </row>
    <row r="2">
      <c r="A2" s="30" t="inlineStr">
        <is>
          <t>USN15516AB83</t>
        </is>
      </c>
      <c r="B2" s="30" t="inlineStr">
        <is>
          <t xml:space="preserve">Hold </t>
        </is>
      </c>
      <c r="C2" s="30" t="inlineStr">
        <is>
          <t>Braskem Netherlands</t>
        </is>
      </c>
      <c r="D2" s="30" t="n">
        <v>4.5</v>
      </c>
      <c r="E2" s="30" t="inlineStr">
        <is>
          <t>Sr Unsecured</t>
        </is>
      </c>
      <c r="F2" s="30" t="inlineStr">
        <is>
          <t>10.01.2028</t>
        </is>
      </c>
      <c r="G2" s="30" t="inlineStr">
        <is>
          <t>Brazil</t>
        </is>
      </c>
      <c r="H2" s="30" t="inlineStr">
        <is>
          <t>Basic Materials</t>
        </is>
      </c>
      <c r="I2" s="30" t="n">
        <v>200</v>
      </c>
      <c r="J2" s="30" t="n">
        <v>83.00700000000001</v>
      </c>
      <c r="K2" s="30" t="n">
        <v>12.620055</v>
      </c>
      <c r="L2" s="30" t="n">
        <v>1.763736</v>
      </c>
      <c r="M2" s="30" t="n">
        <v>2.963971</v>
      </c>
      <c r="N2" s="30" t="n">
        <v>876.8775321000001</v>
      </c>
      <c r="O2" s="30" t="n">
        <v>2.628152406</v>
      </c>
      <c r="P2" s="30" t="n">
        <v>25</v>
      </c>
      <c r="Q2" s="30" t="inlineStr">
        <is>
          <t>Largest producer of thermoplastic resins in South America</t>
        </is>
      </c>
      <c r="R2" s="30" t="inlineStr">
        <is>
          <t>USD</t>
        </is>
      </c>
      <c r="S2" s="30" t="inlineStr">
        <is>
          <t>Latin America</t>
        </is>
      </c>
      <c r="T2" s="30" t="inlineStr">
        <is>
          <t>BB</t>
        </is>
      </c>
      <c r="U2" s="30" t="inlineStr">
        <is>
          <t>NR</t>
        </is>
      </c>
      <c r="V2" s="30" t="n"/>
    </row>
    <row r="3">
      <c r="A3" s="30" t="inlineStr">
        <is>
          <t>USN15516AG70</t>
        </is>
      </c>
      <c r="B3" s="30" t="inlineStr">
        <is>
          <t xml:space="preserve">Hold </t>
        </is>
      </c>
      <c r="C3" s="30" t="inlineStr">
        <is>
          <t>Braskem Netherlands</t>
        </is>
      </c>
      <c r="D3" s="30" t="n">
        <v>7.25</v>
      </c>
      <c r="E3" s="30" t="inlineStr">
        <is>
          <t>Sr Unsecured</t>
        </is>
      </c>
      <c r="F3" s="30" t="inlineStr">
        <is>
          <t>13.02.2033</t>
        </is>
      </c>
      <c r="G3" s="30" t="inlineStr">
        <is>
          <t>Brazil</t>
        </is>
      </c>
      <c r="H3" s="30" t="inlineStr">
        <is>
          <t>Basic Materials</t>
        </is>
      </c>
      <c r="I3" s="30" t="n">
        <v>200</v>
      </c>
      <c r="J3" s="30" t="n">
        <v>75.66200000000001</v>
      </c>
      <c r="K3" s="30" t="n">
        <v>12.261012</v>
      </c>
      <c r="L3" s="30" t="n">
        <v>0.84246</v>
      </c>
      <c r="M3" s="30" t="n">
        <v>1.748375</v>
      </c>
      <c r="N3" s="30" t="n">
        <v>810.00866</v>
      </c>
      <c r="O3" s="30" t="n">
        <v>5.889384852</v>
      </c>
      <c r="P3" s="30" t="n">
        <v>25</v>
      </c>
      <c r="Q3" s="30" t="inlineStr">
        <is>
          <t>Largest producer of thermoplastic resins in South America</t>
        </is>
      </c>
      <c r="R3" s="30" t="inlineStr">
        <is>
          <t>USD</t>
        </is>
      </c>
      <c r="S3" s="30" t="inlineStr">
        <is>
          <t>Latin America</t>
        </is>
      </c>
      <c r="T3" s="30" t="inlineStr">
        <is>
          <t>BB</t>
        </is>
      </c>
      <c r="U3" s="30" t="inlineStr">
        <is>
          <t>BB+</t>
        </is>
      </c>
      <c r="V3" s="30" t="n"/>
    </row>
    <row r="4">
      <c r="A4" s="30" t="inlineStr">
        <is>
          <t>USU60050AA61</t>
        </is>
      </c>
      <c r="B4" s="30" t="inlineStr">
        <is>
          <t xml:space="preserve">Hold </t>
        </is>
      </c>
      <c r="C4" s="30" t="inlineStr">
        <is>
          <t>Mileage Plus Hldings Llc</t>
        </is>
      </c>
      <c r="D4" s="30" t="n">
        <v>6.5</v>
      </c>
      <c r="E4" s="30" t="inlineStr">
        <is>
          <t>1St Lien</t>
        </is>
      </c>
      <c r="F4" s="30" t="inlineStr">
        <is>
          <t>20.06.2027</t>
        </is>
      </c>
      <c r="G4" s="30" t="inlineStr">
        <is>
          <t>United states</t>
        </is>
      </c>
      <c r="H4" s="30" t="inlineStr">
        <is>
          <t>Consumer, Cyclical</t>
        </is>
      </c>
      <c r="I4" s="30" t="n">
        <v>0.001</v>
      </c>
      <c r="J4" s="30" t="n">
        <v>100</v>
      </c>
      <c r="K4" s="30" t="n">
        <v>6.483611</v>
      </c>
      <c r="L4" s="30" t="n">
        <v>2.455632</v>
      </c>
      <c r="M4" s="30" t="n">
        <v>3.827457</v>
      </c>
      <c r="N4" s="30" t="n">
        <v>668.5704138999999</v>
      </c>
      <c r="O4" s="30" t="n">
        <v>1.124939032</v>
      </c>
      <c r="P4" s="30" t="n">
        <v>0</v>
      </c>
      <c r="Q4" s="30" t="inlineStr">
        <is>
          <t xml:space="preserve">Frequent flyer program of United Airlines </t>
        </is>
      </c>
      <c r="R4" s="30" t="inlineStr">
        <is>
          <t>USD</t>
        </is>
      </c>
      <c r="S4" s="30" t="inlineStr">
        <is>
          <t>Investment Grade</t>
        </is>
      </c>
      <c r="T4" s="30" t="inlineStr">
        <is>
          <t>BBB-</t>
        </is>
      </c>
      <c r="U4" s="30" t="inlineStr">
        <is>
          <t>BBB-</t>
        </is>
      </c>
      <c r="V4" s="30" t="n"/>
    </row>
    <row r="5">
      <c r="A5" s="30" t="inlineStr">
        <is>
          <t>USU1065PAA94</t>
        </is>
      </c>
      <c r="B5" s="30" t="inlineStr">
        <is>
          <t xml:space="preserve">Hold </t>
        </is>
      </c>
      <c r="C5" s="30" t="inlineStr">
        <is>
          <t>Braskem America Finance</t>
        </is>
      </c>
      <c r="D5" s="30" t="n">
        <v>7.125</v>
      </c>
      <c r="E5" s="30" t="inlineStr">
        <is>
          <t>Sr Unsecured</t>
        </is>
      </c>
      <c r="F5" s="30" t="inlineStr">
        <is>
          <t>22.07.2041</t>
        </is>
      </c>
      <c r="G5" s="30" t="inlineStr">
        <is>
          <t>Brazil</t>
        </is>
      </c>
      <c r="H5" s="30" t="inlineStr">
        <is>
          <t>Basic Materials</t>
        </is>
      </c>
      <c r="I5" s="30" t="n">
        <v>200</v>
      </c>
      <c r="J5" s="30" t="n">
        <v>70.68300000000001</v>
      </c>
      <c r="K5" s="30" t="n">
        <v>11.070353</v>
      </c>
      <c r="L5" s="30" t="n">
        <v>0.37326</v>
      </c>
      <c r="M5" s="30" t="n">
        <v>0.495851</v>
      </c>
      <c r="N5" s="30" t="n">
        <v>644.4954527</v>
      </c>
      <c r="O5" s="30" t="n">
        <v>9.000700816</v>
      </c>
      <c r="P5" s="30" t="n">
        <v>25</v>
      </c>
      <c r="Q5" s="30" t="inlineStr">
        <is>
          <t>Largest producer of thermoplastic resins in South America</t>
        </is>
      </c>
      <c r="R5" s="30" t="inlineStr">
        <is>
          <t>USD</t>
        </is>
      </c>
      <c r="S5" s="30" t="inlineStr">
        <is>
          <t>Latin America</t>
        </is>
      </c>
      <c r="T5" s="30" t="inlineStr">
        <is>
          <t>BB</t>
        </is>
      </c>
      <c r="U5" s="30" t="inlineStr">
        <is>
          <t>NR</t>
        </is>
      </c>
      <c r="V5" s="30" t="n"/>
    </row>
    <row r="6">
      <c r="A6" s="30" t="inlineStr">
        <is>
          <t>US80386WAD74</t>
        </is>
      </c>
      <c r="B6" s="30" t="inlineStr">
        <is>
          <t>Top pick</t>
        </is>
      </c>
      <c r="C6" s="30" t="inlineStr">
        <is>
          <t>Sasol Financing Usa Llc</t>
        </is>
      </c>
      <c r="D6" s="30" t="n">
        <v>5.5</v>
      </c>
      <c r="E6" s="30" t="inlineStr">
        <is>
          <t>Sr Unsecured</t>
        </is>
      </c>
      <c r="F6" s="30" t="inlineStr">
        <is>
          <t>18.03.2031</t>
        </is>
      </c>
      <c r="G6" s="30" t="inlineStr">
        <is>
          <t>South africa</t>
        </is>
      </c>
      <c r="H6" s="30" t="inlineStr">
        <is>
          <t>Basic Materials</t>
        </is>
      </c>
      <c r="I6" s="30" t="n">
        <v>200</v>
      </c>
      <c r="J6" s="30" t="n">
        <v>82.178</v>
      </c>
      <c r="K6" s="30" t="n">
        <v>9.635929000000001</v>
      </c>
      <c r="L6" s="30" t="n">
        <v>-0.000375</v>
      </c>
      <c r="M6" s="30" t="n">
        <v>0.222237</v>
      </c>
      <c r="N6" s="30" t="n">
        <v>563.6030605</v>
      </c>
      <c r="O6" s="30" t="n">
        <v>4.812110913</v>
      </c>
      <c r="P6" s="30" t="n">
        <v>25</v>
      </c>
      <c r="Q6" s="30" t="inlineStr">
        <is>
          <t xml:space="preserve">Integrated energy and chemical company </t>
        </is>
      </c>
      <c r="R6" s="30" t="inlineStr">
        <is>
          <t>USD</t>
        </is>
      </c>
      <c r="S6" s="30" t="inlineStr">
        <is>
          <t>High Yield</t>
        </is>
      </c>
      <c r="T6" s="30" t="inlineStr">
        <is>
          <t>BB+</t>
        </is>
      </c>
      <c r="U6" s="30" t="inlineStr">
        <is>
          <t>BB+</t>
        </is>
      </c>
      <c r="V6" s="30" t="n"/>
    </row>
    <row r="7">
      <c r="A7" s="30" t="inlineStr">
        <is>
          <t>USG2583XAB76</t>
        </is>
      </c>
      <c r="B7" s="30" t="inlineStr">
        <is>
          <t>Not accumulate</t>
        </is>
      </c>
      <c r="C7" s="30" t="inlineStr">
        <is>
          <t>Csn Islands Xi Corp</t>
        </is>
      </c>
      <c r="D7" s="30" t="n">
        <v>6.75</v>
      </c>
      <c r="E7" s="30" t="inlineStr">
        <is>
          <t>Sr Unsecured</t>
        </is>
      </c>
      <c r="F7" s="30" t="inlineStr">
        <is>
          <t>28.01.2028</t>
        </is>
      </c>
      <c r="G7" s="30" t="inlineStr">
        <is>
          <t>Brazil</t>
        </is>
      </c>
      <c r="H7" s="30" t="inlineStr">
        <is>
          <t>Basic Materials</t>
        </is>
      </c>
      <c r="I7" s="30" t="n">
        <v>200</v>
      </c>
      <c r="J7" s="30" t="n">
        <v>94.78100000000001</v>
      </c>
      <c r="K7" s="30" t="n">
        <v>9.080596999999999</v>
      </c>
      <c r="L7" s="30" t="n">
        <v>-0.001952</v>
      </c>
      <c r="M7" s="30" t="n">
        <v>-0.42103</v>
      </c>
      <c r="N7" s="30" t="n">
        <v>523.5006329</v>
      </c>
      <c r="O7" s="30" t="n">
        <v>2.586937597</v>
      </c>
      <c r="P7" s="30" t="n">
        <v>25</v>
      </c>
      <c r="Q7" s="30" t="inlineStr">
        <is>
          <t xml:space="preserve">Steel maker </t>
        </is>
      </c>
      <c r="R7" s="30" t="inlineStr">
        <is>
          <t>USD</t>
        </is>
      </c>
      <c r="S7" s="30" t="inlineStr">
        <is>
          <t>Latin America</t>
        </is>
      </c>
      <c r="T7" s="30" t="inlineStr">
        <is>
          <t>BB-</t>
        </is>
      </c>
      <c r="U7" s="30" t="inlineStr">
        <is>
          <t>BB-</t>
        </is>
      </c>
      <c r="V7" s="30" t="n"/>
    </row>
    <row r="8">
      <c r="A8" s="30" t="inlineStr">
        <is>
          <t>USE0R75RAB28</t>
        </is>
      </c>
      <c r="B8" s="30" t="inlineStr">
        <is>
          <t xml:space="preserve">Hold </t>
        </is>
      </c>
      <c r="C8" s="30" t="inlineStr">
        <is>
          <t>Ai Candelaria -Spain- Sa</t>
        </is>
      </c>
      <c r="D8" s="30" t="n">
        <v>5.75</v>
      </c>
      <c r="E8" s="30" t="inlineStr">
        <is>
          <t>Secured</t>
        </is>
      </c>
      <c r="F8" s="30" t="inlineStr">
        <is>
          <t>15.06.2033</t>
        </is>
      </c>
      <c r="G8" s="30" t="inlineStr">
        <is>
          <t>Colombia</t>
        </is>
      </c>
      <c r="H8" s="30" t="inlineStr">
        <is>
          <t>Energy</t>
        </is>
      </c>
      <c r="I8" s="30" t="n">
        <v>250</v>
      </c>
      <c r="J8" s="30" t="n">
        <v>84.735</v>
      </c>
      <c r="K8" s="30" t="n">
        <v>8.425234</v>
      </c>
      <c r="L8" s="30" t="n">
        <v>-0.175475</v>
      </c>
      <c r="M8" s="30" t="n">
        <v>-0.106448</v>
      </c>
      <c r="N8" s="30" t="n">
        <v>518.1661446000001</v>
      </c>
      <c r="O8" s="30" t="n">
        <v>4.852879713</v>
      </c>
      <c r="P8" s="30" t="n">
        <v>0</v>
      </c>
      <c r="Q8" s="30" t="inlineStr">
        <is>
          <t>Holding company of oil pipeline</t>
        </is>
      </c>
      <c r="R8" s="30" t="inlineStr">
        <is>
          <t>USD</t>
        </is>
      </c>
      <c r="S8" s="30" t="inlineStr">
        <is>
          <t>Latin America</t>
        </is>
      </c>
      <c r="T8" s="30" t="inlineStr">
        <is>
          <t>B+</t>
        </is>
      </c>
      <c r="U8" s="30" t="inlineStr">
        <is>
          <t>BB-</t>
        </is>
      </c>
      <c r="V8" s="30" t="n"/>
    </row>
    <row r="9">
      <c r="A9" s="30" t="inlineStr">
        <is>
          <t>USU8035UAC63</t>
        </is>
      </c>
      <c r="B9" s="30" t="inlineStr">
        <is>
          <t xml:space="preserve">Hold </t>
        </is>
      </c>
      <c r="C9" s="30" t="inlineStr">
        <is>
          <t>Sasol Financing Usa Llc</t>
        </is>
      </c>
      <c r="D9" s="30" t="n">
        <v>8.75</v>
      </c>
      <c r="E9" s="30" t="inlineStr">
        <is>
          <t>Sr Unsecured</t>
        </is>
      </c>
      <c r="F9" s="30" t="inlineStr">
        <is>
          <t>03.05.2029</t>
        </is>
      </c>
      <c r="G9" s="30" t="inlineStr">
        <is>
          <t>South africa</t>
        </is>
      </c>
      <c r="H9" s="30" t="inlineStr">
        <is>
          <t>Basic Materials</t>
        </is>
      </c>
      <c r="I9" s="30" t="n">
        <v>200</v>
      </c>
      <c r="J9" s="30" t="n">
        <v>99.134</v>
      </c>
      <c r="K9" s="30" t="n">
        <v>9.016033</v>
      </c>
      <c r="L9" s="30" t="n">
        <v>-0.032661</v>
      </c>
      <c r="M9" s="30" t="n">
        <v>0.010598</v>
      </c>
      <c r="N9" s="30" t="n">
        <v>511.5366163</v>
      </c>
      <c r="O9" s="30" t="n">
        <v>3.272575776</v>
      </c>
      <c r="P9" s="30" t="n">
        <v>25</v>
      </c>
      <c r="Q9" s="30" t="inlineStr">
        <is>
          <t xml:space="preserve">Integrated energy and chemical company </t>
        </is>
      </c>
      <c r="R9" s="30" t="inlineStr">
        <is>
          <t>USD</t>
        </is>
      </c>
      <c r="S9" s="30" t="inlineStr">
        <is>
          <t>High Yield</t>
        </is>
      </c>
      <c r="T9" s="30" t="inlineStr">
        <is>
          <t>BB+</t>
        </is>
      </c>
      <c r="U9" s="30" t="inlineStr">
        <is>
          <t>BB+</t>
        </is>
      </c>
      <c r="V9" s="30" t="n"/>
    </row>
    <row r="10">
      <c r="A10" s="30" t="inlineStr">
        <is>
          <t>CH0333827506</t>
        </is>
      </c>
      <c r="B10" s="30" t="inlineStr">
        <is>
          <t>Hold</t>
        </is>
      </c>
      <c r="C10" s="30" t="inlineStr">
        <is>
          <t>Teva Pharm Fin Iv</t>
        </is>
      </c>
      <c r="D10" s="30" t="n">
        <v>1</v>
      </c>
      <c r="E10" s="30" t="inlineStr">
        <is>
          <t>Sr Unsecured</t>
        </is>
      </c>
      <c r="F10" s="30" t="inlineStr">
        <is>
          <t>28.07.2025</t>
        </is>
      </c>
      <c r="G10" s="30" t="inlineStr">
        <is>
          <t>Israel</t>
        </is>
      </c>
      <c r="H10" s="30" t="inlineStr">
        <is>
          <t>Consumer, Non-cyclical</t>
        </is>
      </c>
      <c r="I10" s="30" t="n">
        <v>5</v>
      </c>
      <c r="J10" s="30" t="n">
        <v>99.795</v>
      </c>
      <c r="K10" s="30" t="n">
        <v>4.857654</v>
      </c>
      <c r="L10" s="30" t="n">
        <v>-0.046412</v>
      </c>
      <c r="M10" s="30" t="n">
        <v>1.919441</v>
      </c>
      <c r="N10" s="30" t="n">
        <v>506.3319542</v>
      </c>
      <c r="O10" s="30" t="n">
        <v>0.426245496</v>
      </c>
      <c r="P10" s="30" t="n">
        <v>20</v>
      </c>
      <c r="Q10" s="30" t="inlineStr">
        <is>
          <t>Largest manufacturer of pharmaceutical generics</t>
        </is>
      </c>
      <c r="R10" s="30" t="inlineStr">
        <is>
          <t>CHF</t>
        </is>
      </c>
      <c r="S10" s="30" t="inlineStr">
        <is>
          <t>High Yield</t>
        </is>
      </c>
      <c r="T10" s="30" t="inlineStr">
        <is>
          <t>BB</t>
        </is>
      </c>
      <c r="U10" s="30" t="inlineStr">
        <is>
          <t>BB</t>
        </is>
      </c>
      <c r="V10" s="30" t="n"/>
    </row>
    <row r="11">
      <c r="A11" s="30" t="inlineStr">
        <is>
          <t>USU8215LAA27</t>
        </is>
      </c>
      <c r="B11" s="30" t="inlineStr">
        <is>
          <t>Hold</t>
        </is>
      </c>
      <c r="C11" s="30" t="inlineStr">
        <is>
          <t>Sierracol Enrgy Andina</t>
        </is>
      </c>
      <c r="D11" s="30" t="n">
        <v>6</v>
      </c>
      <c r="E11" s="30" t="inlineStr">
        <is>
          <t>Sr Unsecured</t>
        </is>
      </c>
      <c r="F11" s="30" t="inlineStr">
        <is>
          <t>15.06.2028</t>
        </is>
      </c>
      <c r="G11" s="30" t="inlineStr">
        <is>
          <t>Colombia</t>
        </is>
      </c>
      <c r="H11" s="30" t="inlineStr">
        <is>
          <t>Energy</t>
        </is>
      </c>
      <c r="I11" s="30" t="n">
        <v>200</v>
      </c>
      <c r="J11" s="30" t="n">
        <v>92.788</v>
      </c>
      <c r="K11" s="30" t="n">
        <v>8.839394</v>
      </c>
      <c r="L11" s="30" t="n">
        <v>-0.014173</v>
      </c>
      <c r="M11" s="30" t="n">
        <v>-0.33487</v>
      </c>
      <c r="N11" s="30" t="n">
        <v>500.8933963</v>
      </c>
      <c r="O11" s="30" t="n">
        <v>2.889595888</v>
      </c>
      <c r="P11" s="30" t="n">
        <v>0</v>
      </c>
      <c r="Q11" s="30" t="inlineStr">
        <is>
          <t xml:space="preserve">Oil and gas company </t>
        </is>
      </c>
      <c r="R11" s="30" t="inlineStr">
        <is>
          <t>USD</t>
        </is>
      </c>
      <c r="S11" s="30" t="inlineStr">
        <is>
          <t>Latin America</t>
        </is>
      </c>
      <c r="T11" s="30" t="inlineStr">
        <is>
          <t>B+</t>
        </is>
      </c>
      <c r="U11" s="30" t="inlineStr">
        <is>
          <t>B+</t>
        </is>
      </c>
      <c r="V11" s="30" t="n"/>
    </row>
    <row r="12">
      <c r="A12" s="30" t="inlineStr">
        <is>
          <t>FR001400QC85</t>
        </is>
      </c>
      <c r="B12" s="30" t="inlineStr">
        <is>
          <t>Hold</t>
        </is>
      </c>
      <c r="C12" s="30" t="inlineStr">
        <is>
          <t>Eramet</t>
        </is>
      </c>
      <c r="D12" s="30" t="n">
        <v>6.5</v>
      </c>
      <c r="E12" s="30" t="inlineStr">
        <is>
          <t>Sr Unsecured</t>
        </is>
      </c>
      <c r="F12" s="30" t="inlineStr">
        <is>
          <t>30.11.2029</t>
        </is>
      </c>
      <c r="G12" s="30" t="inlineStr">
        <is>
          <t>France</t>
        </is>
      </c>
      <c r="H12" s="30" t="inlineStr">
        <is>
          <t>Basic Materials</t>
        </is>
      </c>
      <c r="I12" s="30" t="n">
        <v>100</v>
      </c>
      <c r="J12" s="30" t="n">
        <v>99.717</v>
      </c>
      <c r="K12" s="30" t="n">
        <v>6.56289</v>
      </c>
      <c r="L12" s="30" t="n">
        <v>-0.08319</v>
      </c>
      <c r="M12" s="30" t="n">
        <v>-0.201254</v>
      </c>
      <c r="N12" s="30" t="n">
        <v>427.2082226</v>
      </c>
      <c r="O12" s="30" t="n">
        <v>3.933632703</v>
      </c>
      <c r="P12" s="30" t="n">
        <v>25</v>
      </c>
      <c r="Q12" s="30" t="inlineStr">
        <is>
          <t>Partially state-owned mining company in manganese, nickel, and special steels.</t>
        </is>
      </c>
      <c r="R12" s="30" t="inlineStr">
        <is>
          <t>EUR</t>
        </is>
      </c>
      <c r="S12" s="30" t="inlineStr">
        <is>
          <t>High Yield</t>
        </is>
      </c>
      <c r="T12" s="30" t="inlineStr">
        <is>
          <t>BB-</t>
        </is>
      </c>
      <c r="U12" s="30" t="inlineStr">
        <is>
          <t>BB-</t>
        </is>
      </c>
      <c r="V12" s="30" t="n"/>
    </row>
    <row r="13">
      <c r="A13" s="30" t="inlineStr">
        <is>
          <t>FR001400HZE3</t>
        </is>
      </c>
      <c r="B13" s="30" t="inlineStr">
        <is>
          <t>Hold</t>
        </is>
      </c>
      <c r="C13" s="30" t="inlineStr">
        <is>
          <t>Eramet</t>
        </is>
      </c>
      <c r="D13" s="30" t="n">
        <v>7</v>
      </c>
      <c r="E13" s="30" t="inlineStr">
        <is>
          <t>Sr Unsecured</t>
        </is>
      </c>
      <c r="F13" s="30" t="inlineStr">
        <is>
          <t>22.05.2028</t>
        </is>
      </c>
      <c r="G13" s="30" t="inlineStr">
        <is>
          <t>France</t>
        </is>
      </c>
      <c r="H13" s="30" t="inlineStr">
        <is>
          <t>Basic Materials</t>
        </is>
      </c>
      <c r="I13" s="30" t="n">
        <v>100</v>
      </c>
      <c r="J13" s="30" t="n">
        <v>101.982</v>
      </c>
      <c r="K13" s="30" t="n">
        <v>6.162619</v>
      </c>
      <c r="L13" s="30" t="n">
        <v>-0.141099</v>
      </c>
      <c r="M13" s="30" t="n">
        <v>-0.252569</v>
      </c>
      <c r="N13" s="30" t="n">
        <v>411.023193</v>
      </c>
      <c r="O13" s="30" t="n">
        <v>2.51997199</v>
      </c>
      <c r="P13" s="30" t="n">
        <v>25</v>
      </c>
      <c r="Q13" s="30" t="inlineStr">
        <is>
          <t>Partially state-owned mining company in manganese, nickel, and special steels.</t>
        </is>
      </c>
      <c r="R13" s="30" t="inlineStr">
        <is>
          <t>EUR</t>
        </is>
      </c>
      <c r="S13" s="30" t="inlineStr">
        <is>
          <t>High Yield</t>
        </is>
      </c>
      <c r="T13" s="30" t="inlineStr">
        <is>
          <t>BB-</t>
        </is>
      </c>
      <c r="U13" s="30" t="inlineStr">
        <is>
          <t>BB-</t>
        </is>
      </c>
      <c r="V13" s="30" t="n"/>
    </row>
    <row r="14">
      <c r="A14" s="30" t="inlineStr">
        <is>
          <t>USP8000UAA71</t>
        </is>
      </c>
      <c r="B14" s="30" t="inlineStr">
        <is>
          <t xml:space="preserve">Hold </t>
        </is>
      </c>
      <c r="C14" s="30" t="inlineStr">
        <is>
          <t>Petroleos Mexicanos</t>
        </is>
      </c>
      <c r="D14" s="30" t="n">
        <v>6.7</v>
      </c>
      <c r="E14" s="30" t="inlineStr">
        <is>
          <t>Sr Unsecured</t>
        </is>
      </c>
      <c r="F14" s="30" t="inlineStr">
        <is>
          <t>16.02.2032</t>
        </is>
      </c>
      <c r="G14" s="30" t="inlineStr">
        <is>
          <t>Mexico</t>
        </is>
      </c>
      <c r="H14" s="30" t="inlineStr">
        <is>
          <t>Energy</t>
        </is>
      </c>
      <c r="I14" s="30" t="n">
        <v>10</v>
      </c>
      <c r="J14" s="30" t="n">
        <v>94.11199999999999</v>
      </c>
      <c r="K14" s="30" t="n">
        <v>7.85741</v>
      </c>
      <c r="L14" s="30" t="n">
        <v>-0.274919</v>
      </c>
      <c r="M14" s="30" t="n">
        <v>-0.6863359999999999</v>
      </c>
      <c r="N14" s="30" t="n">
        <v>401.958252</v>
      </c>
      <c r="O14" s="30" t="n">
        <v>4.700903964</v>
      </c>
      <c r="P14" s="30" t="n">
        <v>60</v>
      </c>
      <c r="Q14" s="30" t="inlineStr">
        <is>
          <t>Mexican state oil and gas company</t>
        </is>
      </c>
      <c r="R14" s="30" t="inlineStr">
        <is>
          <t>USD</t>
        </is>
      </c>
      <c r="S14" s="30" t="inlineStr">
        <is>
          <t>Latin America</t>
        </is>
      </c>
      <c r="T14" s="30" t="inlineStr">
        <is>
          <t>BB-</t>
        </is>
      </c>
      <c r="U14" s="30" t="inlineStr">
        <is>
          <t>BB-</t>
        </is>
      </c>
      <c r="V14" s="30" t="n"/>
    </row>
    <row r="15">
      <c r="A15" s="30" t="inlineStr">
        <is>
          <t>US279158AS81</t>
        </is>
      </c>
      <c r="B15" s="30" t="inlineStr">
        <is>
          <t xml:space="preserve">Hold </t>
        </is>
      </c>
      <c r="C15" s="30" t="inlineStr">
        <is>
          <t>Ecopetrol Sa</t>
        </is>
      </c>
      <c r="D15" s="30" t="n">
        <v>8.875</v>
      </c>
      <c r="E15" s="30" t="inlineStr">
        <is>
          <t>Sr Unsecured</t>
        </is>
      </c>
      <c r="F15" s="30" t="inlineStr">
        <is>
          <t>13.01.2033</t>
        </is>
      </c>
      <c r="G15" s="30" t="inlineStr">
        <is>
          <t>Colombia</t>
        </is>
      </c>
      <c r="H15" s="30" t="inlineStr">
        <is>
          <t>Energy</t>
        </is>
      </c>
      <c r="I15" s="30" t="n">
        <v>1</v>
      </c>
      <c r="J15" s="30" t="n">
        <v>104.035</v>
      </c>
      <c r="K15" s="30" t="n">
        <v>8.130466</v>
      </c>
      <c r="L15" s="30" t="n">
        <v>-0.16249</v>
      </c>
      <c r="M15" s="30" t="n">
        <v>-0.26456</v>
      </c>
      <c r="N15" s="30" t="n">
        <v>397.6932501</v>
      </c>
      <c r="O15" s="30" t="n">
        <v>5.474664369</v>
      </c>
      <c r="P15" s="30" t="n">
        <v>15</v>
      </c>
      <c r="Q15" s="30" t="inlineStr">
        <is>
          <t xml:space="preserve">State-owned energy company </t>
        </is>
      </c>
      <c r="R15" s="30" t="inlineStr">
        <is>
          <t>USD</t>
        </is>
      </c>
      <c r="S15" s="30" t="inlineStr">
        <is>
          <t>Latin America</t>
        </is>
      </c>
      <c r="T15" s="30" t="inlineStr">
        <is>
          <t>BB</t>
        </is>
      </c>
      <c r="U15" s="30" t="inlineStr">
        <is>
          <t>BB+</t>
        </is>
      </c>
      <c r="V15" s="30" t="n"/>
    </row>
    <row r="16">
      <c r="A16" s="30" t="inlineStr">
        <is>
          <t>US279158AW93</t>
        </is>
      </c>
      <c r="B16" s="30" t="inlineStr">
        <is>
          <t xml:space="preserve">Top pick </t>
        </is>
      </c>
      <c r="C16" s="30" t="inlineStr">
        <is>
          <t>Ecopetrol Sa</t>
        </is>
      </c>
      <c r="D16" s="30" t="n">
        <v>7.75</v>
      </c>
      <c r="E16" s="30" t="inlineStr">
        <is>
          <t>Sr Unsecured</t>
        </is>
      </c>
      <c r="F16" s="30" t="inlineStr">
        <is>
          <t>01.02.2032</t>
        </is>
      </c>
      <c r="G16" s="30" t="inlineStr">
        <is>
          <t>Colombia</t>
        </is>
      </c>
      <c r="H16" s="30" t="inlineStr">
        <is>
          <t>Energy</t>
        </is>
      </c>
      <c r="I16" s="30" t="n">
        <v>1</v>
      </c>
      <c r="J16" s="30" t="n">
        <v>99.545</v>
      </c>
      <c r="K16" s="30" t="n">
        <v>7.838344</v>
      </c>
      <c r="L16" s="30" t="n">
        <v>-0.224828</v>
      </c>
      <c r="M16" s="30" t="n">
        <v>-0.356586</v>
      </c>
      <c r="N16" s="30" t="n">
        <v>375.1907576</v>
      </c>
      <c r="O16" s="30" t="n">
        <v>5.252211939</v>
      </c>
      <c r="P16" s="30" t="n">
        <v>0</v>
      </c>
      <c r="Q16" s="30" t="inlineStr">
        <is>
          <t xml:space="preserve"> State-owned largest energy company in Colombia </t>
        </is>
      </c>
      <c r="R16" s="30" t="inlineStr">
        <is>
          <t>USD</t>
        </is>
      </c>
      <c r="S16" s="30" t="inlineStr">
        <is>
          <t>Latin America</t>
        </is>
      </c>
      <c r="T16" s="30" t="inlineStr">
        <is>
          <t>BB</t>
        </is>
      </c>
      <c r="U16" s="30" t="inlineStr">
        <is>
          <t>BB+</t>
        </is>
      </c>
      <c r="V16" s="30" t="n"/>
    </row>
    <row r="17">
      <c r="A17" s="30" t="inlineStr">
        <is>
          <t>US279158AP43</t>
        </is>
      </c>
      <c r="B17" s="30" t="inlineStr">
        <is>
          <t xml:space="preserve">Hold </t>
        </is>
      </c>
      <c r="C17" s="30" t="inlineStr">
        <is>
          <t>Ecopetrol Sa</t>
        </is>
      </c>
      <c r="D17" s="30" t="n">
        <v>4.625</v>
      </c>
      <c r="E17" s="30" t="inlineStr">
        <is>
          <t>Sr Unsecured</t>
        </is>
      </c>
      <c r="F17" s="30" t="inlineStr">
        <is>
          <t>02.11.2031</t>
        </is>
      </c>
      <c r="G17" s="30" t="inlineStr">
        <is>
          <t>Colombia</t>
        </is>
      </c>
      <c r="H17" s="30" t="inlineStr">
        <is>
          <t>Energy</t>
        </is>
      </c>
      <c r="I17" s="30" t="n">
        <v>1</v>
      </c>
      <c r="J17" s="30" t="n">
        <v>85.09699999999999</v>
      </c>
      <c r="K17" s="30" t="n">
        <v>7.641238</v>
      </c>
      <c r="L17" s="30" t="n">
        <v>-0.146751</v>
      </c>
      <c r="M17" s="30" t="n">
        <v>-0.357178</v>
      </c>
      <c r="N17" s="30" t="n">
        <v>357.5619928</v>
      </c>
      <c r="O17" s="30" t="n">
        <v>5.440051328</v>
      </c>
      <c r="P17" s="30" t="n">
        <v>0</v>
      </c>
      <c r="Q17" s="30" t="inlineStr">
        <is>
          <t xml:space="preserve">State-owned energy company </t>
        </is>
      </c>
      <c r="R17" s="30" t="inlineStr">
        <is>
          <t>USD</t>
        </is>
      </c>
      <c r="S17" s="30" t="inlineStr">
        <is>
          <t>Latin America</t>
        </is>
      </c>
      <c r="T17" s="30" t="inlineStr">
        <is>
          <t>BB</t>
        </is>
      </c>
      <c r="U17" s="30" t="inlineStr">
        <is>
          <t>BB+</t>
        </is>
      </c>
      <c r="V17" s="30" t="n"/>
    </row>
    <row r="18">
      <c r="A18" s="30" t="inlineStr">
        <is>
          <t>USP2000GAA15</t>
        </is>
      </c>
      <c r="B18" s="30" t="inlineStr">
        <is>
          <t>Top Pick</t>
        </is>
      </c>
      <c r="C18" s="30" t="inlineStr">
        <is>
          <t>Bbva Bancomer Sa Texas</t>
        </is>
      </c>
      <c r="D18" s="30" t="n">
        <v>7.625</v>
      </c>
      <c r="E18" s="30" t="inlineStr">
        <is>
          <t>Subordinated</t>
        </is>
      </c>
      <c r="F18" s="30" t="inlineStr">
        <is>
          <t>11.02.2035</t>
        </is>
      </c>
      <c r="G18" s="30" t="inlineStr">
        <is>
          <t>Mexico</t>
        </is>
      </c>
      <c r="H18" s="30" t="inlineStr">
        <is>
          <t>Financial</t>
        </is>
      </c>
      <c r="I18" s="30" t="n">
        <v>200</v>
      </c>
      <c r="J18" s="30" t="n">
        <v>102.687</v>
      </c>
      <c r="K18" s="30" t="n">
        <v>6.929273</v>
      </c>
      <c r="L18" s="30" t="n">
        <v>0.08045099999999999</v>
      </c>
      <c r="M18" s="30" t="n">
        <v>-0.07267999999999999</v>
      </c>
      <c r="N18" s="30" t="n">
        <v>335.8716841</v>
      </c>
      <c r="O18" s="30" t="n">
        <v>4.078755288</v>
      </c>
      <c r="P18" s="30" t="n">
        <v>0</v>
      </c>
      <c r="Q18" s="30" t="inlineStr">
        <is>
          <t>Mexico's largest bank</t>
        </is>
      </c>
      <c r="R18" s="30" t="inlineStr">
        <is>
          <t>USD</t>
        </is>
      </c>
      <c r="S18" s="30" t="inlineStr">
        <is>
          <t>Latin America</t>
        </is>
      </c>
      <c r="T18" s="30" t="inlineStr">
        <is>
          <t>BB+</t>
        </is>
      </c>
      <c r="U18" s="30" t="inlineStr">
        <is>
          <t>BB+</t>
        </is>
      </c>
      <c r="V18" s="30" t="n"/>
    </row>
    <row r="19">
      <c r="A19" s="30" t="inlineStr">
        <is>
          <t>XS2355105292</t>
        </is>
      </c>
      <c r="B19" s="30" t="inlineStr">
        <is>
          <t>Top pick</t>
        </is>
      </c>
      <c r="C19" s="30" t="inlineStr">
        <is>
          <t>Anadolu Efes Bir</t>
        </is>
      </c>
      <c r="D19" s="30" t="n">
        <v>3.375</v>
      </c>
      <c r="E19" s="30" t="inlineStr">
        <is>
          <t>Sr Unsecured</t>
        </is>
      </c>
      <c r="F19" s="30" t="inlineStr">
        <is>
          <t>29.06.2028</t>
        </is>
      </c>
      <c r="G19" s="30" t="inlineStr">
        <is>
          <t>Turkey</t>
        </is>
      </c>
      <c r="H19" s="30" t="inlineStr">
        <is>
          <t>Consumer, Non-cyclical</t>
        </is>
      </c>
      <c r="I19" s="30" t="n">
        <v>200</v>
      </c>
      <c r="J19" s="30" t="n">
        <v>90.39</v>
      </c>
      <c r="K19" s="30" t="n">
        <v>7.012501</v>
      </c>
      <c r="L19" s="30" t="n">
        <v>-0.155102</v>
      </c>
      <c r="M19" s="30" t="n">
        <v>-0.199616</v>
      </c>
      <c r="N19" s="30" t="n">
        <v>318.4980942</v>
      </c>
      <c r="O19" s="30" t="n">
        <v>3.054387523</v>
      </c>
      <c r="P19" s="30" t="n">
        <v>10</v>
      </c>
      <c r="Q19" s="30" t="inlineStr">
        <is>
          <t>Produces and markets beer and malt and non-alcoholic beverages</t>
        </is>
      </c>
      <c r="R19" s="30" t="inlineStr">
        <is>
          <t>USD</t>
        </is>
      </c>
      <c r="S19" s="30" t="inlineStr">
        <is>
          <t>High Yield</t>
        </is>
      </c>
      <c r="T19" s="30" t="inlineStr">
        <is>
          <t>BB</t>
        </is>
      </c>
      <c r="U19" s="30" t="inlineStr">
        <is>
          <t>BB</t>
        </is>
      </c>
      <c r="V19" s="30" t="n"/>
    </row>
    <row r="20">
      <c r="A20" s="30" t="inlineStr">
        <is>
          <t>USP71340AD81</t>
        </is>
      </c>
      <c r="B20" s="30" t="inlineStr">
        <is>
          <t xml:space="preserve">Not Accumulate </t>
        </is>
      </c>
      <c r="C20" s="30" t="inlineStr">
        <is>
          <t>Nemak Sab De Cv</t>
        </is>
      </c>
      <c r="D20" s="30" t="n">
        <v>3.625</v>
      </c>
      <c r="E20" s="30" t="inlineStr">
        <is>
          <t>Sr Unsecured</t>
        </is>
      </c>
      <c r="F20" s="30" t="inlineStr">
        <is>
          <t>28.06.2031</t>
        </is>
      </c>
      <c r="G20" s="30" t="inlineStr">
        <is>
          <t>Mexico</t>
        </is>
      </c>
      <c r="H20" s="30" t="inlineStr">
        <is>
          <t>Consumer, Cyclical</t>
        </is>
      </c>
      <c r="I20" s="30" t="n">
        <v>200</v>
      </c>
      <c r="J20" s="30" t="n">
        <v>82.90000000000001</v>
      </c>
      <c r="K20" s="30" t="n">
        <v>7.197717</v>
      </c>
      <c r="L20" s="30" t="n">
        <v>-0.139301</v>
      </c>
      <c r="M20" s="30" t="n">
        <v>-0.40864</v>
      </c>
      <c r="N20" s="30" t="n">
        <v>316.2544031</v>
      </c>
      <c r="O20" s="30" t="n">
        <v>5.382431146</v>
      </c>
      <c r="P20" s="30" t="n">
        <v>15</v>
      </c>
      <c r="Q20" s="30" t="inlineStr">
        <is>
          <t>Nemak develops and markets aluminum products for the automotive industry</t>
        </is>
      </c>
      <c r="R20" s="30" t="inlineStr">
        <is>
          <t>USD</t>
        </is>
      </c>
      <c r="S20" s="30" t="inlineStr">
        <is>
          <t>Latin America</t>
        </is>
      </c>
      <c r="T20" s="30" t="inlineStr">
        <is>
          <t>BB+</t>
        </is>
      </c>
      <c r="U20" s="30" t="inlineStr">
        <is>
          <t>BB+</t>
        </is>
      </c>
      <c r="V20" s="30" t="n"/>
    </row>
    <row r="21">
      <c r="A21" s="30" t="inlineStr">
        <is>
          <t>US195325EG61</t>
        </is>
      </c>
      <c r="B21" s="30" t="inlineStr">
        <is>
          <t xml:space="preserve">Hold </t>
        </is>
      </c>
      <c r="C21" s="30" t="inlineStr">
        <is>
          <t>Republic Of Colombia</t>
        </is>
      </c>
      <c r="D21" s="30" t="n">
        <v>7.5</v>
      </c>
      <c r="E21" s="30" t="inlineStr">
        <is>
          <t>Sr Unsecured</t>
        </is>
      </c>
      <c r="F21" s="30" t="inlineStr">
        <is>
          <t>02.02.2034</t>
        </is>
      </c>
      <c r="G21" s="30" t="inlineStr">
        <is>
          <t>Colombia</t>
        </is>
      </c>
      <c r="H21" s="30" t="inlineStr">
        <is>
          <t>Government</t>
        </is>
      </c>
      <c r="I21" s="30" t="n">
        <v>200</v>
      </c>
      <c r="J21" s="30" t="n">
        <v>100.592</v>
      </c>
      <c r="K21" s="30" t="n">
        <v>7.403626</v>
      </c>
      <c r="L21" s="30" t="n">
        <v>-0.190921</v>
      </c>
      <c r="M21" s="30" t="n">
        <v>-0.199229</v>
      </c>
      <c r="N21" s="30" t="n">
        <v>315.1808049</v>
      </c>
      <c r="O21" s="30" t="n">
        <v>6.40716097</v>
      </c>
      <c r="P21" s="30" t="n">
        <v>15</v>
      </c>
      <c r="Q21" s="30" t="inlineStr">
        <is>
          <t>Colombian Government bond</t>
        </is>
      </c>
      <c r="R21" s="30" t="inlineStr">
        <is>
          <t>USD</t>
        </is>
      </c>
      <c r="S21" s="30" t="inlineStr">
        <is>
          <t>Latin America</t>
        </is>
      </c>
      <c r="T21" s="30" t="inlineStr">
        <is>
          <t>BB+</t>
        </is>
      </c>
      <c r="U21" s="30" t="inlineStr">
        <is>
          <t>BB+</t>
        </is>
      </c>
      <c r="V21" s="30" t="n"/>
    </row>
    <row r="22">
      <c r="A22" s="30" t="inlineStr">
        <is>
          <t>XS2532478430</t>
        </is>
      </c>
      <c r="B22" s="30" t="inlineStr">
        <is>
          <t xml:space="preserve">Hold </t>
        </is>
      </c>
      <c r="C22" s="30" t="inlineStr">
        <is>
          <t>Tereos Finance Groupe I</t>
        </is>
      </c>
      <c r="D22" s="30" t="n">
        <v>7.25</v>
      </c>
      <c r="E22" s="30" t="inlineStr">
        <is>
          <t>Sr Unsecured</t>
        </is>
      </c>
      <c r="F22" s="30" t="inlineStr">
        <is>
          <t>15.04.2028</t>
        </is>
      </c>
      <c r="G22" s="30" t="inlineStr">
        <is>
          <t>France</t>
        </is>
      </c>
      <c r="H22" s="30" t="inlineStr">
        <is>
          <t>Consumer, Non-cyclical</t>
        </is>
      </c>
      <c r="I22" s="30" t="n">
        <v>100</v>
      </c>
      <c r="J22" s="30" t="n">
        <v>103.363</v>
      </c>
      <c r="K22" s="30" t="n">
        <v>5.12435</v>
      </c>
      <c r="L22" s="30" t="n">
        <v>-0.122427</v>
      </c>
      <c r="M22" s="30" t="n">
        <v>1.976093</v>
      </c>
      <c r="N22" s="30" t="n">
        <v>314.5367285</v>
      </c>
      <c r="O22" s="30" t="n">
        <v>0.141769878</v>
      </c>
      <c r="P22" s="30" t="n">
        <v>25</v>
      </c>
      <c r="Q22" s="30" t="inlineStr">
        <is>
          <t xml:space="preserve">French producer of sugar, ethanol, alcohol, starches and sweeteners. </t>
        </is>
      </c>
      <c r="R22" s="30" t="inlineStr">
        <is>
          <t>EUR</t>
        </is>
      </c>
      <c r="S22" s="30" t="inlineStr">
        <is>
          <t>High Yield</t>
        </is>
      </c>
      <c r="T22" s="30" t="inlineStr">
        <is>
          <t>BB-</t>
        </is>
      </c>
      <c r="U22" s="30" t="inlineStr">
        <is>
          <t>BB-</t>
        </is>
      </c>
      <c r="V22" s="30" t="n"/>
    </row>
    <row r="23">
      <c r="A23" s="30" t="inlineStr">
        <is>
          <t>XS2782775345</t>
        </is>
      </c>
      <c r="B23" s="30" t="inlineStr">
        <is>
          <t>Hold</t>
        </is>
      </c>
      <c r="C23" s="30" t="inlineStr">
        <is>
          <t>Ford Otomotiv Sanayi As</t>
        </is>
      </c>
      <c r="D23" s="30" t="n">
        <v>7.125</v>
      </c>
      <c r="E23" s="30" t="inlineStr">
        <is>
          <t>Sr Unsecured</t>
        </is>
      </c>
      <c r="F23" s="30" t="inlineStr">
        <is>
          <t>25.04.2029</t>
        </is>
      </c>
      <c r="G23" s="30" t="inlineStr">
        <is>
          <t>Turkey</t>
        </is>
      </c>
      <c r="H23" s="30" t="inlineStr">
        <is>
          <t>Consumer, Cyclical</t>
        </is>
      </c>
      <c r="I23" s="30" t="n">
        <v>200</v>
      </c>
      <c r="J23" s="30" t="n">
        <v>100.591</v>
      </c>
      <c r="K23" s="30" t="n">
        <v>6.933182</v>
      </c>
      <c r="L23" s="30" t="n">
        <v>-0.09357799999999999</v>
      </c>
      <c r="M23" s="30" t="n">
        <v>-0.179669</v>
      </c>
      <c r="N23" s="30" t="n">
        <v>301.1631786</v>
      </c>
      <c r="O23" s="30" t="n">
        <v>3.473871072</v>
      </c>
      <c r="P23" s="30" t="n">
        <v>25</v>
      </c>
      <c r="Q23" s="30" t="inlineStr">
        <is>
          <t>Auto supplier JV between Ford and Koc Holding</t>
        </is>
      </c>
      <c r="R23" s="30" t="inlineStr">
        <is>
          <t>USD</t>
        </is>
      </c>
      <c r="S23" s="30" t="inlineStr">
        <is>
          <t>High Yield</t>
        </is>
      </c>
      <c r="T23" s="30" t="inlineStr">
        <is>
          <t>BB</t>
        </is>
      </c>
      <c r="U23" s="30" t="inlineStr">
        <is>
          <t>BB</t>
        </is>
      </c>
      <c r="V23" s="30" t="n"/>
    </row>
    <row r="24">
      <c r="A24" s="30" t="inlineStr">
        <is>
          <t>US900123BG46</t>
        </is>
      </c>
      <c r="B24" s="30" t="inlineStr">
        <is>
          <t>Hold</t>
        </is>
      </c>
      <c r="C24" s="30" t="inlineStr">
        <is>
          <t>Republic Of Turkiye</t>
        </is>
      </c>
      <c r="D24" s="30" t="n">
        <v>6.75</v>
      </c>
      <c r="E24" s="30" t="inlineStr">
        <is>
          <t>Sr Unsecured</t>
        </is>
      </c>
      <c r="F24" s="30" t="inlineStr">
        <is>
          <t>30.05.2040</t>
        </is>
      </c>
      <c r="G24" s="30" t="inlineStr">
        <is>
          <t>Turkey</t>
        </is>
      </c>
      <c r="H24" s="30" t="inlineStr">
        <is>
          <t>Government</t>
        </is>
      </c>
      <c r="I24" s="30" t="n">
        <v>100</v>
      </c>
      <c r="J24" s="30" t="n">
        <v>92.351</v>
      </c>
      <c r="K24" s="30" t="n">
        <v>7.61633</v>
      </c>
      <c r="L24" s="30" t="n">
        <v>-0.184433</v>
      </c>
      <c r="M24" s="30" t="n">
        <v>-0.340095</v>
      </c>
      <c r="N24" s="30" t="n">
        <v>297.6363072</v>
      </c>
      <c r="O24" s="30" t="n">
        <v>9.04934308</v>
      </c>
      <c r="P24" s="30" t="n">
        <v>0</v>
      </c>
      <c r="Q24" s="30" t="inlineStr">
        <is>
          <t>Turkey sovereign bond</t>
        </is>
      </c>
      <c r="R24" s="30" t="inlineStr">
        <is>
          <t>USD</t>
        </is>
      </c>
      <c r="S24" s="30" t="inlineStr">
        <is>
          <t>High Yield</t>
        </is>
      </c>
      <c r="T24" s="30" t="inlineStr">
        <is>
          <t>B+</t>
        </is>
      </c>
      <c r="U24" s="30" t="inlineStr">
        <is>
          <t>B+</t>
        </is>
      </c>
      <c r="V24" s="30" t="n"/>
    </row>
    <row r="25">
      <c r="A25" s="30" t="inlineStr">
        <is>
          <t>XS1824425182</t>
        </is>
      </c>
      <c r="B25" s="30" t="inlineStr">
        <is>
          <t xml:space="preserve">Hold </t>
        </is>
      </c>
      <c r="C25" s="30" t="inlineStr">
        <is>
          <t>Petroleos Mexicanos</t>
        </is>
      </c>
      <c r="D25" s="30" t="n">
        <v>3.625</v>
      </c>
      <c r="E25" s="30" t="inlineStr">
        <is>
          <t>Sr Unsecured</t>
        </is>
      </c>
      <c r="F25" s="30" t="inlineStr">
        <is>
          <t>24.11.2025</t>
        </is>
      </c>
      <c r="G25" s="30" t="inlineStr">
        <is>
          <t>Mexico</t>
        </is>
      </c>
      <c r="H25" s="30" t="inlineStr">
        <is>
          <t>Energy</t>
        </is>
      </c>
      <c r="I25" s="30" t="n">
        <v>100</v>
      </c>
      <c r="J25" s="30" t="n">
        <v>99.54600000000001</v>
      </c>
      <c r="K25" s="30" t="n">
        <v>4.74177</v>
      </c>
      <c r="L25" s="30" t="n">
        <v>-0.114746</v>
      </c>
      <c r="M25" s="30" t="n">
        <v>-0.076331</v>
      </c>
      <c r="N25" s="30" t="n">
        <v>292.609346</v>
      </c>
      <c r="O25" s="30" t="n">
        <v>0.721475337</v>
      </c>
      <c r="P25" s="30" t="n">
        <v>25</v>
      </c>
      <c r="Q25" s="30" t="inlineStr">
        <is>
          <t>Mexican state oil and gas company</t>
        </is>
      </c>
      <c r="R25" s="30" t="inlineStr">
        <is>
          <t>EUR</t>
        </is>
      </c>
      <c r="S25" s="30" t="inlineStr">
        <is>
          <t>Latin America</t>
        </is>
      </c>
      <c r="T25" s="30" t="inlineStr">
        <is>
          <t>BB-</t>
        </is>
      </c>
      <c r="U25" s="30" t="inlineStr">
        <is>
          <t>BB-</t>
        </is>
      </c>
      <c r="V25" s="30" t="n"/>
    </row>
    <row r="26">
      <c r="A26" s="30" t="inlineStr">
        <is>
          <t>US900123DG28</t>
        </is>
      </c>
      <c r="B26" s="30" t="inlineStr">
        <is>
          <t>Hold</t>
        </is>
      </c>
      <c r="C26" s="30" t="inlineStr">
        <is>
          <t>Republic Of Turkiye</t>
        </is>
      </c>
      <c r="D26" s="30" t="n">
        <v>9.375</v>
      </c>
      <c r="E26" s="30" t="inlineStr">
        <is>
          <t>Sr Unsecured</t>
        </is>
      </c>
      <c r="F26" s="30" t="inlineStr">
        <is>
          <t>19.01.2033</t>
        </is>
      </c>
      <c r="G26" s="30" t="inlineStr">
        <is>
          <t>Turkey</t>
        </is>
      </c>
      <c r="H26" s="30" t="inlineStr">
        <is>
          <t>Government</t>
        </is>
      </c>
      <c r="I26" s="30" t="n">
        <v>200</v>
      </c>
      <c r="J26" s="30" t="n">
        <v>113.438</v>
      </c>
      <c r="K26" s="30" t="n">
        <v>7.044239</v>
      </c>
      <c r="L26" s="30" t="n">
        <v>-0.187326</v>
      </c>
      <c r="M26" s="30" t="n">
        <v>-0.341352</v>
      </c>
      <c r="N26" s="30" t="n">
        <v>289.9075238</v>
      </c>
      <c r="O26" s="30" t="n">
        <v>5.663597936</v>
      </c>
      <c r="P26" s="30" t="n">
        <v>0</v>
      </c>
      <c r="Q26" s="30" t="inlineStr">
        <is>
          <t>Turkey sovereign bond</t>
        </is>
      </c>
      <c r="R26" s="30" t="inlineStr">
        <is>
          <t>USD</t>
        </is>
      </c>
      <c r="S26" s="30" t="inlineStr">
        <is>
          <t>High Yield</t>
        </is>
      </c>
      <c r="T26" s="30" t="inlineStr">
        <is>
          <t>B+</t>
        </is>
      </c>
      <c r="U26" s="30" t="inlineStr">
        <is>
          <t>B+</t>
        </is>
      </c>
      <c r="V26" s="30" t="n"/>
    </row>
    <row r="27">
      <c r="A27" s="30" t="inlineStr">
        <is>
          <t>CH0553695815</t>
        </is>
      </c>
      <c r="B27" s="30" t="inlineStr">
        <is>
          <t xml:space="preserve">Hold </t>
        </is>
      </c>
      <c r="C27" s="30" t="inlineStr">
        <is>
          <t>Varia Us Properties Ag</t>
        </is>
      </c>
      <c r="D27" s="30" t="n">
        <v>2.875</v>
      </c>
      <c r="E27" s="30" t="inlineStr">
        <is>
          <t>Sr Unsecured</t>
        </is>
      </c>
      <c r="F27" s="30" t="inlineStr">
        <is>
          <t>07.10.2025</t>
        </is>
      </c>
      <c r="G27" s="30" t="inlineStr">
        <is>
          <t>United states</t>
        </is>
      </c>
      <c r="H27" s="30" t="inlineStr">
        <is>
          <t>Financial</t>
        </is>
      </c>
      <c r="I27" s="30" t="n">
        <v>5</v>
      </c>
      <c r="J27" s="30" t="n">
        <v>100.009</v>
      </c>
      <c r="K27" s="30" t="n">
        <v>2.829431</v>
      </c>
      <c r="L27" s="30" t="n">
        <v>-0.078191</v>
      </c>
      <c r="M27" s="30" t="n">
        <v>-0.002031</v>
      </c>
      <c r="N27" s="30" t="n">
        <v>288.6804857</v>
      </c>
      <c r="O27" s="30" t="n">
        <v>0.602619745</v>
      </c>
      <c r="P27" s="30" t="n">
        <v>0</v>
      </c>
      <c r="Q27" s="30" t="inlineStr">
        <is>
          <t>Swiss residential real estate company</t>
        </is>
      </c>
      <c r="R27" s="30" t="inlineStr">
        <is>
          <t>CHF</t>
        </is>
      </c>
      <c r="S27" s="30" t="inlineStr">
        <is>
          <t>High Yield</t>
        </is>
      </c>
      <c r="T27" s="30" t="inlineStr">
        <is>
          <t>#N/A N/A</t>
        </is>
      </c>
      <c r="U27" s="30" t="inlineStr">
        <is>
          <t>#N/A N/A</t>
        </is>
      </c>
      <c r="V27" s="30" t="n"/>
    </row>
    <row r="28">
      <c r="A28" s="30" t="inlineStr">
        <is>
          <t>XS2338564870</t>
        </is>
      </c>
      <c r="B28" s="30" t="inlineStr">
        <is>
          <t xml:space="preserve">Hold </t>
        </is>
      </c>
      <c r="C28" s="30" t="inlineStr">
        <is>
          <t>Zf Finance Gmbh</t>
        </is>
      </c>
      <c r="D28" s="30" t="n">
        <v>2</v>
      </c>
      <c r="E28" s="30" t="inlineStr">
        <is>
          <t>Sr Unsecured</t>
        </is>
      </c>
      <c r="F28" s="30" t="inlineStr">
        <is>
          <t>06.05.2027</t>
        </is>
      </c>
      <c r="G28" s="30" t="inlineStr">
        <is>
          <t>Germany</t>
        </is>
      </c>
      <c r="H28" s="30" t="inlineStr">
        <is>
          <t>Consumer, Cyclical</t>
        </is>
      </c>
      <c r="I28" s="30" t="n">
        <v>100</v>
      </c>
      <c r="J28" s="30" t="n">
        <v>95.26000000000001</v>
      </c>
      <c r="K28" s="30" t="n">
        <v>4.769949</v>
      </c>
      <c r="L28" s="30" t="n">
        <v>-0.198767</v>
      </c>
      <c r="M28" s="30" t="n">
        <v>0.407891</v>
      </c>
      <c r="N28" s="30" t="n">
        <v>286.6968247</v>
      </c>
      <c r="O28" s="30" t="n">
        <v>2.056016776</v>
      </c>
      <c r="P28" s="30" t="n">
        <v>20</v>
      </c>
      <c r="Q28" s="30" t="inlineStr">
        <is>
          <t xml:space="preserve">Germany's leading auto supplier </t>
        </is>
      </c>
      <c r="R28" s="30" t="inlineStr">
        <is>
          <t>EUR</t>
        </is>
      </c>
      <c r="S28" s="30" t="inlineStr">
        <is>
          <t>High Yield</t>
        </is>
      </c>
      <c r="T28" s="30" t="inlineStr">
        <is>
          <t>BB-</t>
        </is>
      </c>
      <c r="U28" s="30" t="inlineStr">
        <is>
          <t>BB</t>
        </is>
      </c>
      <c r="V28" s="30" t="n"/>
    </row>
    <row r="29">
      <c r="A29" s="30" t="inlineStr">
        <is>
          <t>US71647NAN93</t>
        </is>
      </c>
      <c r="B29" s="30" t="inlineStr">
        <is>
          <t xml:space="preserve">Hold </t>
        </is>
      </c>
      <c r="C29" s="30" t="inlineStr">
        <is>
          <t>Petrobras Global Finance</t>
        </is>
      </c>
      <c r="D29" s="30" t="n">
        <v>6.85</v>
      </c>
      <c r="E29" s="30" t="inlineStr">
        <is>
          <t>Sr Unsecured</t>
        </is>
      </c>
      <c r="F29" s="30" t="inlineStr">
        <is>
          <t>05.06.2115</t>
        </is>
      </c>
      <c r="G29" s="30" t="inlineStr">
        <is>
          <t>Brazil</t>
        </is>
      </c>
      <c r="H29" s="30" t="inlineStr">
        <is>
          <t>Energy</t>
        </is>
      </c>
      <c r="I29" s="30" t="n">
        <v>2</v>
      </c>
      <c r="J29" s="30" t="n">
        <v>89.875</v>
      </c>
      <c r="K29" s="30" t="n">
        <v>7.621833</v>
      </c>
      <c r="L29" s="30" t="n">
        <v>-0.046996</v>
      </c>
      <c r="M29" s="30" t="n">
        <v>-0.174171</v>
      </c>
      <c r="N29" s="30" t="n">
        <v>281.7351779</v>
      </c>
      <c r="O29" s="30" t="n">
        <v>12.93524365</v>
      </c>
      <c r="P29" s="30" t="n">
        <v>0</v>
      </c>
      <c r="Q29" s="30" t="inlineStr">
        <is>
          <t>Largest oil company in Latin America</t>
        </is>
      </c>
      <c r="R29" s="30" t="inlineStr">
        <is>
          <t>USD</t>
        </is>
      </c>
      <c r="S29" s="30" t="inlineStr">
        <is>
          <t>Latin America</t>
        </is>
      </c>
      <c r="T29" s="30" t="inlineStr">
        <is>
          <t>BB</t>
        </is>
      </c>
      <c r="U29" s="30" t="inlineStr">
        <is>
          <t>BB</t>
        </is>
      </c>
      <c r="V29" s="30" t="n"/>
    </row>
    <row r="30">
      <c r="A30" s="30" t="inlineStr">
        <is>
          <t>XS2854423386</t>
        </is>
      </c>
      <c r="B30" s="30" t="inlineStr">
        <is>
          <t xml:space="preserve">Hold </t>
        </is>
      </c>
      <c r="C30" s="30" t="inlineStr">
        <is>
          <t>Softbank Group Corp</t>
        </is>
      </c>
      <c r="D30" s="30" t="n">
        <v>5.375</v>
      </c>
      <c r="E30" s="30" t="inlineStr">
        <is>
          <t>Sr Unsecured</t>
        </is>
      </c>
      <c r="F30" s="30" t="inlineStr">
        <is>
          <t>08.01.2029</t>
        </is>
      </c>
      <c r="G30" s="30" t="inlineStr">
        <is>
          <t>Japan</t>
        </is>
      </c>
      <c r="H30" s="30" t="inlineStr">
        <is>
          <t>Communications</t>
        </is>
      </c>
      <c r="I30" s="30" t="n">
        <v>100</v>
      </c>
      <c r="J30" s="30" t="n">
        <v>101.527</v>
      </c>
      <c r="K30" s="30" t="n">
        <v>4.922525</v>
      </c>
      <c r="L30" s="30" t="n">
        <v>0.157614</v>
      </c>
      <c r="M30" s="30" t="n">
        <v>0.04149</v>
      </c>
      <c r="N30" s="30" t="n">
        <v>280.3327199</v>
      </c>
      <c r="O30" s="30" t="n">
        <v>3.254611976</v>
      </c>
      <c r="P30" s="30" t="n">
        <v>0</v>
      </c>
      <c r="Q30" s="30" t="inlineStr">
        <is>
          <t xml:space="preserve">Japanese investment firm </t>
        </is>
      </c>
      <c r="R30" s="30" t="inlineStr">
        <is>
          <t>EUR</t>
        </is>
      </c>
      <c r="S30" s="30" t="inlineStr">
        <is>
          <t>High Yield</t>
        </is>
      </c>
      <c r="T30" s="30" t="inlineStr">
        <is>
          <t>NR</t>
        </is>
      </c>
      <c r="U30" s="30" t="inlineStr">
        <is>
          <t>NR</t>
        </is>
      </c>
      <c r="V30" s="30" t="n"/>
    </row>
    <row r="31">
      <c r="A31" s="30" t="inlineStr">
        <is>
          <t>XS2320779213</t>
        </is>
      </c>
      <c r="B31" s="30" t="inlineStr">
        <is>
          <t>Hold</t>
        </is>
      </c>
      <c r="C31" s="30" t="inlineStr">
        <is>
          <t>China Water Affairs Grp</t>
        </is>
      </c>
      <c r="D31" s="30" t="n">
        <v>4.85</v>
      </c>
      <c r="E31" s="30" t="inlineStr">
        <is>
          <t>Sr Unsecured</t>
        </is>
      </c>
      <c r="F31" s="30" t="inlineStr">
        <is>
          <t>18.05.2026</t>
        </is>
      </c>
      <c r="G31" s="30" t="inlineStr">
        <is>
          <t>China</t>
        </is>
      </c>
      <c r="H31" s="30" t="inlineStr">
        <is>
          <t>Utilities</t>
        </is>
      </c>
      <c r="I31" s="30" t="n">
        <v>200</v>
      </c>
      <c r="J31" s="30" t="n">
        <v>98.398</v>
      </c>
      <c r="K31" s="30" t="n">
        <v>6.792241</v>
      </c>
      <c r="L31" s="30" t="n">
        <v>0.438676</v>
      </c>
      <c r="M31" s="30" t="n">
        <v>-0.374333</v>
      </c>
      <c r="N31" s="30" t="n">
        <v>273.8537754</v>
      </c>
      <c r="O31" s="30" t="n">
        <v>1.157579771</v>
      </c>
      <c r="P31" s="30" t="n">
        <v>20</v>
      </c>
      <c r="Q31" s="30" t="inlineStr">
        <is>
          <t>Supplies city water and sewage treatment.</t>
        </is>
      </c>
      <c r="R31" s="30" t="inlineStr">
        <is>
          <t>USD</t>
        </is>
      </c>
      <c r="S31" s="30" t="inlineStr">
        <is>
          <t>High Yield</t>
        </is>
      </c>
      <c r="T31" s="30" t="inlineStr">
        <is>
          <t>BB+</t>
        </is>
      </c>
      <c r="U31" s="30" t="inlineStr">
        <is>
          <t>BB+</t>
        </is>
      </c>
      <c r="V31" s="30" t="n"/>
    </row>
    <row r="32">
      <c r="A32" s="30" t="inlineStr">
        <is>
          <t>US279158AT64</t>
        </is>
      </c>
      <c r="B32" s="30" t="inlineStr">
        <is>
          <t xml:space="preserve">Hold </t>
        </is>
      </c>
      <c r="C32" s="30" t="inlineStr">
        <is>
          <t>Ecopetrol Sa</t>
        </is>
      </c>
      <c r="D32" s="30" t="n">
        <v>8.625</v>
      </c>
      <c r="E32" s="30" t="inlineStr">
        <is>
          <t>Sr Unsecured</t>
        </is>
      </c>
      <c r="F32" s="30" t="inlineStr">
        <is>
          <t>19.01.2029</t>
        </is>
      </c>
      <c r="G32" s="30" t="inlineStr">
        <is>
          <t>Colombia</t>
        </is>
      </c>
      <c r="H32" s="30" t="inlineStr">
        <is>
          <t>Energy</t>
        </is>
      </c>
      <c r="I32" s="30" t="n">
        <v>1</v>
      </c>
      <c r="J32" s="30" t="n">
        <v>106.177</v>
      </c>
      <c r="K32" s="30" t="n">
        <v>6.593592</v>
      </c>
      <c r="L32" s="30" t="n">
        <v>-0.104475</v>
      </c>
      <c r="M32" s="30" t="n">
        <v>-0.26224</v>
      </c>
      <c r="N32" s="30" t="n">
        <v>271.9536182</v>
      </c>
      <c r="O32" s="30" t="n">
        <v>3.228249234</v>
      </c>
      <c r="P32" s="30" t="n">
        <v>25</v>
      </c>
      <c r="Q32" s="30" t="inlineStr">
        <is>
          <t xml:space="preserve">State-owned energy company </t>
        </is>
      </c>
      <c r="R32" s="30" t="inlineStr">
        <is>
          <t>USD</t>
        </is>
      </c>
      <c r="S32" s="30" t="inlineStr">
        <is>
          <t>Latin America</t>
        </is>
      </c>
      <c r="T32" s="30" t="inlineStr">
        <is>
          <t>BB</t>
        </is>
      </c>
      <c r="U32" s="30" t="inlineStr">
        <is>
          <t>BB+</t>
        </is>
      </c>
      <c r="V32" s="30" t="n"/>
    </row>
    <row r="33">
      <c r="A33" s="30" t="inlineStr">
        <is>
          <t>USV3855MAA54</t>
        </is>
      </c>
      <c r="B33" s="30" t="inlineStr">
        <is>
          <t>Hold</t>
        </is>
      </c>
      <c r="C33" s="30" t="inlineStr">
        <is>
          <t>Greenko Power Ii Ltd</t>
        </is>
      </c>
      <c r="D33" s="30" t="n">
        <v>4.3</v>
      </c>
      <c r="E33" s="30" t="inlineStr">
        <is>
          <t>1St Lien</t>
        </is>
      </c>
      <c r="F33" s="30" t="inlineStr">
        <is>
          <t>13.12.2028</t>
        </is>
      </c>
      <c r="G33" s="30" t="inlineStr">
        <is>
          <t>India</t>
        </is>
      </c>
      <c r="H33" s="30" t="inlineStr">
        <is>
          <t>Energy</t>
        </is>
      </c>
      <c r="I33" s="30" t="n">
        <v>200</v>
      </c>
      <c r="J33" s="30" t="n">
        <v>94.202</v>
      </c>
      <c r="K33" s="30" t="n">
        <v>6.200756</v>
      </c>
      <c r="L33" s="30" t="n">
        <v>-0.102885</v>
      </c>
      <c r="M33" s="30" t="n">
        <v>-0.101638</v>
      </c>
      <c r="N33" s="30" t="n">
        <v>269.0470669</v>
      </c>
      <c r="O33" s="30" t="n">
        <v>2.792363366</v>
      </c>
      <c r="P33" s="30" t="n">
        <v>25</v>
      </c>
      <c r="Q33" s="30" t="inlineStr">
        <is>
          <t xml:space="preserve">renewable energy company </t>
        </is>
      </c>
      <c r="R33" s="30" t="inlineStr">
        <is>
          <t>USD</t>
        </is>
      </c>
      <c r="S33" s="30" t="inlineStr">
        <is>
          <t>High Yield</t>
        </is>
      </c>
      <c r="T33" s="30" t="inlineStr">
        <is>
          <t>BB</t>
        </is>
      </c>
      <c r="U33" s="30" t="inlineStr">
        <is>
          <t>BB</t>
        </is>
      </c>
      <c r="V33" s="30" t="n"/>
    </row>
    <row r="34">
      <c r="A34" s="30" t="inlineStr">
        <is>
          <t>XS1138359663</t>
        </is>
      </c>
      <c r="B34" s="30" t="inlineStr">
        <is>
          <t xml:space="preserve">Not accumulate </t>
        </is>
      </c>
      <c r="C34" s="30" t="inlineStr">
        <is>
          <t>Walgreens Boots Alliance</t>
        </is>
      </c>
      <c r="D34" s="30" t="n">
        <v>3.6</v>
      </c>
      <c r="E34" s="30" t="inlineStr">
        <is>
          <t>Sr Unsecured</t>
        </is>
      </c>
      <c r="F34" s="30" t="inlineStr">
        <is>
          <t>20.11.2025</t>
        </is>
      </c>
      <c r="G34" s="30" t="inlineStr">
        <is>
          <t>United states</t>
        </is>
      </c>
      <c r="H34" s="30" t="inlineStr">
        <is>
          <t>Consumer, Cyclical</t>
        </is>
      </c>
      <c r="I34" s="30" t="n">
        <v>100</v>
      </c>
      <c r="J34" s="30" t="n">
        <v>98.911</v>
      </c>
      <c r="K34" s="30" t="n">
        <v>6.518353</v>
      </c>
      <c r="L34" s="30" t="n">
        <v>0.16593</v>
      </c>
      <c r="M34" s="30" t="n">
        <v>0.136043</v>
      </c>
      <c r="N34" s="30" t="n">
        <v>268.5224053</v>
      </c>
      <c r="O34" s="30" t="n">
        <v>0.708985445</v>
      </c>
      <c r="P34" s="30" t="n">
        <v>80</v>
      </c>
      <c r="Q34" s="30" t="inlineStr">
        <is>
          <t xml:space="preserve">US's large retail pharmacy network </t>
        </is>
      </c>
      <c r="R34" s="30" t="inlineStr">
        <is>
          <t>GBP</t>
        </is>
      </c>
      <c r="S34" s="30" t="inlineStr">
        <is>
          <t>High Yield</t>
        </is>
      </c>
      <c r="T34" s="30" t="inlineStr">
        <is>
          <t>B+</t>
        </is>
      </c>
      <c r="U34" s="30" t="inlineStr">
        <is>
          <t>B+</t>
        </is>
      </c>
      <c r="V34" s="30" t="n"/>
    </row>
    <row r="35">
      <c r="A35" s="30" t="inlineStr">
        <is>
          <t>USP47777AC43</t>
        </is>
      </c>
      <c r="B35" s="30" t="inlineStr">
        <is>
          <t xml:space="preserve">Top pick </t>
        </is>
      </c>
      <c r="C35" s="30" t="inlineStr">
        <is>
          <t>Globo Communicacoes Part</t>
        </is>
      </c>
      <c r="D35" s="30" t="n">
        <v>5.5</v>
      </c>
      <c r="E35" s="30" t="inlineStr">
        <is>
          <t>Sr Unsecured</t>
        </is>
      </c>
      <c r="F35" s="30" t="inlineStr">
        <is>
          <t>14.01.2032</t>
        </is>
      </c>
      <c r="G35" s="30" t="inlineStr">
        <is>
          <t>Brazil</t>
        </is>
      </c>
      <c r="H35" s="30" t="inlineStr">
        <is>
          <t>Communications</t>
        </is>
      </c>
      <c r="I35" s="30" t="n">
        <v>200</v>
      </c>
      <c r="J35" s="30" t="n">
        <v>93.56399999999999</v>
      </c>
      <c r="K35" s="30" t="n">
        <v>6.736099</v>
      </c>
      <c r="L35" s="30" t="n">
        <v>0.06954299999999999</v>
      </c>
      <c r="M35" s="30" t="n">
        <v>0.020768</v>
      </c>
      <c r="N35" s="30" t="n">
        <v>265.8832526</v>
      </c>
      <c r="O35" s="30" t="n">
        <v>5.555436796</v>
      </c>
      <c r="P35" s="30" t="n">
        <v>15</v>
      </c>
      <c r="Q35" s="30" t="inlineStr">
        <is>
          <t>Operates as an investment company</t>
        </is>
      </c>
      <c r="R35" s="30" t="inlineStr">
        <is>
          <t>USD</t>
        </is>
      </c>
      <c r="S35" s="30" t="inlineStr">
        <is>
          <t>Latin America</t>
        </is>
      </c>
      <c r="T35" s="30" t="inlineStr">
        <is>
          <t>BB+</t>
        </is>
      </c>
      <c r="U35" s="30" t="inlineStr">
        <is>
          <t>BB+</t>
        </is>
      </c>
      <c r="V35" s="30" t="n"/>
    </row>
    <row r="36">
      <c r="A36" s="30" t="inlineStr">
        <is>
          <t>USP3713CAB48</t>
        </is>
      </c>
      <c r="B36" s="30" t="inlineStr">
        <is>
          <t xml:space="preserve">Hold </t>
        </is>
      </c>
      <c r="C36" s="30" t="inlineStr">
        <is>
          <t>Empresa Electrica Cochra</t>
        </is>
      </c>
      <c r="D36" s="30" t="n">
        <v>5.5</v>
      </c>
      <c r="E36" s="30" t="inlineStr">
        <is>
          <t>1St Lien</t>
        </is>
      </c>
      <c r="F36" s="30" t="inlineStr">
        <is>
          <t>14.05.2027</t>
        </is>
      </c>
      <c r="G36" s="30" t="inlineStr">
        <is>
          <t>Chile</t>
        </is>
      </c>
      <c r="H36" s="30" t="inlineStr">
        <is>
          <t>Utilities</t>
        </is>
      </c>
      <c r="I36" s="30" t="n">
        <v>200</v>
      </c>
      <c r="J36" s="30" t="n">
        <v>98.92400000000001</v>
      </c>
      <c r="K36" s="30" t="n">
        <v>6.117219</v>
      </c>
      <c r="L36" s="30" t="n">
        <v>-0.059252</v>
      </c>
      <c r="M36" s="30" t="n">
        <v>-0.158591</v>
      </c>
      <c r="N36" s="30" t="n">
        <v>255.284995</v>
      </c>
      <c r="O36" s="30" t="n">
        <v>1.130275227</v>
      </c>
      <c r="P36" s="30" t="n">
        <v>0</v>
      </c>
      <c r="Q36" s="30" t="inlineStr">
        <is>
          <t xml:space="preserve">Utility company </t>
        </is>
      </c>
      <c r="R36" s="30" t="inlineStr">
        <is>
          <t>USD</t>
        </is>
      </c>
      <c r="S36" s="30" t="inlineStr">
        <is>
          <t>Latin America</t>
        </is>
      </c>
      <c r="T36" s="30" t="inlineStr">
        <is>
          <t>BB+</t>
        </is>
      </c>
      <c r="U36" s="30" t="inlineStr">
        <is>
          <t>BB+</t>
        </is>
      </c>
      <c r="V36" s="30" t="n"/>
    </row>
    <row r="37">
      <c r="A37" s="30" t="inlineStr">
        <is>
          <t>XS2109438205</t>
        </is>
      </c>
      <c r="B37" s="30" t="inlineStr">
        <is>
          <t xml:space="preserve">Hold </t>
        </is>
      </c>
      <c r="C37" s="30" t="inlineStr">
        <is>
          <t>Adani Electricity Mumbai</t>
        </is>
      </c>
      <c r="D37" s="30" t="n">
        <v>3.949</v>
      </c>
      <c r="E37" s="30" t="inlineStr">
        <is>
          <t>1St Lien</t>
        </is>
      </c>
      <c r="F37" s="30" t="inlineStr">
        <is>
          <t>12.02.2030</t>
        </is>
      </c>
      <c r="G37" s="30" t="inlineStr">
        <is>
          <t>India</t>
        </is>
      </c>
      <c r="H37" s="30" t="inlineStr">
        <is>
          <t>Utilities</t>
        </is>
      </c>
      <c r="I37" s="30" t="n">
        <v>200</v>
      </c>
      <c r="J37" s="30" t="n">
        <v>90.136</v>
      </c>
      <c r="K37" s="30" t="n">
        <v>6.465061</v>
      </c>
      <c r="L37" s="30" t="n">
        <v>-0.138757</v>
      </c>
      <c r="M37" s="30" t="n">
        <v>-0.448153</v>
      </c>
      <c r="N37" s="30" t="n">
        <v>254.5748866</v>
      </c>
      <c r="O37" s="30" t="n">
        <v>4.361231048</v>
      </c>
      <c r="P37" s="30" t="n">
        <v>60</v>
      </c>
      <c r="Q37" s="30" t="inlineStr">
        <is>
          <t>Provides rail transportation, catering and tourism services, majority state-owned</t>
        </is>
      </c>
      <c r="R37" s="30" t="inlineStr">
        <is>
          <t>USD</t>
        </is>
      </c>
      <c r="S37" s="30" t="inlineStr">
        <is>
          <t>Investment Grade</t>
        </is>
      </c>
      <c r="T37" s="30" t="inlineStr">
        <is>
          <t>BBB-</t>
        </is>
      </c>
      <c r="U37" s="30" t="inlineStr">
        <is>
          <t>BBB-</t>
        </is>
      </c>
      <c r="V37" s="30" t="n"/>
    </row>
    <row r="38">
      <c r="A38" s="30" t="inlineStr">
        <is>
          <t>USL95806AB88</t>
        </is>
      </c>
      <c r="B38" s="30" t="inlineStr">
        <is>
          <t xml:space="preserve">Hold </t>
        </is>
      </c>
      <c r="C38" s="30" t="inlineStr">
        <is>
          <t>Usiminas International</t>
        </is>
      </c>
      <c r="D38" s="30" t="n">
        <v>7.5</v>
      </c>
      <c r="E38" s="30" t="inlineStr">
        <is>
          <t>Sr Unsecured</t>
        </is>
      </c>
      <c r="F38" s="30" t="inlineStr">
        <is>
          <t>27.01.2032</t>
        </is>
      </c>
      <c r="G38" s="30" t="inlineStr">
        <is>
          <t>Brazil</t>
        </is>
      </c>
      <c r="H38" s="30" t="inlineStr">
        <is>
          <t>Basic Materials</t>
        </is>
      </c>
      <c r="I38" s="30" t="n">
        <v>200</v>
      </c>
      <c r="J38" s="30" t="n">
        <v>102.581</v>
      </c>
      <c r="K38" s="30" t="n">
        <v>6.826468</v>
      </c>
      <c r="L38" s="30" t="n">
        <v>-0.009112</v>
      </c>
      <c r="M38" s="30" t="n">
        <v>-0.09905899999999999</v>
      </c>
      <c r="N38" s="30" t="n">
        <v>254.3794499</v>
      </c>
      <c r="O38" s="30" t="n">
        <v>4.025739011</v>
      </c>
      <c r="P38" s="30" t="n">
        <v>0</v>
      </c>
      <c r="Q38" s="30" t="inlineStr">
        <is>
          <t xml:space="preserve">Steel maker </t>
        </is>
      </c>
      <c r="R38" s="30" t="inlineStr">
        <is>
          <t>USD</t>
        </is>
      </c>
      <c r="S38" s="30" t="inlineStr">
        <is>
          <t>Latin America</t>
        </is>
      </c>
      <c r="T38" s="30" t="inlineStr">
        <is>
          <t>BB</t>
        </is>
      </c>
      <c r="U38" s="30" t="inlineStr">
        <is>
          <t>BB</t>
        </is>
      </c>
      <c r="V38" s="30" t="n"/>
    </row>
    <row r="39">
      <c r="A39" s="30" t="inlineStr">
        <is>
          <t>USY00130YU53</t>
        </is>
      </c>
      <c r="B39" s="30" t="inlineStr">
        <is>
          <t xml:space="preserve">Hold </t>
        </is>
      </c>
      <c r="C39" s="30" t="inlineStr">
        <is>
          <t>Adani Ports And Special</t>
        </is>
      </c>
      <c r="D39" s="30" t="n">
        <v>5</v>
      </c>
      <c r="E39" s="30" t="inlineStr">
        <is>
          <t>Sr Unsecured</t>
        </is>
      </c>
      <c r="F39" s="30" t="inlineStr">
        <is>
          <t>02.08.2041</t>
        </is>
      </c>
      <c r="G39" s="30" t="inlineStr">
        <is>
          <t>India</t>
        </is>
      </c>
      <c r="H39" s="30" t="inlineStr">
        <is>
          <t>Consumer, Non-cyclical</t>
        </is>
      </c>
      <c r="I39" s="30" t="n">
        <v>200</v>
      </c>
      <c r="J39" s="30" t="n">
        <v>79.04600000000001</v>
      </c>
      <c r="K39" s="30" t="n">
        <v>7.224844</v>
      </c>
      <c r="L39" s="30" t="n">
        <v>-0.010509</v>
      </c>
      <c r="M39" s="30" t="n">
        <v>-0.083288</v>
      </c>
      <c r="N39" s="30" t="n">
        <v>249.1486586</v>
      </c>
      <c r="O39" s="30" t="n">
        <v>10.44278761</v>
      </c>
      <c r="P39" s="30" t="n">
        <v>75</v>
      </c>
      <c r="Q39" s="30" t="inlineStr">
        <is>
          <t>Indian operator of shipping port and special economic zones</t>
        </is>
      </c>
      <c r="R39" s="30" t="inlineStr">
        <is>
          <t>USD</t>
        </is>
      </c>
      <c r="S39" s="30" t="inlineStr">
        <is>
          <t>Investment Grade</t>
        </is>
      </c>
      <c r="T39" s="30" t="inlineStr">
        <is>
          <t>BBB-</t>
        </is>
      </c>
      <c r="U39" s="30" t="inlineStr">
        <is>
          <t>BBB-</t>
        </is>
      </c>
      <c r="V39" s="30" t="n"/>
    </row>
    <row r="40">
      <c r="A40" s="30" t="inlineStr">
        <is>
          <t>XS2926264529</t>
        </is>
      </c>
      <c r="B40" s="30" t="inlineStr">
        <is>
          <t xml:space="preserve">Hold </t>
        </is>
      </c>
      <c r="C40" s="30" t="inlineStr">
        <is>
          <t>Accorinvest Group Sa</t>
        </is>
      </c>
      <c r="D40" s="30" t="n">
        <v>5.5</v>
      </c>
      <c r="E40" s="30" t="inlineStr">
        <is>
          <t>Secured</t>
        </is>
      </c>
      <c r="F40" s="30" t="inlineStr">
        <is>
          <t>15.11.2031</t>
        </is>
      </c>
      <c r="G40" s="30" t="inlineStr">
        <is>
          <t>Luxembourg</t>
        </is>
      </c>
      <c r="H40" s="30" t="inlineStr">
        <is>
          <t>Consumer, Cyclical</t>
        </is>
      </c>
      <c r="I40" s="30" t="n">
        <v>100</v>
      </c>
      <c r="J40" s="30" t="n">
        <v>101.938</v>
      </c>
      <c r="K40" s="30" t="n">
        <v>5.059372</v>
      </c>
      <c r="L40" s="30" t="n">
        <v>0.008395</v>
      </c>
      <c r="M40" s="30" t="n">
        <v>-0.118186</v>
      </c>
      <c r="N40" s="30" t="n">
        <v>248.2813603</v>
      </c>
      <c r="O40" s="30" t="n">
        <v>4.081766527</v>
      </c>
      <c r="P40" s="30" t="n">
        <v>0</v>
      </c>
      <c r="Q40" s="30" t="inlineStr">
        <is>
          <t xml:space="preserve">Hotel owner of 300 hotels in Europe, a spin-off from Accor SA </t>
        </is>
      </c>
      <c r="R40" s="30" t="inlineStr">
        <is>
          <t>EUR</t>
        </is>
      </c>
      <c r="S40" s="30" t="inlineStr">
        <is>
          <t>High Yield</t>
        </is>
      </c>
      <c r="T40" s="30" t="inlineStr">
        <is>
          <t>B+</t>
        </is>
      </c>
      <c r="U40" s="30" t="inlineStr">
        <is>
          <t>B+</t>
        </is>
      </c>
      <c r="V40" s="30" t="n"/>
    </row>
    <row r="41">
      <c r="A41" s="30" t="inlineStr">
        <is>
          <t>XS0149581935</t>
        </is>
      </c>
      <c r="B41" s="30" t="inlineStr">
        <is>
          <t>Hold</t>
        </is>
      </c>
      <c r="C41" s="30" t="inlineStr">
        <is>
          <t>Sappi Papier Holdng Gmbh</t>
        </is>
      </c>
      <c r="D41" s="30" t="n">
        <v>7.5</v>
      </c>
      <c r="E41" s="30" t="inlineStr">
        <is>
          <t>Sr Unsecured</t>
        </is>
      </c>
      <c r="F41" s="30" t="inlineStr">
        <is>
          <t>15.06.2032</t>
        </is>
      </c>
      <c r="G41" s="30" t="inlineStr">
        <is>
          <t>South africa</t>
        </is>
      </c>
      <c r="H41" s="30" t="inlineStr">
        <is>
          <t>Basic Materials</t>
        </is>
      </c>
      <c r="I41" s="30" t="n">
        <v>1</v>
      </c>
      <c r="J41" s="30" t="n">
        <v>105.197</v>
      </c>
      <c r="K41" s="30" t="n">
        <v>6.553821</v>
      </c>
      <c r="L41" s="30" t="n">
        <v>0.078011</v>
      </c>
      <c r="M41" s="30" t="n">
        <v>0.04011</v>
      </c>
      <c r="N41" s="30" t="n">
        <v>245.6405844</v>
      </c>
      <c r="O41" s="30" t="n">
        <v>5.54786781</v>
      </c>
      <c r="P41" s="30" t="n">
        <v>0</v>
      </c>
      <c r="Q41" s="30" t="inlineStr">
        <is>
          <t xml:space="preserve">Pulp producer and leading in dissolving pulp </t>
        </is>
      </c>
      <c r="R41" s="30" t="inlineStr">
        <is>
          <t>USD</t>
        </is>
      </c>
      <c r="S41" s="30" t="inlineStr">
        <is>
          <t>High Yield</t>
        </is>
      </c>
      <c r="T41" s="30" t="inlineStr">
        <is>
          <t>BB-</t>
        </is>
      </c>
      <c r="U41" s="30" t="inlineStr">
        <is>
          <t>BB-</t>
        </is>
      </c>
      <c r="V41" s="30" t="n"/>
    </row>
    <row r="42">
      <c r="A42" s="30" t="inlineStr">
        <is>
          <t>USP0608AAB28</t>
        </is>
      </c>
      <c r="B42" s="30" t="inlineStr">
        <is>
          <t xml:space="preserve">Hold </t>
        </is>
      </c>
      <c r="C42" s="30" t="inlineStr">
        <is>
          <t>Aes Panama Generation Hl</t>
        </is>
      </c>
      <c r="D42" s="30" t="n">
        <v>4.375</v>
      </c>
      <c r="E42" s="30" t="inlineStr">
        <is>
          <t>Secured</t>
        </is>
      </c>
      <c r="F42" s="30" t="inlineStr">
        <is>
          <t>31.05.2030</t>
        </is>
      </c>
      <c r="G42" s="30" t="inlineStr">
        <is>
          <t>Panama</t>
        </is>
      </c>
      <c r="H42" s="30" t="inlineStr">
        <is>
          <t>Utilities</t>
        </is>
      </c>
      <c r="I42" s="30" t="n">
        <v>200</v>
      </c>
      <c r="J42" s="30" t="n">
        <v>92.011</v>
      </c>
      <c r="K42" s="30" t="n">
        <v>6.295512</v>
      </c>
      <c r="L42" s="30" t="n">
        <v>-0.146057</v>
      </c>
      <c r="M42" s="30" t="n">
        <v>-0.697512</v>
      </c>
      <c r="N42" s="30" t="n">
        <v>245.2169263</v>
      </c>
      <c r="O42" s="30" t="n">
        <v>4.309286685</v>
      </c>
      <c r="P42" s="30" t="n">
        <v>0</v>
      </c>
      <c r="Q42" s="30" t="inlineStr">
        <is>
          <t xml:space="preserve">Utility company </t>
        </is>
      </c>
      <c r="R42" s="30" t="inlineStr">
        <is>
          <t>USD</t>
        </is>
      </c>
      <c r="S42" s="30" t="inlineStr">
        <is>
          <t>Latin America</t>
        </is>
      </c>
      <c r="T42" s="30" t="inlineStr">
        <is>
          <t>BB+</t>
        </is>
      </c>
      <c r="U42" s="30" t="inlineStr">
        <is>
          <t>BB+</t>
        </is>
      </c>
      <c r="V42" s="30" t="n"/>
    </row>
    <row r="43">
      <c r="A43" s="30" t="inlineStr">
        <is>
          <t>XS2571924070</t>
        </is>
      </c>
      <c r="B43" s="30" t="inlineStr">
        <is>
          <t xml:space="preserve">Hold </t>
        </is>
      </c>
      <c r="C43" s="30" t="inlineStr">
        <is>
          <t>Romania</t>
        </is>
      </c>
      <c r="D43" s="30" t="n">
        <v>7.625</v>
      </c>
      <c r="E43" s="30" t="inlineStr">
        <is>
          <t>Sr Unsecured</t>
        </is>
      </c>
      <c r="F43" s="30" t="inlineStr">
        <is>
          <t>17.01.2053</t>
        </is>
      </c>
      <c r="G43" s="30" t="inlineStr">
        <is>
          <t>Romania</t>
        </is>
      </c>
      <c r="H43" s="30" t="inlineStr">
        <is>
          <t>Government</t>
        </is>
      </c>
      <c r="I43" s="30" t="n">
        <v>2</v>
      </c>
      <c r="J43" s="30" t="n">
        <v>104.991</v>
      </c>
      <c r="K43" s="30" t="n">
        <v>7.205361</v>
      </c>
      <c r="L43" s="30" t="n">
        <v>-0.273898</v>
      </c>
      <c r="M43" s="30" t="n">
        <v>-0.536643</v>
      </c>
      <c r="N43" s="30" t="n">
        <v>241.411928</v>
      </c>
      <c r="O43" s="30" t="n">
        <v>11.43348987</v>
      </c>
      <c r="P43" s="30" t="n">
        <v>60</v>
      </c>
      <c r="Q43" s="30" t="inlineStr">
        <is>
          <t>Romanian government bond</t>
        </is>
      </c>
      <c r="R43" s="30" t="inlineStr">
        <is>
          <t>USD</t>
        </is>
      </c>
      <c r="S43" s="30" t="inlineStr">
        <is>
          <t>Investment Grade</t>
        </is>
      </c>
      <c r="T43" s="30" t="inlineStr">
        <is>
          <t>BBB-</t>
        </is>
      </c>
      <c r="U43" s="30" t="inlineStr">
        <is>
          <t>BBB-</t>
        </is>
      </c>
      <c r="V43" s="30" t="n"/>
    </row>
    <row r="44">
      <c r="A44" s="30" t="inlineStr">
        <is>
          <t>XS2854422578</t>
        </is>
      </c>
      <c r="B44" s="30" t="inlineStr">
        <is>
          <t xml:space="preserve">Hold </t>
        </is>
      </c>
      <c r="C44" s="30" t="inlineStr">
        <is>
          <t>Softbank Group Corp</t>
        </is>
      </c>
      <c r="D44" s="30" t="n">
        <v>6.75</v>
      </c>
      <c r="E44" s="30" t="inlineStr">
        <is>
          <t>Sr Unsecured</t>
        </is>
      </c>
      <c r="F44" s="30" t="inlineStr">
        <is>
          <t>08.07.2029</t>
        </is>
      </c>
      <c r="G44" s="30" t="inlineStr">
        <is>
          <t>Japan</t>
        </is>
      </c>
      <c r="H44" s="30" t="inlineStr">
        <is>
          <t>Communications</t>
        </is>
      </c>
      <c r="I44" s="30" t="n">
        <v>200</v>
      </c>
      <c r="J44" s="30" t="n">
        <v>101.386</v>
      </c>
      <c r="K44" s="30" t="n">
        <v>6.331641</v>
      </c>
      <c r="L44" s="30" t="n">
        <v>0.281672</v>
      </c>
      <c r="M44" s="30" t="n">
        <v>0.101515</v>
      </c>
      <c r="N44" s="30" t="n">
        <v>241.0427408</v>
      </c>
      <c r="O44" s="30" t="n">
        <v>3.53231881</v>
      </c>
      <c r="P44" s="30" t="n">
        <v>0</v>
      </c>
      <c r="Q44" s="30" t="inlineStr">
        <is>
          <t xml:space="preserve">Japanese investment firm </t>
        </is>
      </c>
      <c r="R44" s="30" t="inlineStr">
        <is>
          <t>USD</t>
        </is>
      </c>
      <c r="S44" s="30" t="inlineStr">
        <is>
          <t>High Yield</t>
        </is>
      </c>
      <c r="T44" s="30" t="inlineStr">
        <is>
          <t>NR</t>
        </is>
      </c>
      <c r="U44" s="30" t="inlineStr">
        <is>
          <t>NR</t>
        </is>
      </c>
      <c r="V44" s="30" t="n"/>
    </row>
    <row r="45">
      <c r="A45" s="30" t="inlineStr">
        <is>
          <t>USU6547TAG59</t>
        </is>
      </c>
      <c r="B45" s="30" t="inlineStr">
        <is>
          <t xml:space="preserve">Hold </t>
        </is>
      </c>
      <c r="C45" s="30" t="inlineStr">
        <is>
          <t>Nissan Motor Acceptance</t>
        </is>
      </c>
      <c r="D45" s="30" t="n">
        <v>5.3</v>
      </c>
      <c r="E45" s="30" t="inlineStr">
        <is>
          <t>Sr Unsecured</t>
        </is>
      </c>
      <c r="F45" s="30" t="inlineStr">
        <is>
          <t>13.09.2027</t>
        </is>
      </c>
      <c r="G45" s="30" t="inlineStr">
        <is>
          <t>United states</t>
        </is>
      </c>
      <c r="H45" s="30" t="inlineStr">
        <is>
          <t>Consumer, Cyclical</t>
        </is>
      </c>
      <c r="I45" s="30" t="n">
        <v>2</v>
      </c>
      <c r="J45" s="30" t="n">
        <v>98.062</v>
      </c>
      <c r="K45" s="30" t="n">
        <v>6.259671</v>
      </c>
      <c r="L45" s="30" t="n">
        <v>0.161287</v>
      </c>
      <c r="M45" s="30" t="n">
        <v>0.160988</v>
      </c>
      <c r="N45" s="30" t="n">
        <v>239.990113</v>
      </c>
      <c r="O45" s="30" t="n">
        <v>2.299673622</v>
      </c>
      <c r="P45" s="30" t="n">
        <v>60</v>
      </c>
      <c r="Q45" s="30" t="inlineStr">
        <is>
          <t xml:space="preserve">Japanese auto maker </t>
        </is>
      </c>
      <c r="R45" s="30" t="inlineStr">
        <is>
          <t>USD</t>
        </is>
      </c>
      <c r="S45" s="30" t="inlineStr">
        <is>
          <t>Investment Grade</t>
        </is>
      </c>
      <c r="T45" s="30" t="inlineStr">
        <is>
          <t>BB</t>
        </is>
      </c>
      <c r="U45" s="30" t="inlineStr">
        <is>
          <t>BBB-</t>
        </is>
      </c>
      <c r="V45" s="30" t="n"/>
    </row>
    <row r="46">
      <c r="A46" s="30" t="inlineStr">
        <is>
          <t>USP3R26HAA81</t>
        </is>
      </c>
      <c r="B46" s="30" t="inlineStr">
        <is>
          <t xml:space="preserve">Hold </t>
        </is>
      </c>
      <c r="C46" s="30" t="inlineStr">
        <is>
          <t>Cydsa Sab De Cv</t>
        </is>
      </c>
      <c r="D46" s="30" t="n">
        <v>6.25</v>
      </c>
      <c r="E46" s="30" t="inlineStr">
        <is>
          <t>Sr Unsecured</t>
        </is>
      </c>
      <c r="F46" s="30" t="inlineStr">
        <is>
          <t>04.10.2027</t>
        </is>
      </c>
      <c r="G46" s="30" t="inlineStr">
        <is>
          <t>Mexico</t>
        </is>
      </c>
      <c r="H46" s="30" t="inlineStr">
        <is>
          <t>Consumer, Non-cyclical</t>
        </is>
      </c>
      <c r="I46" s="30" t="n">
        <v>200</v>
      </c>
      <c r="J46" s="30" t="n">
        <v>99.298</v>
      </c>
      <c r="K46" s="30" t="n">
        <v>6.587421</v>
      </c>
      <c r="L46" s="30" t="n">
        <v>-0.043146</v>
      </c>
      <c r="M46" s="30" t="n">
        <v>-0.010036</v>
      </c>
      <c r="N46" s="30" t="n">
        <v>238.7696457</v>
      </c>
      <c r="O46" s="30" t="n">
        <v>2.319820743</v>
      </c>
      <c r="P46" s="30" t="n">
        <v>25</v>
      </c>
      <c r="Q46" s="30" t="inlineStr">
        <is>
          <t xml:space="preserve">Salt and chemical company </t>
        </is>
      </c>
      <c r="R46" s="30" t="inlineStr">
        <is>
          <t>USD</t>
        </is>
      </c>
      <c r="S46" s="30" t="inlineStr">
        <is>
          <t>Latin America</t>
        </is>
      </c>
      <c r="T46" s="30" t="inlineStr">
        <is>
          <t>BB</t>
        </is>
      </c>
      <c r="U46" s="30" t="inlineStr">
        <is>
          <t>BB</t>
        </is>
      </c>
      <c r="V46" s="30" t="n"/>
    </row>
    <row r="47">
      <c r="A47" s="30" t="inlineStr">
        <is>
          <t>USP4954BAF33</t>
        </is>
      </c>
      <c r="B47" s="30" t="inlineStr">
        <is>
          <t xml:space="preserve">Hold </t>
        </is>
      </c>
      <c r="C47" s="30" t="inlineStr">
        <is>
          <t>Kuo Sab De Cv</t>
        </is>
      </c>
      <c r="D47" s="30" t="n">
        <v>5.75</v>
      </c>
      <c r="E47" s="30" t="inlineStr">
        <is>
          <t>Sr Unsecured</t>
        </is>
      </c>
      <c r="F47" s="30" t="inlineStr">
        <is>
          <t>07.07.2027</t>
        </is>
      </c>
      <c r="G47" s="30" t="inlineStr">
        <is>
          <t>Mexico</t>
        </is>
      </c>
      <c r="H47" s="30" t="inlineStr">
        <is>
          <t>Consumer, Non-cyclical</t>
        </is>
      </c>
      <c r="I47" s="30" t="n">
        <v>200</v>
      </c>
      <c r="J47" s="30" t="n">
        <v>98.821</v>
      </c>
      <c r="K47" s="30" t="n">
        <v>6.387736</v>
      </c>
      <c r="L47" s="30" t="n">
        <v>-0.022969</v>
      </c>
      <c r="M47" s="30" t="n">
        <v>-0.199584</v>
      </c>
      <c r="N47" s="30" t="n">
        <v>237.6025636</v>
      </c>
      <c r="O47" s="30" t="n">
        <v>2.177638133</v>
      </c>
      <c r="P47" s="30" t="n">
        <v>0</v>
      </c>
      <c r="Q47" s="30" t="inlineStr">
        <is>
          <t xml:space="preserve">Mexican industrial conglomerate </t>
        </is>
      </c>
      <c r="R47" s="30" t="inlineStr">
        <is>
          <t>USD</t>
        </is>
      </c>
      <c r="S47" s="30" t="inlineStr">
        <is>
          <t>Latin America</t>
        </is>
      </c>
      <c r="T47" s="30" t="inlineStr">
        <is>
          <t>BB</t>
        </is>
      </c>
      <c r="U47" s="30" t="inlineStr">
        <is>
          <t>BB</t>
        </is>
      </c>
      <c r="V47" s="30" t="n"/>
    </row>
    <row r="48">
      <c r="A48" s="30" t="inlineStr">
        <is>
          <t>US105756BW95</t>
        </is>
      </c>
      <c r="B48" s="30" t="inlineStr">
        <is>
          <t xml:space="preserve">Hold </t>
        </is>
      </c>
      <c r="C48" s="30" t="inlineStr">
        <is>
          <t>Fed Republic Of Brazil</t>
        </is>
      </c>
      <c r="D48" s="30" t="n">
        <v>5</v>
      </c>
      <c r="E48" s="30" t="inlineStr">
        <is>
          <t>Sr Unsecured</t>
        </is>
      </c>
      <c r="F48" s="30" t="inlineStr">
        <is>
          <t>27.01.2045</t>
        </is>
      </c>
      <c r="G48" s="30" t="inlineStr">
        <is>
          <t>Brazil</t>
        </is>
      </c>
      <c r="H48" s="30" t="inlineStr">
        <is>
          <t>Government</t>
        </is>
      </c>
      <c r="I48" s="30" t="n">
        <v>200</v>
      </c>
      <c r="J48" s="30" t="n">
        <v>77.09999999999999</v>
      </c>
      <c r="K48" s="30" t="n">
        <v>7.200455</v>
      </c>
      <c r="L48" s="30" t="n">
        <v>-0.163685</v>
      </c>
      <c r="M48" s="30" t="n">
        <v>-0.211037</v>
      </c>
      <c r="N48" s="30" t="n">
        <v>237.124976</v>
      </c>
      <c r="O48" s="30" t="n">
        <v>11.27784681</v>
      </c>
      <c r="P48" s="30" t="n">
        <v>0</v>
      </c>
      <c r="Q48" s="30" t="inlineStr">
        <is>
          <t>Brazilian Governemnt</t>
        </is>
      </c>
      <c r="R48" s="30" t="inlineStr">
        <is>
          <t>USD</t>
        </is>
      </c>
      <c r="S48" s="30" t="inlineStr">
        <is>
          <t>Latin America</t>
        </is>
      </c>
      <c r="T48" s="30" t="inlineStr">
        <is>
          <t>BB</t>
        </is>
      </c>
      <c r="U48" s="30" t="inlineStr">
        <is>
          <t>BB</t>
        </is>
      </c>
      <c r="V48" s="30" t="n"/>
    </row>
    <row r="49">
      <c r="A49" s="30" t="inlineStr">
        <is>
          <t>USY00130XS17</t>
        </is>
      </c>
      <c r="B49" s="30" t="inlineStr">
        <is>
          <t xml:space="preserve">Hold </t>
        </is>
      </c>
      <c r="C49" s="30" t="inlineStr">
        <is>
          <t>Adani Ports And Special</t>
        </is>
      </c>
      <c r="D49" s="30" t="n">
        <v>3.1</v>
      </c>
      <c r="E49" s="30" t="inlineStr">
        <is>
          <t>Sr Unsecured</t>
        </is>
      </c>
      <c r="F49" s="30" t="inlineStr">
        <is>
          <t>02.02.2031</t>
        </is>
      </c>
      <c r="G49" s="30" t="inlineStr">
        <is>
          <t>India</t>
        </is>
      </c>
      <c r="H49" s="30" t="inlineStr">
        <is>
          <t>Consumer, Non-cyclical</t>
        </is>
      </c>
      <c r="I49" s="30" t="n">
        <v>200</v>
      </c>
      <c r="J49" s="30" t="n">
        <v>84.874</v>
      </c>
      <c r="K49" s="30" t="n">
        <v>6.36912</v>
      </c>
      <c r="L49" s="30" t="n">
        <v>-0.016739</v>
      </c>
      <c r="M49" s="30" t="n">
        <v>-0.115692</v>
      </c>
      <c r="N49" s="30" t="n">
        <v>236.5835711</v>
      </c>
      <c r="O49" s="30" t="n">
        <v>5.222124263</v>
      </c>
      <c r="P49" s="30" t="n">
        <v>60</v>
      </c>
      <c r="Q49" s="30" t="inlineStr">
        <is>
          <t>Indian operator of shipping port and special economic zones</t>
        </is>
      </c>
      <c r="R49" s="30" t="inlineStr">
        <is>
          <t>USD</t>
        </is>
      </c>
      <c r="S49" s="30" t="inlineStr">
        <is>
          <t>Investment Grade</t>
        </is>
      </c>
      <c r="T49" s="30" t="inlineStr">
        <is>
          <t>BBB-</t>
        </is>
      </c>
      <c r="U49" s="30" t="inlineStr">
        <is>
          <t>BBB-</t>
        </is>
      </c>
      <c r="V49" s="30" t="n"/>
    </row>
    <row r="50">
      <c r="A50" s="30" t="inlineStr">
        <is>
          <t>XS2941359288</t>
        </is>
      </c>
      <c r="B50" s="30" t="inlineStr">
        <is>
          <t>Top Pick</t>
        </is>
      </c>
      <c r="C50" s="30" t="inlineStr">
        <is>
          <t>Tui Cruises Gmbh</t>
        </is>
      </c>
      <c r="D50" s="30" t="n">
        <v>5</v>
      </c>
      <c r="E50" s="30" t="inlineStr">
        <is>
          <t>Sr Unsecured</t>
        </is>
      </c>
      <c r="F50" s="30" t="inlineStr">
        <is>
          <t>15.05.2030</t>
        </is>
      </c>
      <c r="G50" s="30" t="inlineStr">
        <is>
          <t>Germany</t>
        </is>
      </c>
      <c r="H50" s="30" t="inlineStr">
        <is>
          <t>Consumer, Cyclical</t>
        </is>
      </c>
      <c r="I50" s="30" t="n">
        <v>100</v>
      </c>
      <c r="J50" s="30" t="n">
        <v>100.984</v>
      </c>
      <c r="K50" s="30" t="n">
        <v>4.731958</v>
      </c>
      <c r="L50" s="30" t="n">
        <v>-0.07897</v>
      </c>
      <c r="M50" s="30" t="n">
        <v>-0.051574</v>
      </c>
      <c r="N50" s="30" t="n">
        <v>236.5185698</v>
      </c>
      <c r="O50" s="30" t="n">
        <v>3.342374139</v>
      </c>
      <c r="P50" s="30" t="n">
        <v>25</v>
      </c>
      <c r="Q50" s="30" t="inlineStr">
        <is>
          <t>Cruise operator in Europe</t>
        </is>
      </c>
      <c r="R50" s="30" t="inlineStr">
        <is>
          <t>EUR</t>
        </is>
      </c>
      <c r="S50" s="30" t="inlineStr">
        <is>
          <t>High Yield</t>
        </is>
      </c>
      <c r="T50" s="30" t="inlineStr">
        <is>
          <t>B</t>
        </is>
      </c>
      <c r="U50" s="30" t="inlineStr">
        <is>
          <t>B</t>
        </is>
      </c>
      <c r="V50" s="30" t="n"/>
    </row>
    <row r="51">
      <c r="A51" s="30" t="inlineStr">
        <is>
          <t>XS2910536452</t>
        </is>
      </c>
      <c r="B51" s="30" t="inlineStr">
        <is>
          <t>Top pick</t>
        </is>
      </c>
      <c r="C51" s="30" t="inlineStr">
        <is>
          <t>Fressnapf Holding Se</t>
        </is>
      </c>
      <c r="D51" s="30" t="n">
        <v>5.25</v>
      </c>
      <c r="E51" s="30" t="inlineStr">
        <is>
          <t>Sr Unsecured</t>
        </is>
      </c>
      <c r="F51" s="30" t="inlineStr">
        <is>
          <t>31.10.2031</t>
        </is>
      </c>
      <c r="G51" s="30" t="inlineStr">
        <is>
          <t>Germany</t>
        </is>
      </c>
      <c r="H51" s="30" t="inlineStr">
        <is>
          <t>Consumer, Cyclical</t>
        </is>
      </c>
      <c r="I51" s="30" t="n">
        <v>100</v>
      </c>
      <c r="J51" s="30" t="n">
        <v>101.363</v>
      </c>
      <c r="K51" s="30" t="n">
        <v>4.953056</v>
      </c>
      <c r="L51" s="30" t="n">
        <v>0.111961</v>
      </c>
      <c r="M51" s="30" t="n">
        <v>0.345278</v>
      </c>
      <c r="N51" s="30" t="n">
        <v>236.4060692</v>
      </c>
      <c r="O51" s="30" t="n">
        <v>4.071019754</v>
      </c>
      <c r="P51" s="30" t="n">
        <v>0</v>
      </c>
      <c r="Q51" s="30" t="inlineStr">
        <is>
          <t xml:space="preserve">Pan European leading pet food retailer </t>
        </is>
      </c>
      <c r="R51" s="30" t="inlineStr">
        <is>
          <t>EUR</t>
        </is>
      </c>
      <c r="S51" s="30" t="inlineStr">
        <is>
          <t>High Yield</t>
        </is>
      </c>
      <c r="T51" s="30" t="inlineStr">
        <is>
          <t>BB-</t>
        </is>
      </c>
      <c r="U51" s="30" t="inlineStr">
        <is>
          <t>BB-</t>
        </is>
      </c>
      <c r="V51" s="30" t="n"/>
    </row>
    <row r="52">
      <c r="A52" s="30" t="inlineStr">
        <is>
          <t>XS1793255941</t>
        </is>
      </c>
      <c r="B52" s="30" t="inlineStr">
        <is>
          <t>Top Pick</t>
        </is>
      </c>
      <c r="C52" s="30" t="inlineStr">
        <is>
          <t>Softbank Group Corp</t>
        </is>
      </c>
      <c r="D52" s="30" t="n">
        <v>5</v>
      </c>
      <c r="E52" s="30" t="inlineStr">
        <is>
          <t>Sr Unsecured</t>
        </is>
      </c>
      <c r="F52" s="30" t="inlineStr">
        <is>
          <t>15.04.2028</t>
        </is>
      </c>
      <c r="G52" s="30" t="inlineStr">
        <is>
          <t>Japan</t>
        </is>
      </c>
      <c r="H52" s="30" t="inlineStr">
        <is>
          <t>Communications</t>
        </is>
      </c>
      <c r="I52" s="30" t="n">
        <v>100</v>
      </c>
      <c r="J52" s="30" t="n">
        <v>101.644</v>
      </c>
      <c r="K52" s="30" t="n">
        <v>4.350507</v>
      </c>
      <c r="L52" s="30" t="n">
        <v>0.151075</v>
      </c>
      <c r="M52" s="30" t="n">
        <v>0.026476</v>
      </c>
      <c r="N52" s="30" t="n">
        <v>234.9192362</v>
      </c>
      <c r="O52" s="30" t="n">
        <v>2.634810733</v>
      </c>
      <c r="P52" s="30" t="n">
        <v>0</v>
      </c>
      <c r="Q52" s="30" t="inlineStr">
        <is>
          <t xml:space="preserve">Japanese investment firm </t>
        </is>
      </c>
      <c r="R52" s="30" t="inlineStr">
        <is>
          <t>EUR</t>
        </is>
      </c>
      <c r="S52" s="30" t="inlineStr">
        <is>
          <t>High Yield</t>
        </is>
      </c>
      <c r="T52" s="30" t="inlineStr">
        <is>
          <t>NR</t>
        </is>
      </c>
      <c r="U52" s="30" t="inlineStr">
        <is>
          <t>NR</t>
        </is>
      </c>
      <c r="V52" s="30" t="n"/>
    </row>
    <row r="53">
      <c r="A53" s="30" t="inlineStr">
        <is>
          <t>XS2362994068</t>
        </is>
      </c>
      <c r="B53" s="30" t="inlineStr">
        <is>
          <t>Not accumulate</t>
        </is>
      </c>
      <c r="C53" s="30" t="inlineStr">
        <is>
          <t>Nemak Sab De Cv</t>
        </is>
      </c>
      <c r="D53" s="30" t="n">
        <v>2.25</v>
      </c>
      <c r="E53" s="30" t="inlineStr">
        <is>
          <t>Sr Unsecured</t>
        </is>
      </c>
      <c r="F53" s="30" t="inlineStr">
        <is>
          <t>20.07.2028</t>
        </is>
      </c>
      <c r="G53" s="30" t="inlineStr">
        <is>
          <t>Mexico</t>
        </is>
      </c>
      <c r="H53" s="30" t="inlineStr">
        <is>
          <t>Consumer, Cyclical</t>
        </is>
      </c>
      <c r="I53" s="30" t="n">
        <v>100</v>
      </c>
      <c r="J53" s="30" t="n">
        <v>94.121</v>
      </c>
      <c r="K53" s="30" t="n">
        <v>4.346411</v>
      </c>
      <c r="L53" s="30" t="n">
        <v>-0.244435</v>
      </c>
      <c r="M53" s="30" t="n">
        <v>-1.14482</v>
      </c>
      <c r="N53" s="30" t="n">
        <v>233.9282985</v>
      </c>
      <c r="O53" s="30" t="n">
        <v>3.092815729</v>
      </c>
      <c r="P53" s="30" t="n">
        <v>15</v>
      </c>
      <c r="Q53" s="30" t="inlineStr">
        <is>
          <t>Developer and manufacturer of aluminum products for the auto industry</t>
        </is>
      </c>
      <c r="R53" s="30" t="inlineStr">
        <is>
          <t>EUR</t>
        </is>
      </c>
      <c r="S53" s="30" t="inlineStr">
        <is>
          <t>Latin America</t>
        </is>
      </c>
      <c r="T53" s="30" t="inlineStr">
        <is>
          <t>BB+</t>
        </is>
      </c>
      <c r="U53" s="30" t="inlineStr">
        <is>
          <t>BB+</t>
        </is>
      </c>
      <c r="V53" s="30" t="n"/>
    </row>
    <row r="54">
      <c r="A54" s="30" t="inlineStr">
        <is>
          <t>USY6142NAG35</t>
        </is>
      </c>
      <c r="B54" s="30" t="inlineStr">
        <is>
          <t>Hold</t>
        </is>
      </c>
      <c r="C54" s="30" t="inlineStr">
        <is>
          <t>Mongolia Intl Bond</t>
        </is>
      </c>
      <c r="D54" s="30" t="n">
        <v>8.65</v>
      </c>
      <c r="E54" s="30" t="inlineStr">
        <is>
          <t>Sr Unsecured</t>
        </is>
      </c>
      <c r="F54" s="30" t="inlineStr">
        <is>
          <t>19.01.2028</t>
        </is>
      </c>
      <c r="G54" s="30" t="inlineStr">
        <is>
          <t>Mongolia</t>
        </is>
      </c>
      <c r="H54" s="30" t="inlineStr">
        <is>
          <t>Government</t>
        </is>
      </c>
      <c r="I54" s="30" t="n">
        <v>200</v>
      </c>
      <c r="J54" s="30" t="n">
        <v>105.697</v>
      </c>
      <c r="K54" s="30" t="n">
        <v>6.181847</v>
      </c>
      <c r="L54" s="30" t="n">
        <v>-0.298411</v>
      </c>
      <c r="M54" s="30" t="n">
        <v>-0.497702</v>
      </c>
      <c r="N54" s="30" t="n">
        <v>233.5161818</v>
      </c>
      <c r="O54" s="30" t="n">
        <v>2.549269444</v>
      </c>
      <c r="P54" s="30" t="n">
        <v>10</v>
      </c>
      <c r="Q54" s="30" t="inlineStr">
        <is>
          <t>Mongolia sovereign bond</t>
        </is>
      </c>
      <c r="R54" s="30" t="inlineStr">
        <is>
          <t>USD</t>
        </is>
      </c>
      <c r="S54" s="30" t="inlineStr">
        <is>
          <t>High Yield</t>
        </is>
      </c>
      <c r="T54" s="30" t="inlineStr">
        <is>
          <t>B+</t>
        </is>
      </c>
      <c r="U54" s="30" t="inlineStr">
        <is>
          <t>B+</t>
        </is>
      </c>
      <c r="V54" s="30" t="n"/>
    </row>
    <row r="55">
      <c r="A55" s="30" t="inlineStr">
        <is>
          <t>USP47777AB69</t>
        </is>
      </c>
      <c r="B55" s="30" t="inlineStr">
        <is>
          <t xml:space="preserve">Top pick </t>
        </is>
      </c>
      <c r="C55" s="30" t="inlineStr">
        <is>
          <t>Globo Communicacoes Part</t>
        </is>
      </c>
      <c r="D55" s="30" t="n">
        <v>4.875</v>
      </c>
      <c r="E55" s="30" t="inlineStr">
        <is>
          <t>Sr Unsecured</t>
        </is>
      </c>
      <c r="F55" s="30" t="inlineStr">
        <is>
          <t>22.01.2030</t>
        </is>
      </c>
      <c r="G55" s="30" t="inlineStr">
        <is>
          <t>Brazil</t>
        </is>
      </c>
      <c r="H55" s="30" t="inlineStr">
        <is>
          <t>Communications</t>
        </is>
      </c>
      <c r="I55" s="30" t="n">
        <v>200</v>
      </c>
      <c r="J55" s="30" t="n">
        <v>94.68000000000001</v>
      </c>
      <c r="K55" s="30" t="n">
        <v>6.238225</v>
      </c>
      <c r="L55" s="30" t="n">
        <v>0.02809</v>
      </c>
      <c r="M55" s="30" t="n">
        <v>-0.002787</v>
      </c>
      <c r="N55" s="30" t="n">
        <v>232.4418204</v>
      </c>
      <c r="O55" s="30" t="n">
        <v>4.254029004</v>
      </c>
      <c r="P55" s="30" t="n">
        <v>25</v>
      </c>
      <c r="Q55" s="30" t="inlineStr">
        <is>
          <t>Operates as an investment company</t>
        </is>
      </c>
      <c r="R55" s="30" t="inlineStr">
        <is>
          <t>USD</t>
        </is>
      </c>
      <c r="S55" s="30" t="inlineStr">
        <is>
          <t>Latin America</t>
        </is>
      </c>
      <c r="T55" s="30" t="inlineStr">
        <is>
          <t>BB</t>
        </is>
      </c>
      <c r="U55" s="30" t="inlineStr">
        <is>
          <t>BB</t>
        </is>
      </c>
      <c r="V55" s="30" t="n"/>
    </row>
    <row r="56">
      <c r="A56" s="30" t="inlineStr">
        <is>
          <t>XS0982711474</t>
        </is>
      </c>
      <c r="B56" s="30" t="inlineStr">
        <is>
          <t>Top Pick</t>
        </is>
      </c>
      <c r="C56" s="30" t="inlineStr">
        <is>
          <t>Petrobras Global Finance</t>
        </is>
      </c>
      <c r="D56" s="30" t="n">
        <v>6.625</v>
      </c>
      <c r="E56" s="30" t="inlineStr">
        <is>
          <t>Sr Unsecured</t>
        </is>
      </c>
      <c r="F56" s="30" t="inlineStr">
        <is>
          <t>16.01.2034</t>
        </is>
      </c>
      <c r="G56" s="30" t="inlineStr">
        <is>
          <t>Brazil</t>
        </is>
      </c>
      <c r="H56" s="30" t="inlineStr">
        <is>
          <t>Energy</t>
        </is>
      </c>
      <c r="I56" s="30" t="n">
        <v>100</v>
      </c>
      <c r="J56" s="30" t="n">
        <v>99.108</v>
      </c>
      <c r="K56" s="30" t="n">
        <v>6.646999</v>
      </c>
      <c r="L56" s="30" t="n">
        <v>-0.019511</v>
      </c>
      <c r="M56" s="30" t="n">
        <v>-0.189043</v>
      </c>
      <c r="N56" s="30" t="n">
        <v>231.7265791</v>
      </c>
      <c r="O56" s="30" t="n">
        <v>6.492821002</v>
      </c>
      <c r="P56" s="30" t="n">
        <v>0</v>
      </c>
      <c r="Q56" s="30" t="inlineStr">
        <is>
          <t xml:space="preserve">Partially state-owned energy company </t>
        </is>
      </c>
      <c r="R56" s="30" t="inlineStr">
        <is>
          <t>GBP</t>
        </is>
      </c>
      <c r="S56" s="30" t="inlineStr">
        <is>
          <t>Latin America</t>
        </is>
      </c>
      <c r="T56" s="30" t="inlineStr">
        <is>
          <t>BB</t>
        </is>
      </c>
      <c r="U56" s="30" t="inlineStr">
        <is>
          <t>BB</t>
        </is>
      </c>
      <c r="V56" s="30" t="n"/>
    </row>
    <row r="57">
      <c r="A57" s="30" t="inlineStr">
        <is>
          <t>XS2900445375</t>
        </is>
      </c>
      <c r="B57" s="30" t="inlineStr">
        <is>
          <t>Top Pick</t>
        </is>
      </c>
      <c r="C57" s="30" t="inlineStr">
        <is>
          <t>Accorinvest Group Sa</t>
        </is>
      </c>
      <c r="D57" s="30" t="n">
        <v>6.375</v>
      </c>
      <c r="E57" s="30" t="inlineStr">
        <is>
          <t>Secured</t>
        </is>
      </c>
      <c r="F57" s="30" t="inlineStr">
        <is>
          <t>15.10.2029</t>
        </is>
      </c>
      <c r="G57" s="30" t="inlineStr">
        <is>
          <t>Luxembourg</t>
        </is>
      </c>
      <c r="H57" s="30" t="inlineStr">
        <is>
          <t>Consumer, Cyclical</t>
        </is>
      </c>
      <c r="I57" s="30" t="n">
        <v>100</v>
      </c>
      <c r="J57" s="30" t="n">
        <v>105.174</v>
      </c>
      <c r="K57" s="30" t="n">
        <v>4.642149</v>
      </c>
      <c r="L57" s="30" t="n">
        <v>-0.197299</v>
      </c>
      <c r="M57" s="30" t="n">
        <v>-0.125614</v>
      </c>
      <c r="N57" s="30" t="n">
        <v>230.7993364</v>
      </c>
      <c r="O57" s="30" t="n">
        <v>1.521472291</v>
      </c>
      <c r="P57" s="30" t="n">
        <v>0</v>
      </c>
      <c r="Q57" s="30" t="inlineStr">
        <is>
          <t xml:space="preserve">Hotel owner of 300 hotels in Europe, a spin-off from Accor SA </t>
        </is>
      </c>
      <c r="R57" s="30" t="inlineStr">
        <is>
          <t>EUR</t>
        </is>
      </c>
      <c r="S57" s="30" t="inlineStr">
        <is>
          <t>High Yield</t>
        </is>
      </c>
      <c r="T57" s="30" t="inlineStr">
        <is>
          <t>B+</t>
        </is>
      </c>
      <c r="U57" s="30" t="inlineStr">
        <is>
          <t>B+</t>
        </is>
      </c>
      <c r="V57" s="30" t="n"/>
    </row>
    <row r="58">
      <c r="A58" s="30" t="inlineStr">
        <is>
          <t>XS2826815446</t>
        </is>
      </c>
      <c r="B58" s="30" t="inlineStr">
        <is>
          <t xml:space="preserve">Hold </t>
        </is>
      </c>
      <c r="C58" s="30" t="inlineStr">
        <is>
          <t>Hta Group Ltd</t>
        </is>
      </c>
      <c r="D58" s="30" t="n">
        <v>7.5</v>
      </c>
      <c r="E58" s="30" t="inlineStr">
        <is>
          <t>Sr Unsecured</t>
        </is>
      </c>
      <c r="F58" s="30" t="inlineStr">
        <is>
          <t>04.06.2029</t>
        </is>
      </c>
      <c r="G58" s="30" t="inlineStr">
        <is>
          <t>Tanzania</t>
        </is>
      </c>
      <c r="H58" s="30" t="inlineStr">
        <is>
          <t>Industrial</t>
        </is>
      </c>
      <c r="I58" s="30" t="n">
        <v>200</v>
      </c>
      <c r="J58" s="30" t="n">
        <v>102.885</v>
      </c>
      <c r="K58" s="30" t="n">
        <v>6.391793</v>
      </c>
      <c r="L58" s="30" t="n">
        <v>-0.06216</v>
      </c>
      <c r="M58" s="30" t="n">
        <v>-0.305426</v>
      </c>
      <c r="N58" s="30" t="n">
        <v>228.4601649</v>
      </c>
      <c r="O58" s="30" t="n">
        <v>2.828335513</v>
      </c>
      <c r="P58" s="30" t="n">
        <v>0</v>
      </c>
      <c r="Q58" s="30" t="inlineStr">
        <is>
          <t xml:space="preserve">Telecom tower operator </t>
        </is>
      </c>
      <c r="R58" s="30" t="inlineStr">
        <is>
          <t>USD</t>
        </is>
      </c>
      <c r="S58" s="30" t="inlineStr">
        <is>
          <t>High Yield</t>
        </is>
      </c>
      <c r="T58" s="30" t="inlineStr">
        <is>
          <t>B+</t>
        </is>
      </c>
      <c r="U58" s="30" t="inlineStr">
        <is>
          <t>B+</t>
        </is>
      </c>
      <c r="V58" s="30" t="n"/>
    </row>
    <row r="59">
      <c r="A59" s="30" t="inlineStr">
        <is>
          <t>US71647NAK54</t>
        </is>
      </c>
      <c r="B59" s="30" t="inlineStr">
        <is>
          <t xml:space="preserve">Hold </t>
        </is>
      </c>
      <c r="C59" s="30" t="inlineStr">
        <is>
          <t>Petrobras Global Finance</t>
        </is>
      </c>
      <c r="D59" s="30" t="n">
        <v>7.25</v>
      </c>
      <c r="E59" s="30" t="inlineStr">
        <is>
          <t>Sr Unsecured</t>
        </is>
      </c>
      <c r="F59" s="30" t="inlineStr">
        <is>
          <t>17.03.2044</t>
        </is>
      </c>
      <c r="G59" s="30" t="inlineStr">
        <is>
          <t>Brazil</t>
        </is>
      </c>
      <c r="H59" s="30" t="inlineStr">
        <is>
          <t>Energy</t>
        </is>
      </c>
      <c r="I59" s="30" t="n">
        <v>2</v>
      </c>
      <c r="J59" s="30" t="n">
        <v>102.424</v>
      </c>
      <c r="K59" s="30" t="n">
        <v>7.013846</v>
      </c>
      <c r="L59" s="30" t="n">
        <v>-0.034245</v>
      </c>
      <c r="M59" s="30" t="n">
        <v>-0.160904</v>
      </c>
      <c r="N59" s="30" t="n">
        <v>225.1877023</v>
      </c>
      <c r="O59" s="30" t="n">
        <v>10.02180571</v>
      </c>
      <c r="P59" s="30" t="n">
        <v>0</v>
      </c>
      <c r="Q59" s="30" t="inlineStr">
        <is>
          <t>Largest oil company in Latin America</t>
        </is>
      </c>
      <c r="R59" s="30" t="inlineStr">
        <is>
          <t>USD</t>
        </is>
      </c>
      <c r="S59" s="30" t="inlineStr">
        <is>
          <t>Latin America</t>
        </is>
      </c>
      <c r="T59" s="30" t="inlineStr">
        <is>
          <t>BB</t>
        </is>
      </c>
      <c r="U59" s="30" t="inlineStr">
        <is>
          <t>BB</t>
        </is>
      </c>
      <c r="V59" s="30" t="n"/>
    </row>
    <row r="60">
      <c r="A60" s="30" t="inlineStr">
        <is>
          <t>FR001400PAJ8</t>
        </is>
      </c>
      <c r="B60" s="30" t="inlineStr">
        <is>
          <t xml:space="preserve">Hold </t>
        </is>
      </c>
      <c r="C60" s="30" t="inlineStr">
        <is>
          <t>Valeo Se</t>
        </is>
      </c>
      <c r="D60" s="30" t="n">
        <v>4.5</v>
      </c>
      <c r="E60" s="30" t="inlineStr">
        <is>
          <t>Sr Unsecured</t>
        </is>
      </c>
      <c r="F60" s="30" t="inlineStr">
        <is>
          <t>11.04.2030</t>
        </is>
      </c>
      <c r="G60" s="30" t="inlineStr">
        <is>
          <t>France</t>
        </is>
      </c>
      <c r="H60" s="30" t="inlineStr">
        <is>
          <t>Consumer, Cyclical</t>
        </is>
      </c>
      <c r="I60" s="30" t="n">
        <v>100</v>
      </c>
      <c r="J60" s="30" t="n">
        <v>100.032</v>
      </c>
      <c r="K60" s="30" t="n">
        <v>4.488177</v>
      </c>
      <c r="L60" s="30" t="n">
        <v>-0.060722</v>
      </c>
      <c r="M60" s="30" t="n">
        <v>-0.071411</v>
      </c>
      <c r="N60" s="30" t="n">
        <v>219.1891679</v>
      </c>
      <c r="O60" s="30" t="n">
        <v>4.145161849</v>
      </c>
      <c r="P60" s="30" t="n">
        <v>0</v>
      </c>
      <c r="Q60" s="30" t="inlineStr">
        <is>
          <t xml:space="preserve">auto supplier </t>
        </is>
      </c>
      <c r="R60" s="30" t="inlineStr">
        <is>
          <t>EUR</t>
        </is>
      </c>
      <c r="S60" s="30" t="inlineStr">
        <is>
          <t>High Yield</t>
        </is>
      </c>
      <c r="T60" s="30" t="inlineStr">
        <is>
          <t>BB</t>
        </is>
      </c>
      <c r="U60" s="30" t="inlineStr">
        <is>
          <t>BB+</t>
        </is>
      </c>
      <c r="V60" s="30" t="n"/>
    </row>
    <row r="61">
      <c r="A61" s="30" t="inlineStr">
        <is>
          <t>US71645WAS08</t>
        </is>
      </c>
      <c r="B61" s="30" t="inlineStr">
        <is>
          <t xml:space="preserve">Hold </t>
        </is>
      </c>
      <c r="C61" s="30" t="inlineStr">
        <is>
          <t>Petrobras Global Finance</t>
        </is>
      </c>
      <c r="D61" s="30" t="n">
        <v>6.75</v>
      </c>
      <c r="E61" s="30" t="inlineStr">
        <is>
          <t>Sr Unsecured</t>
        </is>
      </c>
      <c r="F61" s="30" t="inlineStr">
        <is>
          <t>27.01.2041</t>
        </is>
      </c>
      <c r="G61" s="30" t="inlineStr">
        <is>
          <t>Brazil</t>
        </is>
      </c>
      <c r="H61" s="30" t="inlineStr">
        <is>
          <t>Energy</t>
        </is>
      </c>
      <c r="I61" s="30" t="n">
        <v>2</v>
      </c>
      <c r="J61" s="30" t="n">
        <v>98.95699999999999</v>
      </c>
      <c r="K61" s="30" t="n">
        <v>6.859497</v>
      </c>
      <c r="L61" s="30" t="n">
        <v>-0.046401</v>
      </c>
      <c r="M61" s="30" t="n">
        <v>-0.173279</v>
      </c>
      <c r="N61" s="30" t="n">
        <v>218.240848</v>
      </c>
      <c r="O61" s="30" t="n">
        <v>9.565420437</v>
      </c>
      <c r="P61" s="30" t="n">
        <v>0</v>
      </c>
      <c r="Q61" s="30" t="inlineStr">
        <is>
          <t>Largest oil company in Latin America</t>
        </is>
      </c>
      <c r="R61" s="30" t="inlineStr">
        <is>
          <t>USD</t>
        </is>
      </c>
      <c r="S61" s="30" t="inlineStr">
        <is>
          <t>Latin America</t>
        </is>
      </c>
      <c r="T61" s="30" t="inlineStr">
        <is>
          <t>BB</t>
        </is>
      </c>
      <c r="U61" s="30" t="inlineStr">
        <is>
          <t>BB</t>
        </is>
      </c>
      <c r="V61" s="30" t="n"/>
    </row>
    <row r="62">
      <c r="A62" s="30" t="inlineStr">
        <is>
          <t>US71645WAQ42</t>
        </is>
      </c>
      <c r="B62" s="30" t="inlineStr">
        <is>
          <t xml:space="preserve">Hold </t>
        </is>
      </c>
      <c r="C62" s="30" t="inlineStr">
        <is>
          <t>Petrobras Global Finance</t>
        </is>
      </c>
      <c r="D62" s="30" t="n">
        <v>6.875</v>
      </c>
      <c r="E62" s="30" t="inlineStr">
        <is>
          <t>Sr Unsecured</t>
        </is>
      </c>
      <c r="F62" s="30" t="inlineStr">
        <is>
          <t>20.01.2040</t>
        </is>
      </c>
      <c r="G62" s="30" t="inlineStr">
        <is>
          <t>Brazil</t>
        </is>
      </c>
      <c r="H62" s="30" t="inlineStr">
        <is>
          <t>Energy</t>
        </is>
      </c>
      <c r="I62" s="30" t="n">
        <v>2</v>
      </c>
      <c r="J62" s="30" t="n">
        <v>100.634</v>
      </c>
      <c r="K62" s="30" t="n">
        <v>6.80512</v>
      </c>
      <c r="L62" s="30" t="n">
        <v>-0.064331</v>
      </c>
      <c r="M62" s="30" t="n">
        <v>-0.206414</v>
      </c>
      <c r="N62" s="30" t="n">
        <v>217.2235506</v>
      </c>
      <c r="O62" s="30" t="n">
        <v>9.172186426</v>
      </c>
      <c r="P62" s="30" t="n">
        <v>0</v>
      </c>
      <c r="Q62" s="30" t="inlineStr">
        <is>
          <t>Largest oil company in Latin America</t>
        </is>
      </c>
      <c r="R62" s="30" t="inlineStr">
        <is>
          <t>USD</t>
        </is>
      </c>
      <c r="S62" s="30" t="inlineStr">
        <is>
          <t>Latin America</t>
        </is>
      </c>
      <c r="T62" s="30" t="inlineStr">
        <is>
          <t>BB</t>
        </is>
      </c>
      <c r="U62" s="30" t="inlineStr">
        <is>
          <t>BB</t>
        </is>
      </c>
      <c r="V62" s="30" t="n"/>
    </row>
    <row r="63">
      <c r="A63" s="30" t="inlineStr">
        <is>
          <t>USY00130RP42</t>
        </is>
      </c>
      <c r="B63" s="30" t="inlineStr">
        <is>
          <t xml:space="preserve">Hold </t>
        </is>
      </c>
      <c r="C63" s="30" t="inlineStr">
        <is>
          <t>Adani Ports And Special</t>
        </is>
      </c>
      <c r="D63" s="30" t="n">
        <v>4.375</v>
      </c>
      <c r="E63" s="30" t="inlineStr">
        <is>
          <t>Sr Unsecured</t>
        </is>
      </c>
      <c r="F63" s="30" t="inlineStr">
        <is>
          <t>03.07.2029</t>
        </is>
      </c>
      <c r="G63" s="30" t="inlineStr">
        <is>
          <t>India</t>
        </is>
      </c>
      <c r="H63" s="30" t="inlineStr">
        <is>
          <t>Consumer, Non-cyclical</t>
        </is>
      </c>
      <c r="I63" s="30" t="n">
        <v>200</v>
      </c>
      <c r="J63" s="30" t="n">
        <v>94.19199999999999</v>
      </c>
      <c r="K63" s="30" t="n">
        <v>6.035739</v>
      </c>
      <c r="L63" s="30" t="n">
        <v>-0.053203</v>
      </c>
      <c r="M63" s="30" t="n">
        <v>-0.238321</v>
      </c>
      <c r="N63" s="30" t="n">
        <v>214.7253263</v>
      </c>
      <c r="O63" s="30" t="n">
        <v>3.846280837</v>
      </c>
      <c r="P63" s="30" t="n">
        <v>60</v>
      </c>
      <c r="Q63" s="30" t="inlineStr">
        <is>
          <t>Indian operator of shipping port and special economic zones</t>
        </is>
      </c>
      <c r="R63" s="30" t="inlineStr">
        <is>
          <t>USD</t>
        </is>
      </c>
      <c r="S63" s="30" t="inlineStr">
        <is>
          <t>Investment Grade</t>
        </is>
      </c>
      <c r="T63" s="30" t="inlineStr">
        <is>
          <t>BBB-</t>
        </is>
      </c>
      <c r="U63" s="30" t="inlineStr">
        <is>
          <t>BBB-</t>
        </is>
      </c>
      <c r="V63" s="30" t="n"/>
    </row>
    <row r="64">
      <c r="A64" s="30" t="inlineStr">
        <is>
          <t>XS1793255198</t>
        </is>
      </c>
      <c r="B64" s="30" t="inlineStr">
        <is>
          <t>Top Pick</t>
        </is>
      </c>
      <c r="C64" s="30" t="inlineStr">
        <is>
          <t>Softbank Group Corp</t>
        </is>
      </c>
      <c r="D64" s="30" t="n">
        <v>6.25</v>
      </c>
      <c r="E64" s="30" t="inlineStr">
        <is>
          <t>Sr Unsecured</t>
        </is>
      </c>
      <c r="F64" s="30" t="inlineStr">
        <is>
          <t>15.04.2028</t>
        </is>
      </c>
      <c r="G64" s="30" t="inlineStr">
        <is>
          <t>Japan</t>
        </is>
      </c>
      <c r="H64" s="30" t="inlineStr">
        <is>
          <t>Communications</t>
        </is>
      </c>
      <c r="I64" s="30" t="n">
        <v>200</v>
      </c>
      <c r="J64" s="30" t="n">
        <v>100.523</v>
      </c>
      <c r="K64" s="30" t="n">
        <v>6.022489</v>
      </c>
      <c r="L64" s="30" t="n">
        <v>0.174943</v>
      </c>
      <c r="M64" s="30" t="n">
        <v>0.015488</v>
      </c>
      <c r="N64" s="30" t="n">
        <v>212.9831035</v>
      </c>
      <c r="O64" s="30" t="n">
        <v>2.561031563</v>
      </c>
      <c r="P64" s="30" t="n">
        <v>0</v>
      </c>
      <c r="Q64" s="30" t="inlineStr">
        <is>
          <t xml:space="preserve">Japanese investment firm </t>
        </is>
      </c>
      <c r="R64" s="30" t="inlineStr">
        <is>
          <t>USD</t>
        </is>
      </c>
      <c r="S64" s="30" t="inlineStr">
        <is>
          <t>High Yield</t>
        </is>
      </c>
      <c r="T64" s="30" t="inlineStr">
        <is>
          <t>NR</t>
        </is>
      </c>
      <c r="U64" s="30" t="inlineStr">
        <is>
          <t>NR</t>
        </is>
      </c>
      <c r="V64" s="30" t="n"/>
    </row>
    <row r="65">
      <c r="A65" s="30" t="inlineStr">
        <is>
          <t>XS2756521303</t>
        </is>
      </c>
      <c r="B65" s="30" t="inlineStr">
        <is>
          <t>Top Pick</t>
        </is>
      </c>
      <c r="C65" s="30" t="inlineStr">
        <is>
          <t>Romania</t>
        </is>
      </c>
      <c r="D65" s="30" t="n">
        <v>6.375</v>
      </c>
      <c r="E65" s="30" t="inlineStr">
        <is>
          <t>Sr Unsecured</t>
        </is>
      </c>
      <c r="F65" s="30" t="inlineStr">
        <is>
          <t>30.01.2034</t>
        </is>
      </c>
      <c r="G65" s="30" t="inlineStr">
        <is>
          <t>Romania</t>
        </is>
      </c>
      <c r="H65" s="30" t="inlineStr">
        <is>
          <t>Government</t>
        </is>
      </c>
      <c r="I65" s="30" t="n">
        <v>2</v>
      </c>
      <c r="J65" s="30" t="n">
        <v>100.239</v>
      </c>
      <c r="K65" s="30" t="n">
        <v>6.337602</v>
      </c>
      <c r="L65" s="30" t="n">
        <v>-0.290287</v>
      </c>
      <c r="M65" s="30" t="n">
        <v>-0.554395</v>
      </c>
      <c r="N65" s="30" t="n">
        <v>209.437551</v>
      </c>
      <c r="O65" s="30" t="n">
        <v>6.641764793</v>
      </c>
      <c r="P65" s="30" t="n">
        <v>0</v>
      </c>
      <c r="Q65" s="30" t="inlineStr">
        <is>
          <t>Romanian government bond</t>
        </is>
      </c>
      <c r="R65" s="30" t="inlineStr">
        <is>
          <t>USD</t>
        </is>
      </c>
      <c r="S65" s="30" t="inlineStr">
        <is>
          <t>Investment Grade</t>
        </is>
      </c>
      <c r="T65" s="30" t="inlineStr">
        <is>
          <t>BBB-</t>
        </is>
      </c>
      <c r="U65" s="30" t="inlineStr">
        <is>
          <t>BBB-</t>
        </is>
      </c>
      <c r="V65" s="30" t="n"/>
    </row>
    <row r="66">
      <c r="A66" s="30" t="inlineStr">
        <is>
          <t>USN3700LAD75</t>
        </is>
      </c>
      <c r="B66" s="30" t="inlineStr">
        <is>
          <t>Hold</t>
        </is>
      </c>
      <c r="C66" s="30" t="inlineStr">
        <is>
          <t>Greenko Dutch Bv</t>
        </is>
      </c>
      <c r="D66" s="30" t="n">
        <v>3.85</v>
      </c>
      <c r="E66" s="30" t="inlineStr">
        <is>
          <t>1St Lien</t>
        </is>
      </c>
      <c r="F66" s="30" t="inlineStr">
        <is>
          <t>29.03.2026</t>
        </is>
      </c>
      <c r="G66" s="30" t="inlineStr">
        <is>
          <t>India</t>
        </is>
      </c>
      <c r="H66" s="30" t="inlineStr">
        <is>
          <t>Energy</t>
        </is>
      </c>
      <c r="I66" s="30" t="n">
        <v>200</v>
      </c>
      <c r="J66" s="30" t="n">
        <v>98.375</v>
      </c>
      <c r="K66" s="30" t="n">
        <v>6.16586</v>
      </c>
      <c r="L66" s="30" t="n">
        <v>-0.051073</v>
      </c>
      <c r="M66" s="30" t="n">
        <v>0.045391</v>
      </c>
      <c r="N66" s="30" t="n">
        <v>209.3596382</v>
      </c>
      <c r="O66" s="30" t="n">
        <v>1.017626422</v>
      </c>
      <c r="P66" s="30" t="n">
        <v>25</v>
      </c>
      <c r="Q66" s="30" t="inlineStr">
        <is>
          <t xml:space="preserve">renewable energy company </t>
        </is>
      </c>
      <c r="R66" s="30" t="inlineStr">
        <is>
          <t>USD</t>
        </is>
      </c>
      <c r="S66" s="30" t="inlineStr">
        <is>
          <t>High Yield</t>
        </is>
      </c>
      <c r="T66" s="30" t="inlineStr">
        <is>
          <t>BB</t>
        </is>
      </c>
      <c r="U66" s="30" t="inlineStr">
        <is>
          <t>BB</t>
        </is>
      </c>
      <c r="V66" s="30" t="n"/>
    </row>
    <row r="67">
      <c r="A67" s="30" t="inlineStr">
        <is>
          <t>XS2485249523</t>
        </is>
      </c>
      <c r="B67" s="30" t="inlineStr">
        <is>
          <t>Hold</t>
        </is>
      </c>
      <c r="C67" s="30" t="inlineStr">
        <is>
          <t>Romania</t>
        </is>
      </c>
      <c r="D67" s="30" t="n">
        <v>6</v>
      </c>
      <c r="E67" s="30" t="inlineStr">
        <is>
          <t>Sr Unsecured</t>
        </is>
      </c>
      <c r="F67" s="30" t="inlineStr">
        <is>
          <t>25.05.2034</t>
        </is>
      </c>
      <c r="G67" s="30" t="inlineStr">
        <is>
          <t>Romania</t>
        </is>
      </c>
      <c r="H67" s="30" t="inlineStr">
        <is>
          <t>Government</t>
        </is>
      </c>
      <c r="I67" s="30" t="n">
        <v>2</v>
      </c>
      <c r="J67" s="30" t="n">
        <v>97.60599999999999</v>
      </c>
      <c r="K67" s="30" t="n">
        <v>6.355721</v>
      </c>
      <c r="L67" s="30" t="n">
        <v>-0.183188</v>
      </c>
      <c r="M67" s="30" t="n">
        <v>-0.46796</v>
      </c>
      <c r="N67" s="30" t="n">
        <v>209.0636655</v>
      </c>
      <c r="O67" s="30" t="n">
        <v>6.799910707</v>
      </c>
      <c r="P67" s="30" t="n">
        <v>85</v>
      </c>
      <c r="Q67" s="30" t="inlineStr">
        <is>
          <t>Romanian government bond</t>
        </is>
      </c>
      <c r="R67" s="30" t="inlineStr">
        <is>
          <t>USD</t>
        </is>
      </c>
      <c r="S67" s="30" t="inlineStr">
        <is>
          <t>Investment Grade</t>
        </is>
      </c>
      <c r="T67" s="30" t="inlineStr">
        <is>
          <t>BBB-</t>
        </is>
      </c>
      <c r="U67" s="30" t="inlineStr">
        <is>
          <t>BBB-</t>
        </is>
      </c>
      <c r="V67" s="30" t="n"/>
    </row>
    <row r="68">
      <c r="A68" s="30" t="inlineStr">
        <is>
          <t>US900123CQ19</t>
        </is>
      </c>
      <c r="B68" s="30" t="inlineStr">
        <is>
          <t>Hold</t>
        </is>
      </c>
      <c r="C68" s="30" t="inlineStr">
        <is>
          <t>Republic Of Turkiye</t>
        </is>
      </c>
      <c r="D68" s="30" t="n">
        <v>6.125</v>
      </c>
      <c r="E68" s="30" t="inlineStr">
        <is>
          <t>Sr Unsecured</t>
        </is>
      </c>
      <c r="F68" s="30" t="inlineStr">
        <is>
          <t>24.10.2028</t>
        </is>
      </c>
      <c r="G68" s="30" t="inlineStr">
        <is>
          <t>Turkey</t>
        </is>
      </c>
      <c r="H68" s="30" t="inlineStr">
        <is>
          <t>Government</t>
        </is>
      </c>
      <c r="I68" s="30" t="n">
        <v>200</v>
      </c>
      <c r="J68" s="30" t="n">
        <v>100.602</v>
      </c>
      <c r="K68" s="30" t="n">
        <v>5.91754</v>
      </c>
      <c r="L68" s="30" t="n">
        <v>-0.163171</v>
      </c>
      <c r="M68" s="30" t="n">
        <v>-0.319958</v>
      </c>
      <c r="N68" s="30" t="n">
        <v>206.3036887</v>
      </c>
      <c r="O68" s="30" t="n">
        <v>3.187709584</v>
      </c>
      <c r="P68" s="30" t="n">
        <v>0</v>
      </c>
      <c r="Q68" s="30" t="inlineStr">
        <is>
          <t>Turkey sovereign bond</t>
        </is>
      </c>
      <c r="R68" s="30" t="inlineStr">
        <is>
          <t>USD</t>
        </is>
      </c>
      <c r="S68" s="30" t="inlineStr">
        <is>
          <t>High Yield</t>
        </is>
      </c>
      <c r="T68" s="30" t="inlineStr">
        <is>
          <t>B+</t>
        </is>
      </c>
      <c r="U68" s="30" t="inlineStr">
        <is>
          <t>B+</t>
        </is>
      </c>
      <c r="V68" s="30" t="n"/>
    </row>
    <row r="69">
      <c r="A69" s="30" t="inlineStr">
        <is>
          <t>US345397E250</t>
        </is>
      </c>
      <c r="B69" s="30" t="inlineStr">
        <is>
          <t xml:space="preserve">Hold </t>
        </is>
      </c>
      <c r="C69" s="30" t="inlineStr">
        <is>
          <t>Ford Motor Credit Co Llc</t>
        </is>
      </c>
      <c r="D69" s="30" t="n">
        <v>6.05</v>
      </c>
      <c r="E69" s="30" t="inlineStr">
        <is>
          <t>Sr Unsecured</t>
        </is>
      </c>
      <c r="F69" s="30" t="inlineStr">
        <is>
          <t>05.03.2031</t>
        </is>
      </c>
      <c r="G69" s="30" t="inlineStr">
        <is>
          <t>United states</t>
        </is>
      </c>
      <c r="H69" s="30" t="inlineStr">
        <is>
          <t>Consumer, Cyclical</t>
        </is>
      </c>
      <c r="I69" s="30" t="n">
        <v>200</v>
      </c>
      <c r="J69" s="30" t="n">
        <v>99.861</v>
      </c>
      <c r="K69" s="30" t="n">
        <v>6.077323</v>
      </c>
      <c r="L69" s="30" t="n">
        <v>-0.034961</v>
      </c>
      <c r="M69" s="30" t="n">
        <v>-0.388589</v>
      </c>
      <c r="N69" s="30" t="n">
        <v>206.2026351</v>
      </c>
      <c r="O69" s="30" t="n">
        <v>4.856004778</v>
      </c>
      <c r="P69" s="30" t="n">
        <v>25</v>
      </c>
      <c r="Q69" s="30" t="inlineStr">
        <is>
          <t>Global automotive manufacturer</t>
        </is>
      </c>
      <c r="R69" s="30" t="inlineStr">
        <is>
          <t>USD</t>
        </is>
      </c>
      <c r="S69" s="30" t="inlineStr">
        <is>
          <t>Investment Grade</t>
        </is>
      </c>
      <c r="T69" s="30" t="inlineStr">
        <is>
          <t>BB+</t>
        </is>
      </c>
      <c r="U69" s="30" t="inlineStr">
        <is>
          <t>BB+</t>
        </is>
      </c>
      <c r="V69" s="30" t="n"/>
    </row>
    <row r="70">
      <c r="A70" s="30" t="inlineStr">
        <is>
          <t>XS2538441598</t>
        </is>
      </c>
      <c r="B70" s="30" t="inlineStr">
        <is>
          <t>Hold</t>
        </is>
      </c>
      <c r="C70" s="30" t="inlineStr">
        <is>
          <t>Romania</t>
        </is>
      </c>
      <c r="D70" s="30" t="n">
        <v>6.625</v>
      </c>
      <c r="E70" s="30" t="inlineStr">
        <is>
          <t>Sr Unsecured</t>
        </is>
      </c>
      <c r="F70" s="30" t="inlineStr">
        <is>
          <t>27.09.2029</t>
        </is>
      </c>
      <c r="G70" s="30" t="inlineStr">
        <is>
          <t>Romania</t>
        </is>
      </c>
      <c r="H70" s="30" t="inlineStr">
        <is>
          <t>Government</t>
        </is>
      </c>
      <c r="I70" s="30" t="n">
        <v>1</v>
      </c>
      <c r="J70" s="30" t="n">
        <v>109</v>
      </c>
      <c r="K70" s="30" t="n">
        <v>4.244373</v>
      </c>
      <c r="L70" s="30" t="n">
        <v>-0.228634</v>
      </c>
      <c r="M70" s="30" t="n">
        <v>-0.526457</v>
      </c>
      <c r="N70" s="30" t="n">
        <v>205.0929414</v>
      </c>
      <c r="O70" s="30" t="n">
        <v>3.854347453</v>
      </c>
      <c r="P70" s="30" t="n">
        <v>85</v>
      </c>
      <c r="Q70" s="30" t="inlineStr">
        <is>
          <t>Romanian government bond</t>
        </is>
      </c>
      <c r="R70" s="30" t="inlineStr">
        <is>
          <t>EUR</t>
        </is>
      </c>
      <c r="S70" s="30" t="inlineStr">
        <is>
          <t>Investment Grade</t>
        </is>
      </c>
      <c r="T70" s="30" t="inlineStr">
        <is>
          <t>BBB-</t>
        </is>
      </c>
      <c r="U70" s="30" t="inlineStr">
        <is>
          <t>BBB-</t>
        </is>
      </c>
      <c r="V70" s="30" t="n"/>
    </row>
    <row r="71">
      <c r="A71" s="30" t="inlineStr">
        <is>
          <t>USN7163RAY91</t>
        </is>
      </c>
      <c r="B71" s="30" t="inlineStr">
        <is>
          <t xml:space="preserve">Hold </t>
        </is>
      </c>
      <c r="C71" s="30" t="inlineStr">
        <is>
          <t>Prosus Nv</t>
        </is>
      </c>
      <c r="D71" s="30" t="n">
        <v>4.987</v>
      </c>
      <c r="E71" s="30" t="inlineStr">
        <is>
          <t>Sr Unsecured</t>
        </is>
      </c>
      <c r="F71" s="30" t="inlineStr">
        <is>
          <t>19.01.2052</t>
        </is>
      </c>
      <c r="G71" s="30" t="inlineStr">
        <is>
          <t>China</t>
        </is>
      </c>
      <c r="H71" s="30" t="inlineStr">
        <is>
          <t>Communications</t>
        </is>
      </c>
      <c r="I71" s="30" t="n">
        <v>200</v>
      </c>
      <c r="J71" s="30" t="n">
        <v>77.074</v>
      </c>
      <c r="K71" s="30" t="n">
        <v>6.878167</v>
      </c>
      <c r="L71" s="30" t="n">
        <v>-0.024939</v>
      </c>
      <c r="M71" s="30" t="n">
        <v>-0.22328</v>
      </c>
      <c r="N71" s="30" t="n">
        <v>203.9253189</v>
      </c>
      <c r="O71" s="30" t="n">
        <v>13.01877143</v>
      </c>
      <c r="P71" s="30" t="n">
        <v>50</v>
      </c>
      <c r="Q71" s="30" t="inlineStr">
        <is>
          <t>Firm which invests in internet, digital media and technology companies</t>
        </is>
      </c>
      <c r="R71" s="30" t="inlineStr">
        <is>
          <t>USD</t>
        </is>
      </c>
      <c r="S71" s="30" t="inlineStr">
        <is>
          <t>Investment Grade</t>
        </is>
      </c>
      <c r="T71" s="30" t="inlineStr">
        <is>
          <t>BBB</t>
        </is>
      </c>
      <c r="U71" s="30" t="inlineStr">
        <is>
          <t>BBB</t>
        </is>
      </c>
      <c r="V71" s="30" t="n"/>
    </row>
    <row r="72">
      <c r="A72" s="30" t="inlineStr">
        <is>
          <t>XS2313088739</t>
        </is>
      </c>
      <c r="B72" s="30" t="inlineStr">
        <is>
          <t xml:space="preserve">Hold </t>
        </is>
      </c>
      <c r="C72" s="30" t="inlineStr">
        <is>
          <t>Japfa Comfeed Tbk Pt</t>
        </is>
      </c>
      <c r="D72" s="30" t="n">
        <v>5.375</v>
      </c>
      <c r="E72" s="30" t="inlineStr">
        <is>
          <t>Sr Unsecured</t>
        </is>
      </c>
      <c r="F72" s="30" t="inlineStr">
        <is>
          <t>23.03.2026</t>
        </is>
      </c>
      <c r="G72" s="30" t="inlineStr">
        <is>
          <t>Indonesia</t>
        </is>
      </c>
      <c r="H72" s="30" t="inlineStr">
        <is>
          <t>Consumer, Non-cyclical</t>
        </is>
      </c>
      <c r="I72" s="30" t="n">
        <v>200</v>
      </c>
      <c r="J72" s="30" t="n">
        <v>99.467</v>
      </c>
      <c r="K72" s="30" t="n">
        <v>6.143987</v>
      </c>
      <c r="L72" s="30" t="n">
        <v>-0.757748</v>
      </c>
      <c r="M72" s="30" t="n">
        <v>-0.839659</v>
      </c>
      <c r="N72" s="30" t="n">
        <v>203.6252894</v>
      </c>
      <c r="O72" s="30" t="n">
        <v>1.008846526</v>
      </c>
      <c r="P72" s="30" t="n">
        <v>20</v>
      </c>
      <c r="Q72" s="30" t="inlineStr">
        <is>
          <t>Manufactures animal feed, breeds and processes chickens. Farms</t>
        </is>
      </c>
      <c r="R72" s="30" t="inlineStr">
        <is>
          <t>USD</t>
        </is>
      </c>
      <c r="S72" s="30" t="inlineStr">
        <is>
          <t>High Yield</t>
        </is>
      </c>
      <c r="T72" s="30" t="inlineStr">
        <is>
          <t>B+</t>
        </is>
      </c>
      <c r="U72" s="30" t="inlineStr">
        <is>
          <t>B+</t>
        </is>
      </c>
      <c r="V72" s="30" t="n"/>
    </row>
    <row r="73">
      <c r="A73" s="30" t="inlineStr">
        <is>
          <t>XS1680281133</t>
        </is>
      </c>
      <c r="B73" s="30" t="inlineStr">
        <is>
          <t xml:space="preserve">Hold </t>
        </is>
      </c>
      <c r="C73" s="30" t="inlineStr">
        <is>
          <t>Kronos International Inc</t>
        </is>
      </c>
      <c r="D73" s="30" t="n">
        <v>3.75</v>
      </c>
      <c r="E73" s="30" t="inlineStr">
        <is>
          <t>1St Lien</t>
        </is>
      </c>
      <c r="F73" s="30" t="inlineStr">
        <is>
          <t>15.09.2025</t>
        </is>
      </c>
      <c r="G73" s="30" t="inlineStr">
        <is>
          <t>United states</t>
        </is>
      </c>
      <c r="H73" s="30" t="inlineStr">
        <is>
          <t>Basic Materials</t>
        </is>
      </c>
      <c r="I73" s="30" t="n">
        <v>100</v>
      </c>
      <c r="J73" s="30" t="n">
        <v>99.965</v>
      </c>
      <c r="K73" s="30" t="n">
        <v>3.961303</v>
      </c>
      <c r="L73" s="30" t="n">
        <v>1.020499</v>
      </c>
      <c r="M73" s="30" t="n">
        <v>1.951067</v>
      </c>
      <c r="N73" s="30" t="n">
        <v>203.1880308</v>
      </c>
      <c r="O73" s="30" t="n">
        <v>0.07751013599999999</v>
      </c>
      <c r="P73" s="30" t="n">
        <v>25</v>
      </c>
      <c r="Q73" s="30" t="inlineStr">
        <is>
          <t xml:space="preserve">One of the major producer of Titanium dioxyde </t>
        </is>
      </c>
      <c r="R73" s="30" t="inlineStr">
        <is>
          <t>EUR</t>
        </is>
      </c>
      <c r="S73" s="30" t="inlineStr">
        <is>
          <t>High Yield</t>
        </is>
      </c>
      <c r="T73" s="30" t="inlineStr">
        <is>
          <t>BB-</t>
        </is>
      </c>
      <c r="U73" s="30" t="inlineStr">
        <is>
          <t>B+</t>
        </is>
      </c>
      <c r="V73" s="30" t="n"/>
    </row>
    <row r="74">
      <c r="A74" s="30" t="inlineStr">
        <is>
          <t>USP5015VAQ97</t>
        </is>
      </c>
      <c r="B74" s="30" t="inlineStr">
        <is>
          <t xml:space="preserve">Hold </t>
        </is>
      </c>
      <c r="C74" s="30" t="inlineStr">
        <is>
          <t>Republic Of Guatemala</t>
        </is>
      </c>
      <c r="D74" s="30" t="n">
        <v>6.6</v>
      </c>
      <c r="E74" s="30" t="inlineStr">
        <is>
          <t>Sr Unsecured</t>
        </is>
      </c>
      <c r="F74" s="30" t="inlineStr">
        <is>
          <t>13.06.2036</t>
        </is>
      </c>
      <c r="G74" s="30" t="inlineStr">
        <is>
          <t>Guatemala</t>
        </is>
      </c>
      <c r="H74" s="30" t="inlineStr">
        <is>
          <t>Government</t>
        </is>
      </c>
      <c r="I74" s="30" t="n">
        <v>200</v>
      </c>
      <c r="J74" s="30" t="n">
        <v>102.024</v>
      </c>
      <c r="K74" s="30" t="n">
        <v>6.336187</v>
      </c>
      <c r="L74" s="30" t="n">
        <v>-0.049166</v>
      </c>
      <c r="M74" s="30" t="n">
        <v>-0.146806</v>
      </c>
      <c r="N74" s="30" t="n">
        <v>197.6702942</v>
      </c>
      <c r="O74" s="30" t="n">
        <v>7.302863528</v>
      </c>
      <c r="P74" s="30" t="n">
        <v>0</v>
      </c>
      <c r="Q74" s="30" t="inlineStr">
        <is>
          <t>Guatemala government bond</t>
        </is>
      </c>
      <c r="R74" s="30" t="inlineStr">
        <is>
          <t>USD</t>
        </is>
      </c>
      <c r="S74" s="30" t="inlineStr">
        <is>
          <t>Latin America</t>
        </is>
      </c>
      <c r="T74" s="30" t="inlineStr">
        <is>
          <t>BB</t>
        </is>
      </c>
      <c r="U74" s="30" t="inlineStr">
        <is>
          <t>BB</t>
        </is>
      </c>
      <c r="V74" s="30" t="n"/>
    </row>
    <row r="75">
      <c r="A75" s="30" t="inlineStr">
        <is>
          <t>XS2571923007</t>
        </is>
      </c>
      <c r="B75" s="30" t="inlineStr">
        <is>
          <t xml:space="preserve">Hold </t>
        </is>
      </c>
      <c r="C75" s="30" t="inlineStr">
        <is>
          <t>Romania</t>
        </is>
      </c>
      <c r="D75" s="30" t="n">
        <v>7.125</v>
      </c>
      <c r="E75" s="30" t="inlineStr">
        <is>
          <t>Sr Unsecured</t>
        </is>
      </c>
      <c r="F75" s="30" t="inlineStr">
        <is>
          <t>17.01.2033</t>
        </is>
      </c>
      <c r="G75" s="30" t="inlineStr">
        <is>
          <t>Romania</t>
        </is>
      </c>
      <c r="H75" s="30" t="inlineStr">
        <is>
          <t>Government</t>
        </is>
      </c>
      <c r="I75" s="30" t="n">
        <v>2</v>
      </c>
      <c r="J75" s="30" t="n">
        <v>105.972</v>
      </c>
      <c r="K75" s="30" t="n">
        <v>6.122034</v>
      </c>
      <c r="L75" s="30" t="n">
        <v>-0.238835</v>
      </c>
      <c r="M75" s="30" t="n">
        <v>-0.54481</v>
      </c>
      <c r="N75" s="30" t="n">
        <v>196.4851942</v>
      </c>
      <c r="O75" s="30" t="n">
        <v>5.947122966</v>
      </c>
      <c r="P75" s="30" t="n">
        <v>60</v>
      </c>
      <c r="Q75" s="30" t="inlineStr">
        <is>
          <t>Romanian government bond</t>
        </is>
      </c>
      <c r="R75" s="30" t="inlineStr">
        <is>
          <t>USD</t>
        </is>
      </c>
      <c r="S75" s="30" t="inlineStr">
        <is>
          <t>Investment Grade</t>
        </is>
      </c>
      <c r="T75" s="30" t="inlineStr">
        <is>
          <t>BBB-</t>
        </is>
      </c>
      <c r="U75" s="30" t="inlineStr">
        <is>
          <t>BBB-</t>
        </is>
      </c>
      <c r="V75" s="30" t="n"/>
    </row>
    <row r="76">
      <c r="A76" s="30" t="inlineStr">
        <is>
          <t>XS2327392234</t>
        </is>
      </c>
      <c r="B76" s="30" t="inlineStr">
        <is>
          <t>Top pick</t>
        </is>
      </c>
      <c r="C76" s="30" t="inlineStr">
        <is>
          <t>Pt Pakuwon Jati</t>
        </is>
      </c>
      <c r="D76" s="30" t="n">
        <v>4.875</v>
      </c>
      <c r="E76" s="30" t="inlineStr">
        <is>
          <t>Sr Unsecured</t>
        </is>
      </c>
      <c r="F76" s="30" t="inlineStr">
        <is>
          <t>29.04.2028</t>
        </is>
      </c>
      <c r="G76" s="30" t="inlineStr">
        <is>
          <t>Indonesia</t>
        </is>
      </c>
      <c r="H76" s="30" t="inlineStr">
        <is>
          <t>Financial</t>
        </is>
      </c>
      <c r="I76" s="30" t="n">
        <v>200</v>
      </c>
      <c r="J76" s="30" t="n">
        <v>97.667</v>
      </c>
      <c r="K76" s="30" t="n">
        <v>5.784581</v>
      </c>
      <c r="L76" s="30" t="n">
        <v>-0.079388</v>
      </c>
      <c r="M76" s="30" t="n">
        <v>-0.27618</v>
      </c>
      <c r="N76" s="30" t="n">
        <v>194.3321245</v>
      </c>
      <c r="O76" s="30" t="n">
        <v>2.847891063</v>
      </c>
      <c r="P76" s="30" t="n">
        <v>25</v>
      </c>
      <c r="Q76" s="30" t="inlineStr">
        <is>
          <t>One of the leading property developers in Indonesia</t>
        </is>
      </c>
      <c r="R76" s="30" t="inlineStr">
        <is>
          <t>USD</t>
        </is>
      </c>
      <c r="S76" s="30" t="inlineStr">
        <is>
          <t>High Yield</t>
        </is>
      </c>
      <c r="T76" s="30" t="inlineStr">
        <is>
          <t>BB+</t>
        </is>
      </c>
      <c r="U76" s="30" t="inlineStr">
        <is>
          <t>BB+</t>
        </is>
      </c>
      <c r="V76" s="30" t="n"/>
    </row>
    <row r="77">
      <c r="A77" s="30" t="inlineStr">
        <is>
          <t>XS2497520887</t>
        </is>
      </c>
      <c r="B77" s="30" t="inlineStr">
        <is>
          <t>Hold</t>
        </is>
      </c>
      <c r="C77" s="30" t="inlineStr">
        <is>
          <t>Celanese Us Holdings Llc</t>
        </is>
      </c>
      <c r="D77" s="30" t="n">
        <v>5.587</v>
      </c>
      <c r="E77" s="30" t="inlineStr">
        <is>
          <t>Sr Unsecured</t>
        </is>
      </c>
      <c r="F77" s="30" t="inlineStr">
        <is>
          <t>19.01.2029</t>
        </is>
      </c>
      <c r="G77" s="30" t="inlineStr">
        <is>
          <t>United states</t>
        </is>
      </c>
      <c r="H77" s="30" t="inlineStr">
        <is>
          <t>Basic Materials</t>
        </is>
      </c>
      <c r="I77" s="30" t="n">
        <v>100</v>
      </c>
      <c r="J77" s="30" t="n">
        <v>105.46</v>
      </c>
      <c r="K77" s="30" t="n">
        <v>4.023579</v>
      </c>
      <c r="L77" s="30" t="n">
        <v>0.013404</v>
      </c>
      <c r="M77" s="30" t="n">
        <v>-0.146054</v>
      </c>
      <c r="N77" s="30" t="n">
        <v>194.0147143</v>
      </c>
      <c r="O77" s="30" t="n">
        <v>3.332489672</v>
      </c>
      <c r="P77" s="30" t="n">
        <v>60</v>
      </c>
      <c r="Q77" s="30" t="inlineStr">
        <is>
          <t>Celanese US Holdings LLC operates as a chemical company.</t>
        </is>
      </c>
      <c r="R77" s="30" t="inlineStr">
        <is>
          <t>EUR</t>
        </is>
      </c>
      <c r="S77" s="30" t="inlineStr">
        <is>
          <t>Investment Grade</t>
        </is>
      </c>
      <c r="T77" s="30" t="inlineStr">
        <is>
          <t>BB+</t>
        </is>
      </c>
      <c r="U77" s="30" t="inlineStr">
        <is>
          <t>BB+</t>
        </is>
      </c>
      <c r="V77" s="30" t="n"/>
    </row>
    <row r="78">
      <c r="A78" s="30" t="inlineStr">
        <is>
          <t>USP7372BAA19</t>
        </is>
      </c>
      <c r="B78" s="30" t="inlineStr">
        <is>
          <t xml:space="preserve">Hold </t>
        </is>
      </c>
      <c r="C78" s="30" t="inlineStr">
        <is>
          <t>Orazul Energy Peru Sa</t>
        </is>
      </c>
      <c r="D78" s="30" t="n">
        <v>5.625</v>
      </c>
      <c r="E78" s="30" t="inlineStr">
        <is>
          <t>Sr Unsecured</t>
        </is>
      </c>
      <c r="F78" s="30" t="inlineStr">
        <is>
          <t>28.04.2027</t>
        </is>
      </c>
      <c r="G78" s="30" t="inlineStr">
        <is>
          <t>Peru</t>
        </is>
      </c>
      <c r="H78" s="30" t="inlineStr">
        <is>
          <t>Utilities</t>
        </is>
      </c>
      <c r="I78" s="30" t="n">
        <v>200</v>
      </c>
      <c r="J78" s="30" t="n">
        <v>99.29000000000001</v>
      </c>
      <c r="K78" s="30" t="n">
        <v>6.040076</v>
      </c>
      <c r="L78" s="30" t="n">
        <v>-0.199493</v>
      </c>
      <c r="M78" s="30" t="n">
        <v>-0.525858</v>
      </c>
      <c r="N78" s="30" t="n">
        <v>193.2125731</v>
      </c>
      <c r="O78" s="30" t="n">
        <v>1.989707347</v>
      </c>
      <c r="P78" s="30" t="n">
        <v>0</v>
      </c>
      <c r="Q78" s="30" t="inlineStr">
        <is>
          <t>Utility company</t>
        </is>
      </c>
      <c r="R78" s="30" t="inlineStr">
        <is>
          <t>USD</t>
        </is>
      </c>
      <c r="S78" s="30" t="inlineStr">
        <is>
          <t>Latin America</t>
        </is>
      </c>
      <c r="T78" s="30" t="inlineStr">
        <is>
          <t>NR</t>
        </is>
      </c>
      <c r="U78" s="30" t="inlineStr">
        <is>
          <t>BB-</t>
        </is>
      </c>
      <c r="V78" s="30" t="n"/>
    </row>
    <row r="79">
      <c r="A79" s="30" t="inlineStr">
        <is>
          <t>XS2810168737</t>
        </is>
      </c>
      <c r="B79" s="30" t="inlineStr">
        <is>
          <t xml:space="preserve">Hold </t>
        </is>
      </c>
      <c r="C79" s="30" t="inlineStr">
        <is>
          <t>Office Cherifien Des Pho</t>
        </is>
      </c>
      <c r="D79" s="30" t="n">
        <v>6.75</v>
      </c>
      <c r="E79" s="30" t="inlineStr">
        <is>
          <t>Sr Unsecured</t>
        </is>
      </c>
      <c r="F79" s="30" t="inlineStr">
        <is>
          <t>02.05.2034</t>
        </is>
      </c>
      <c r="G79" s="30" t="inlineStr">
        <is>
          <t>Morocco</t>
        </is>
      </c>
      <c r="H79" s="30" t="inlineStr">
        <is>
          <t>Basic Materials</t>
        </is>
      </c>
      <c r="I79" s="30" t="n">
        <v>200</v>
      </c>
      <c r="J79" s="30" t="n">
        <v>103.843</v>
      </c>
      <c r="K79" s="30" t="n">
        <v>6.165032</v>
      </c>
      <c r="L79" s="30" t="n">
        <v>-0.041919</v>
      </c>
      <c r="M79" s="30" t="n">
        <v>-0.333949</v>
      </c>
      <c r="N79" s="30" t="n">
        <v>189.6099091</v>
      </c>
      <c r="O79" s="30" t="n">
        <v>6.536999048</v>
      </c>
      <c r="P79" s="30" t="n">
        <v>0</v>
      </c>
      <c r="Q79" s="30" t="inlineStr">
        <is>
          <t xml:space="preserve">Moroccan state-owned fertiliser company </t>
        </is>
      </c>
      <c r="R79" s="30" t="inlineStr">
        <is>
          <t>USD</t>
        </is>
      </c>
      <c r="S79" s="30" t="inlineStr">
        <is>
          <t>High Yield</t>
        </is>
      </c>
      <c r="T79" s="30" t="inlineStr">
        <is>
          <t>BB+</t>
        </is>
      </c>
      <c r="U79" s="30" t="inlineStr">
        <is>
          <t>BB+</t>
        </is>
      </c>
      <c r="V79" s="30" t="n"/>
    </row>
    <row r="80">
      <c r="A80" s="30" t="inlineStr">
        <is>
          <t>US83368TBS69</t>
        </is>
      </c>
      <c r="B80" s="30" t="inlineStr">
        <is>
          <t>Hold</t>
        </is>
      </c>
      <c r="C80" s="30" t="inlineStr">
        <is>
          <t>Societe Generale</t>
        </is>
      </c>
      <c r="D80" s="30" t="n">
        <v>6.691</v>
      </c>
      <c r="E80" s="30" t="inlineStr">
        <is>
          <t>Sr Non Preferred</t>
        </is>
      </c>
      <c r="F80" s="30" t="inlineStr">
        <is>
          <t>10.01.2034</t>
        </is>
      </c>
      <c r="G80" s="30" t="inlineStr">
        <is>
          <t>France</t>
        </is>
      </c>
      <c r="H80" s="30" t="inlineStr">
        <is>
          <t>Financial</t>
        </is>
      </c>
      <c r="I80" s="30" t="n">
        <v>200</v>
      </c>
      <c r="J80" s="30" t="n">
        <v>106.732</v>
      </c>
      <c r="K80" s="30" t="n">
        <v>5.580777</v>
      </c>
      <c r="L80" s="30" t="n">
        <v>-0.056183</v>
      </c>
      <c r="M80" s="30" t="n">
        <v>-0.215642</v>
      </c>
      <c r="N80" s="30" t="n">
        <v>188.802909</v>
      </c>
      <c r="O80" s="30" t="n">
        <v>6.079919283</v>
      </c>
      <c r="P80" s="30" t="n">
        <v>50</v>
      </c>
      <c r="Q80" s="30" t="inlineStr">
        <is>
          <t>One of the largest banks in Europe</t>
        </is>
      </c>
      <c r="R80" s="30" t="inlineStr">
        <is>
          <t>USD</t>
        </is>
      </c>
      <c r="S80" s="30" t="inlineStr">
        <is>
          <t>Investment Grade</t>
        </is>
      </c>
      <c r="T80" s="30" t="inlineStr">
        <is>
          <t>BBB</t>
        </is>
      </c>
      <c r="U80" s="30" t="inlineStr">
        <is>
          <t>BBB</t>
        </is>
      </c>
      <c r="V80" s="30" t="n"/>
    </row>
    <row r="81">
      <c r="A81" s="30" t="inlineStr">
        <is>
          <t>USP5300PAB96</t>
        </is>
      </c>
      <c r="B81" s="30" t="inlineStr">
        <is>
          <t xml:space="preserve">Hold </t>
        </is>
      </c>
      <c r="C81" s="30" t="inlineStr">
        <is>
          <t>Hunt Oil Co Of Peru</t>
        </is>
      </c>
      <c r="D81" s="30" t="n">
        <v>6.375</v>
      </c>
      <c r="E81" s="30" t="inlineStr">
        <is>
          <t>Sr Unsecured</t>
        </is>
      </c>
      <c r="F81" s="30" t="inlineStr">
        <is>
          <t>01.06.2028</t>
        </is>
      </c>
      <c r="G81" s="30" t="inlineStr">
        <is>
          <t>Peru</t>
        </is>
      </c>
      <c r="H81" s="30" t="inlineStr">
        <is>
          <t>Energy</t>
        </is>
      </c>
      <c r="I81" s="30" t="n">
        <v>200</v>
      </c>
      <c r="J81" s="30" t="n">
        <v>101.408</v>
      </c>
      <c r="K81" s="30" t="n">
        <v>5.830297</v>
      </c>
      <c r="L81" s="30" t="n">
        <v>-0.027683</v>
      </c>
      <c r="M81" s="30" t="n">
        <v>-0.021876</v>
      </c>
      <c r="N81" s="30" t="n">
        <v>187.8592729</v>
      </c>
      <c r="O81" s="30" t="n">
        <v>2.361716209</v>
      </c>
      <c r="P81" s="30" t="n">
        <v>0</v>
      </c>
      <c r="Q81" s="30" t="inlineStr">
        <is>
          <t xml:space="preserve">Oil and gas company </t>
        </is>
      </c>
      <c r="R81" s="30" t="inlineStr">
        <is>
          <t>USD</t>
        </is>
      </c>
      <c r="S81" s="30" t="inlineStr">
        <is>
          <t>Latin America</t>
        </is>
      </c>
      <c r="T81" s="30" t="inlineStr">
        <is>
          <t>BBB-</t>
        </is>
      </c>
      <c r="U81" s="30" t="inlineStr">
        <is>
          <t>BBB-</t>
        </is>
      </c>
      <c r="V81" s="30" t="n"/>
    </row>
    <row r="82">
      <c r="A82" s="30" t="inlineStr">
        <is>
          <t>XS0835891838</t>
        </is>
      </c>
      <c r="B82" s="30" t="inlineStr">
        <is>
          <t>Hold</t>
        </is>
      </c>
      <c r="C82" s="30" t="inlineStr">
        <is>
          <t>Petrobras Global Finance</t>
        </is>
      </c>
      <c r="D82" s="30" t="n">
        <v>5.375</v>
      </c>
      <c r="E82" s="30" t="inlineStr">
        <is>
          <t>Sr Unsecured</t>
        </is>
      </c>
      <c r="F82" s="30" t="inlineStr">
        <is>
          <t>01.10.2029</t>
        </is>
      </c>
      <c r="G82" s="30" t="inlineStr">
        <is>
          <t>Brazil</t>
        </is>
      </c>
      <c r="H82" s="30" t="inlineStr">
        <is>
          <t>Energy</t>
        </is>
      </c>
      <c r="I82" s="30" t="n">
        <v>100</v>
      </c>
      <c r="J82" s="30" t="n">
        <v>98.496</v>
      </c>
      <c r="K82" s="30" t="n">
        <v>5.697399</v>
      </c>
      <c r="L82" s="30" t="n">
        <v>-0.060704</v>
      </c>
      <c r="M82" s="30" t="n">
        <v>-0.17297</v>
      </c>
      <c r="N82" s="30" t="n">
        <v>184.6785302</v>
      </c>
      <c r="O82" s="30" t="n">
        <v>3.888874519</v>
      </c>
      <c r="P82" s="30" t="n">
        <v>0</v>
      </c>
      <c r="Q82" s="30" t="inlineStr">
        <is>
          <t>7th largest commercial bank in Brazil, 50% owned by Banco do Brasil</t>
        </is>
      </c>
      <c r="R82" s="30" t="inlineStr">
        <is>
          <t>GBP</t>
        </is>
      </c>
      <c r="S82" s="30" t="inlineStr">
        <is>
          <t>Latin America</t>
        </is>
      </c>
      <c r="T82" s="30" t="inlineStr">
        <is>
          <t>BB</t>
        </is>
      </c>
      <c r="U82" s="30" t="inlineStr">
        <is>
          <t>BB</t>
        </is>
      </c>
      <c r="V82" s="30" t="n"/>
    </row>
    <row r="83">
      <c r="A83" s="30" t="inlineStr">
        <is>
          <t>USG98239AA72</t>
        </is>
      </c>
      <c r="B83" s="30" t="inlineStr">
        <is>
          <t xml:space="preserve">Hold </t>
        </is>
      </c>
      <c r="C83" s="30" t="inlineStr">
        <is>
          <t>Xp Inc</t>
        </is>
      </c>
      <c r="D83" s="30" t="n">
        <v>3.25</v>
      </c>
      <c r="E83" s="30" t="inlineStr">
        <is>
          <t>Sr Unsecured</t>
        </is>
      </c>
      <c r="F83" s="30" t="inlineStr">
        <is>
          <t>01.07.2026</t>
        </is>
      </c>
      <c r="G83" s="30" t="inlineStr">
        <is>
          <t>Brazil</t>
        </is>
      </c>
      <c r="H83" s="30" t="inlineStr">
        <is>
          <t>Financial</t>
        </is>
      </c>
      <c r="I83" s="30" t="n">
        <v>200</v>
      </c>
      <c r="J83" s="30" t="n">
        <v>97.544</v>
      </c>
      <c r="K83" s="30" t="n">
        <v>5.861359</v>
      </c>
      <c r="L83" s="30" t="n">
        <v>0.038731</v>
      </c>
      <c r="M83" s="30" t="n">
        <v>0.004807</v>
      </c>
      <c r="N83" s="30" t="n">
        <v>183.7821738</v>
      </c>
      <c r="O83" s="30" t="n">
        <v>1.302818418</v>
      </c>
      <c r="P83" s="30" t="n">
        <v>25</v>
      </c>
      <c r="Q83" s="30" t="inlineStr">
        <is>
          <t>XP Inc operates as an investment management company in Brazil.</t>
        </is>
      </c>
      <c r="R83" s="30" t="inlineStr">
        <is>
          <t>USD</t>
        </is>
      </c>
      <c r="S83" s="30" t="inlineStr">
        <is>
          <t>Latin America</t>
        </is>
      </c>
      <c r="T83" s="30" t="inlineStr">
        <is>
          <t>BB</t>
        </is>
      </c>
      <c r="U83" s="30" t="inlineStr">
        <is>
          <t>BB</t>
        </is>
      </c>
      <c r="V83" s="30" t="n"/>
    </row>
    <row r="84">
      <c r="A84" s="30" t="inlineStr">
        <is>
          <t>XS2892967782</t>
        </is>
      </c>
      <c r="B84" s="30" t="inlineStr">
        <is>
          <t xml:space="preserve">Hold </t>
        </is>
      </c>
      <c r="C84" s="30" t="inlineStr">
        <is>
          <t>Ford Motor Credit Co Llc</t>
        </is>
      </c>
      <c r="D84" s="30" t="n">
        <v>5.78</v>
      </c>
      <c r="E84" s="30" t="inlineStr">
        <is>
          <t>Sr Unsecured</t>
        </is>
      </c>
      <c r="F84" s="30" t="inlineStr">
        <is>
          <t>30.04.2030</t>
        </is>
      </c>
      <c r="G84" s="30" t="inlineStr">
        <is>
          <t>United states</t>
        </is>
      </c>
      <c r="H84" s="30" t="inlineStr">
        <is>
          <t>Consumer, Cyclical</t>
        </is>
      </c>
      <c r="I84" s="30" t="n">
        <v>100</v>
      </c>
      <c r="J84" s="30" t="n">
        <v>99.821</v>
      </c>
      <c r="K84" s="30" t="n">
        <v>5.735472</v>
      </c>
      <c r="L84" s="30" t="n">
        <v>-0.03513</v>
      </c>
      <c r="M84" s="30" t="n">
        <v>-0.234187</v>
      </c>
      <c r="N84" s="30" t="n">
        <v>182.3661589</v>
      </c>
      <c r="O84" s="30" t="n">
        <v>4.237344931</v>
      </c>
      <c r="P84" s="30" t="n">
        <v>0</v>
      </c>
      <c r="Q84" s="30" t="inlineStr">
        <is>
          <t>Global automotive manufacturer</t>
        </is>
      </c>
      <c r="R84" s="30" t="inlineStr">
        <is>
          <t>GBP</t>
        </is>
      </c>
      <c r="S84" s="30" t="inlineStr">
        <is>
          <t>Investment Grade</t>
        </is>
      </c>
      <c r="T84" s="30" t="inlineStr">
        <is>
          <t>BB+</t>
        </is>
      </c>
      <c r="U84" s="30" t="inlineStr">
        <is>
          <t>BB+</t>
        </is>
      </c>
      <c r="V84" s="30" t="n"/>
    </row>
    <row r="85">
      <c r="A85" s="30" t="inlineStr">
        <is>
          <t>USG0R209AB68</t>
        </is>
      </c>
      <c r="B85" s="30" t="inlineStr">
        <is>
          <t xml:space="preserve">Not accumulate </t>
        </is>
      </c>
      <c r="C85" s="30" t="inlineStr">
        <is>
          <t>American Airlines/Aadvan</t>
        </is>
      </c>
      <c r="D85" s="30" t="n">
        <v>5.75</v>
      </c>
      <c r="E85" s="30" t="inlineStr">
        <is>
          <t>1St Lien</t>
        </is>
      </c>
      <c r="F85" s="30" t="inlineStr">
        <is>
          <t>20.04.2029</t>
        </is>
      </c>
      <c r="G85" s="30" t="inlineStr">
        <is>
          <t>United states</t>
        </is>
      </c>
      <c r="H85" s="30" t="inlineStr">
        <is>
          <t>Consumer, Cyclical</t>
        </is>
      </c>
      <c r="I85" s="30" t="n">
        <v>2</v>
      </c>
      <c r="J85" s="30" t="n">
        <v>100.219</v>
      </c>
      <c r="K85" s="30" t="n">
        <v>5.725174</v>
      </c>
      <c r="L85" s="30" t="n">
        <v>-0.07818600000000001</v>
      </c>
      <c r="M85" s="30" t="n">
        <v>-0.408754</v>
      </c>
      <c r="N85" s="30" t="n">
        <v>182.0466888</v>
      </c>
      <c r="O85" s="30" t="n">
        <v>2.529812363</v>
      </c>
      <c r="P85" s="30" t="n">
        <v>25</v>
      </c>
      <c r="Q85" s="30" t="inlineStr">
        <is>
          <t>One of the largest global airlines</t>
        </is>
      </c>
      <c r="R85" s="30" t="inlineStr">
        <is>
          <t>USD</t>
        </is>
      </c>
      <c r="S85" s="30" t="inlineStr">
        <is>
          <t>High Yield</t>
        </is>
      </c>
      <c r="T85" s="30" t="inlineStr">
        <is>
          <t>BB+</t>
        </is>
      </c>
      <c r="U85" s="30" t="inlineStr">
        <is>
          <t>BB+</t>
        </is>
      </c>
      <c r="V85" s="30" t="n"/>
    </row>
    <row r="86">
      <c r="A86" s="30" t="inlineStr">
        <is>
          <t>USY2R40TAB40</t>
        </is>
      </c>
      <c r="B86" s="30" t="inlineStr">
        <is>
          <t>Top pick</t>
        </is>
      </c>
      <c r="C86" s="30" t="inlineStr">
        <is>
          <t>Delhi Intl Airport</t>
        </is>
      </c>
      <c r="D86" s="30" t="n">
        <v>6.45</v>
      </c>
      <c r="E86" s="30" t="inlineStr">
        <is>
          <t>1St Lien</t>
        </is>
      </c>
      <c r="F86" s="30" t="inlineStr">
        <is>
          <t>04.06.2029</t>
        </is>
      </c>
      <c r="G86" s="30" t="inlineStr">
        <is>
          <t>India</t>
        </is>
      </c>
      <c r="H86" s="30" t="inlineStr">
        <is>
          <t>Industrial</t>
        </is>
      </c>
      <c r="I86" s="30" t="n">
        <v>200</v>
      </c>
      <c r="J86" s="30" t="n">
        <v>102.594</v>
      </c>
      <c r="K86" s="30" t="n">
        <v>5.697657</v>
      </c>
      <c r="L86" s="30" t="n">
        <v>-0.037973</v>
      </c>
      <c r="M86" s="30" t="n">
        <v>-0.228979</v>
      </c>
      <c r="N86" s="30" t="n">
        <v>181.1290995</v>
      </c>
      <c r="O86" s="30" t="n">
        <v>3.663335695</v>
      </c>
      <c r="P86" s="30" t="n">
        <v>10</v>
      </c>
      <c r="Q86" s="30" t="inlineStr">
        <is>
          <t>Buiest airport in India</t>
        </is>
      </c>
      <c r="R86" s="30" t="inlineStr">
        <is>
          <t>USD</t>
        </is>
      </c>
      <c r="S86" s="30" t="inlineStr">
        <is>
          <t>High Yield</t>
        </is>
      </c>
      <c r="T86" s="30" t="inlineStr">
        <is>
          <t>BB</t>
        </is>
      </c>
      <c r="U86" s="30" t="inlineStr">
        <is>
          <t>B+</t>
        </is>
      </c>
      <c r="V86" s="30" t="n"/>
    </row>
    <row r="87">
      <c r="A87" s="30" t="inlineStr">
        <is>
          <t>USP01703AD22</t>
        </is>
      </c>
      <c r="B87" s="30" t="inlineStr">
        <is>
          <t xml:space="preserve">Hold </t>
        </is>
      </c>
      <c r="C87" s="30" t="inlineStr">
        <is>
          <t>Alpek Sa De Cv</t>
        </is>
      </c>
      <c r="D87" s="30" t="n">
        <v>3.25</v>
      </c>
      <c r="E87" s="30" t="inlineStr">
        <is>
          <t>Sr Unsecured</t>
        </is>
      </c>
      <c r="F87" s="30" t="inlineStr">
        <is>
          <t>25.02.2031</t>
        </is>
      </c>
      <c r="G87" s="30" t="inlineStr">
        <is>
          <t>Mexico</t>
        </is>
      </c>
      <c r="H87" s="30" t="inlineStr">
        <is>
          <t>Basic Materials</t>
        </is>
      </c>
      <c r="I87" s="30" t="n">
        <v>200</v>
      </c>
      <c r="J87" s="30" t="n">
        <v>87.848</v>
      </c>
      <c r="K87" s="30" t="n">
        <v>5.81035</v>
      </c>
      <c r="L87" s="30" t="n">
        <v>-0.05169</v>
      </c>
      <c r="M87" s="30" t="n">
        <v>-0.370759</v>
      </c>
      <c r="N87" s="30" t="n">
        <v>180.180118</v>
      </c>
      <c r="O87" s="30" t="n">
        <v>5.203272079</v>
      </c>
      <c r="P87" s="30" t="n">
        <v>10</v>
      </c>
      <c r="Q87" s="30" t="inlineStr">
        <is>
          <t>One of the largest PET and PTA producers in the Americas</t>
        </is>
      </c>
      <c r="R87" s="30" t="inlineStr">
        <is>
          <t>USD</t>
        </is>
      </c>
      <c r="S87" s="30" t="inlineStr">
        <is>
          <t>Latin America</t>
        </is>
      </c>
      <c r="T87" s="30" t="inlineStr">
        <is>
          <t>BBB-</t>
        </is>
      </c>
      <c r="U87" s="30" t="inlineStr">
        <is>
          <t>BBB-</t>
        </is>
      </c>
      <c r="V87" s="30" t="n"/>
    </row>
    <row r="88">
      <c r="A88" s="30" t="inlineStr">
        <is>
          <t>US87901JAJ43</t>
        </is>
      </c>
      <c r="B88" s="30" t="inlineStr">
        <is>
          <t>Hold</t>
        </is>
      </c>
      <c r="C88" s="30" t="inlineStr">
        <is>
          <t>Tegna Inc</t>
        </is>
      </c>
      <c r="D88" s="30" t="n">
        <v>4.625</v>
      </c>
      <c r="E88" s="30" t="inlineStr">
        <is>
          <t>Sr Unsecured</t>
        </is>
      </c>
      <c r="F88" s="30" t="inlineStr">
        <is>
          <t>15.03.2028</t>
        </is>
      </c>
      <c r="G88" s="30" t="inlineStr">
        <is>
          <t>United states</t>
        </is>
      </c>
      <c r="H88" s="30" t="inlineStr">
        <is>
          <t>Communications</t>
        </is>
      </c>
      <c r="I88" s="30" t="n">
        <v>2</v>
      </c>
      <c r="J88" s="30" t="n">
        <v>97.35299999999999</v>
      </c>
      <c r="K88" s="30" t="n">
        <v>5.698433</v>
      </c>
      <c r="L88" s="30" t="n">
        <v>-0.004773</v>
      </c>
      <c r="M88" s="30" t="n">
        <v>-0.170433</v>
      </c>
      <c r="N88" s="30" t="n">
        <v>180.0618935</v>
      </c>
      <c r="O88" s="30" t="n">
        <v>2.751688882</v>
      </c>
      <c r="P88" s="30" t="n">
        <v>25</v>
      </c>
      <c r="Q88" s="30" t="inlineStr">
        <is>
          <t>a broadcasting, digital media and marketing services company</t>
        </is>
      </c>
      <c r="R88" s="30" t="inlineStr">
        <is>
          <t>USD</t>
        </is>
      </c>
      <c r="S88" s="30" t="inlineStr">
        <is>
          <t>High Yield</t>
        </is>
      </c>
      <c r="T88" s="30" t="inlineStr">
        <is>
          <t>BB</t>
        </is>
      </c>
      <c r="U88" s="30" t="inlineStr">
        <is>
          <t>BB</t>
        </is>
      </c>
      <c r="V88" s="30" t="n"/>
    </row>
    <row r="89">
      <c r="A89" s="30" t="inlineStr">
        <is>
          <t>US105756BB58</t>
        </is>
      </c>
      <c r="B89" s="30" t="inlineStr">
        <is>
          <t xml:space="preserve">Hold </t>
        </is>
      </c>
      <c r="C89" s="30" t="inlineStr">
        <is>
          <t>Fed Republic Of Brazil</t>
        </is>
      </c>
      <c r="D89" s="30" t="n">
        <v>8.25</v>
      </c>
      <c r="E89" s="30" t="inlineStr">
        <is>
          <t>Sr Unsecured</t>
        </is>
      </c>
      <c r="F89" s="30" t="inlineStr">
        <is>
          <t>20.01.2034</t>
        </is>
      </c>
      <c r="G89" s="30" t="inlineStr">
        <is>
          <t>Brazil</t>
        </is>
      </c>
      <c r="H89" s="30" t="inlineStr">
        <is>
          <t>Government</t>
        </is>
      </c>
      <c r="I89" s="30" t="n">
        <v>1</v>
      </c>
      <c r="J89" s="30" t="n">
        <v>114.686</v>
      </c>
      <c r="K89" s="30" t="n">
        <v>6.023098</v>
      </c>
      <c r="L89" s="30" t="n">
        <v>-0.150171</v>
      </c>
      <c r="M89" s="30" t="n">
        <v>-0.297749</v>
      </c>
      <c r="N89" s="30" t="n">
        <v>179.4062382</v>
      </c>
      <c r="O89" s="30" t="n">
        <v>6.381138427</v>
      </c>
      <c r="P89" s="30" t="n">
        <v>0</v>
      </c>
      <c r="Q89" s="30" t="inlineStr">
        <is>
          <t>Brazilian Governemnt</t>
        </is>
      </c>
      <c r="R89" s="30" t="inlineStr">
        <is>
          <t>USD</t>
        </is>
      </c>
      <c r="S89" s="30" t="inlineStr">
        <is>
          <t>Latin America</t>
        </is>
      </c>
      <c r="T89" s="30" t="inlineStr">
        <is>
          <t>BB</t>
        </is>
      </c>
      <c r="U89" s="30" t="inlineStr">
        <is>
          <t>BB</t>
        </is>
      </c>
      <c r="V89" s="30" t="n"/>
    </row>
    <row r="90">
      <c r="A90" s="30" t="inlineStr">
        <is>
          <t>USL67359AB21</t>
        </is>
      </c>
      <c r="B90" s="30" t="inlineStr">
        <is>
          <t>Top Pick</t>
        </is>
      </c>
      <c r="C90" s="30" t="inlineStr">
        <is>
          <t>Nexa Resources Sa</t>
        </is>
      </c>
      <c r="D90" s="30" t="n">
        <v>6.75</v>
      </c>
      <c r="E90" s="30" t="inlineStr">
        <is>
          <t>Sr Unsecured</t>
        </is>
      </c>
      <c r="F90" s="30" t="inlineStr">
        <is>
          <t>09.04.2034</t>
        </is>
      </c>
      <c r="G90" s="30" t="inlineStr">
        <is>
          <t>Brazil</t>
        </is>
      </c>
      <c r="H90" s="30" t="inlineStr">
        <is>
          <t>Basic Materials</t>
        </is>
      </c>
      <c r="I90" s="30" t="n">
        <v>200</v>
      </c>
      <c r="J90" s="30" t="n">
        <v>104.618</v>
      </c>
      <c r="K90" s="30" t="n">
        <v>6.046529</v>
      </c>
      <c r="L90" s="30" t="n">
        <v>-0.025476</v>
      </c>
      <c r="M90" s="30" t="n">
        <v>-0.221303</v>
      </c>
      <c r="N90" s="30" t="n">
        <v>178.290988</v>
      </c>
      <c r="O90" s="30" t="n">
        <v>6.497300345</v>
      </c>
      <c r="P90" s="30" t="n">
        <v>30</v>
      </c>
      <c r="Q90" s="30" t="inlineStr">
        <is>
          <t xml:space="preserve">Mining company </t>
        </is>
      </c>
      <c r="R90" s="30" t="inlineStr">
        <is>
          <t>USD</t>
        </is>
      </c>
      <c r="S90" s="30" t="inlineStr">
        <is>
          <t>Latin America</t>
        </is>
      </c>
      <c r="T90" s="30" t="inlineStr">
        <is>
          <t>BBB-</t>
        </is>
      </c>
      <c r="U90" s="30" t="inlineStr">
        <is>
          <t>BBB-</t>
        </is>
      </c>
      <c r="V90" s="30" t="n"/>
    </row>
    <row r="91">
      <c r="A91" s="30" t="inlineStr">
        <is>
          <t>XS2744491106</t>
        </is>
      </c>
      <c r="B91" s="30" t="inlineStr">
        <is>
          <t xml:space="preserve">Hold </t>
        </is>
      </c>
      <c r="C91" s="30" t="inlineStr">
        <is>
          <t>Ford Motor Credit Co Llc</t>
        </is>
      </c>
      <c r="D91" s="30" t="n">
        <v>5.625</v>
      </c>
      <c r="E91" s="30" t="inlineStr">
        <is>
          <t>Sr Unsecured</t>
        </is>
      </c>
      <c r="F91" s="30" t="inlineStr">
        <is>
          <t>09.10.2028</t>
        </is>
      </c>
      <c r="G91" s="30" t="inlineStr">
        <is>
          <t>United states</t>
        </is>
      </c>
      <c r="H91" s="30" t="inlineStr">
        <is>
          <t>Consumer, Cyclical</t>
        </is>
      </c>
      <c r="I91" s="30" t="n">
        <v>100</v>
      </c>
      <c r="J91" s="30" t="n">
        <v>99.971</v>
      </c>
      <c r="K91" s="30" t="n">
        <v>5.548502</v>
      </c>
      <c r="L91" s="30" t="n">
        <v>-0.027205</v>
      </c>
      <c r="M91" s="30" t="n">
        <v>-0.260873</v>
      </c>
      <c r="N91" s="30" t="n">
        <v>178.1543047</v>
      </c>
      <c r="O91" s="30" t="n">
        <v>3.134103484</v>
      </c>
      <c r="P91" s="30" t="n">
        <v>0</v>
      </c>
      <c r="Q91" s="30" t="inlineStr">
        <is>
          <t>Global automotive manufacturer</t>
        </is>
      </c>
      <c r="R91" s="30" t="inlineStr">
        <is>
          <t>GBP</t>
        </is>
      </c>
      <c r="S91" s="30" t="inlineStr">
        <is>
          <t>Investment Grade</t>
        </is>
      </c>
      <c r="T91" s="30" t="inlineStr">
        <is>
          <t>BB+</t>
        </is>
      </c>
      <c r="U91" s="30" t="inlineStr">
        <is>
          <t>BB+</t>
        </is>
      </c>
      <c r="V91" s="30" t="n"/>
    </row>
    <row r="92">
      <c r="A92" s="30" t="inlineStr">
        <is>
          <t>USU85861AE97</t>
        </is>
      </c>
      <c r="B92" s="30" t="inlineStr">
        <is>
          <t>Hold</t>
        </is>
      </c>
      <c r="C92" s="30" t="inlineStr">
        <is>
          <t>Stellantis Fin Us Inc</t>
        </is>
      </c>
      <c r="D92" s="30" t="n">
        <v>6.375</v>
      </c>
      <c r="E92" s="30" t="inlineStr">
        <is>
          <t>Sr Unsecured</t>
        </is>
      </c>
      <c r="F92" s="30" t="inlineStr">
        <is>
          <t>12.09.2032</t>
        </is>
      </c>
      <c r="G92" s="30" t="inlineStr">
        <is>
          <t>United states</t>
        </is>
      </c>
      <c r="H92" s="30" t="inlineStr">
        <is>
          <t>Consumer, Cyclical</t>
        </is>
      </c>
      <c r="I92" s="30" t="n">
        <v>200</v>
      </c>
      <c r="J92" s="30" t="n">
        <v>102.608</v>
      </c>
      <c r="K92" s="30" t="n">
        <v>5.910342</v>
      </c>
      <c r="L92" s="30" t="n">
        <v>-0.033149</v>
      </c>
      <c r="M92" s="30" t="n">
        <v>-0.257</v>
      </c>
      <c r="N92" s="30" t="n">
        <v>176.9881946</v>
      </c>
      <c r="O92" s="30" t="n">
        <v>5.646385402</v>
      </c>
      <c r="P92" s="30" t="n">
        <v>75</v>
      </c>
      <c r="Q92" s="30" t="inlineStr">
        <is>
          <t>Developer and Manufacturer of automotive products</t>
        </is>
      </c>
      <c r="R92" s="30" t="inlineStr">
        <is>
          <t>USD</t>
        </is>
      </c>
      <c r="S92" s="30" t="inlineStr">
        <is>
          <t>Investment Grade</t>
        </is>
      </c>
      <c r="T92" s="30" t="inlineStr">
        <is>
          <t>BBB</t>
        </is>
      </c>
      <c r="U92" s="30" t="inlineStr">
        <is>
          <t>BBB+</t>
        </is>
      </c>
      <c r="V92" s="30" t="n"/>
    </row>
    <row r="93">
      <c r="A93" s="30" t="inlineStr">
        <is>
          <t>XS2954187378</t>
        </is>
      </c>
      <c r="B93" s="30" t="inlineStr">
        <is>
          <t xml:space="preserve">Top Pick </t>
        </is>
      </c>
      <c r="C93" s="30" t="inlineStr">
        <is>
          <t>Asmodee Group Ab</t>
        </is>
      </c>
      <c r="D93" s="30" t="n">
        <v>5.75</v>
      </c>
      <c r="E93" s="30" t="inlineStr">
        <is>
          <t>Secured</t>
        </is>
      </c>
      <c r="F93" s="30" t="inlineStr">
        <is>
          <t>15.12.2029</t>
        </is>
      </c>
      <c r="G93" s="30" t="inlineStr">
        <is>
          <t>Sweden</t>
        </is>
      </c>
      <c r="H93" s="30" t="inlineStr">
        <is>
          <t>Technology</t>
        </is>
      </c>
      <c r="I93" s="30" t="n">
        <v>100</v>
      </c>
      <c r="J93" s="30" t="n">
        <v>105.061</v>
      </c>
      <c r="K93" s="30" t="n">
        <v>4.07891</v>
      </c>
      <c r="L93" s="30" t="n">
        <v>-0.173413</v>
      </c>
      <c r="M93" s="30" t="n">
        <v>0.003392</v>
      </c>
      <c r="N93" s="30" t="n">
        <v>176.7473474</v>
      </c>
      <c r="O93" s="30" t="n">
        <v>2.558442062</v>
      </c>
      <c r="P93" s="30" t="n">
        <v>0</v>
      </c>
      <c r="Q93" s="30" t="inlineStr">
        <is>
          <t xml:space="preserve">Europe's leading board games company   </t>
        </is>
      </c>
      <c r="R93" s="30" t="inlineStr">
        <is>
          <t>EUR</t>
        </is>
      </c>
      <c r="S93" s="30" t="inlineStr">
        <is>
          <t>High Yield</t>
        </is>
      </c>
      <c r="T93" s="30" t="inlineStr">
        <is>
          <t>B+</t>
        </is>
      </c>
      <c r="U93" s="30" t="inlineStr">
        <is>
          <t>B</t>
        </is>
      </c>
      <c r="V93" s="30" t="n"/>
    </row>
    <row r="94">
      <c r="A94" s="30" t="inlineStr">
        <is>
          <t>USQ3919KAN11</t>
        </is>
      </c>
      <c r="B94" s="30" t="inlineStr">
        <is>
          <t>Hold</t>
        </is>
      </c>
      <c r="C94" s="30" t="inlineStr">
        <is>
          <t>Fmg Resources Aug 2006</t>
        </is>
      </c>
      <c r="D94" s="30" t="n">
        <v>4.375</v>
      </c>
      <c r="E94" s="30" t="inlineStr">
        <is>
          <t>Sr Unsecured</t>
        </is>
      </c>
      <c r="F94" s="30" t="inlineStr">
        <is>
          <t>01.04.2031</t>
        </is>
      </c>
      <c r="G94" s="30" t="inlineStr">
        <is>
          <t>Australia</t>
        </is>
      </c>
      <c r="H94" s="30" t="inlineStr">
        <is>
          <t>Basic Materials</t>
        </is>
      </c>
      <c r="I94" s="30" t="n">
        <v>2</v>
      </c>
      <c r="J94" s="30" t="n">
        <v>93.20999999999999</v>
      </c>
      <c r="K94" s="30" t="n">
        <v>5.782293</v>
      </c>
      <c r="L94" s="30" t="n">
        <v>-0.06764000000000001</v>
      </c>
      <c r="M94" s="30" t="n">
        <v>-0.30673</v>
      </c>
      <c r="N94" s="30" t="n">
        <v>176.5514227</v>
      </c>
      <c r="O94" s="30" t="n">
        <v>5.13898583</v>
      </c>
      <c r="P94" s="30" t="n">
        <v>15</v>
      </c>
      <c r="Q94" s="30" t="inlineStr">
        <is>
          <t xml:space="preserve">Iron ore producer and explorer operating in the Western Australia. </t>
        </is>
      </c>
      <c r="R94" s="30" t="inlineStr">
        <is>
          <t>USD</t>
        </is>
      </c>
      <c r="S94" s="30" t="inlineStr">
        <is>
          <t>High Yield</t>
        </is>
      </c>
      <c r="T94" s="30" t="inlineStr">
        <is>
          <t>BB+</t>
        </is>
      </c>
      <c r="U94" s="30" t="inlineStr">
        <is>
          <t>BB+</t>
        </is>
      </c>
      <c r="V94" s="30" t="n"/>
    </row>
    <row r="95">
      <c r="A95" s="30" t="inlineStr">
        <is>
          <t>XS2355149316</t>
        </is>
      </c>
      <c r="B95" s="30" t="inlineStr">
        <is>
          <t>Top pick</t>
        </is>
      </c>
      <c r="C95" s="30" t="inlineStr">
        <is>
          <t>Office Cherifien Des Pho</t>
        </is>
      </c>
      <c r="D95" s="30" t="n">
        <v>3.75</v>
      </c>
      <c r="E95" s="30" t="inlineStr">
        <is>
          <t>Sr Unsecured</t>
        </is>
      </c>
      <c r="F95" s="30" t="inlineStr">
        <is>
          <t>23.06.2031</t>
        </is>
      </c>
      <c r="G95" s="30" t="inlineStr">
        <is>
          <t>Morocco</t>
        </is>
      </c>
      <c r="H95" s="30" t="inlineStr">
        <is>
          <t>Basic Materials</t>
        </is>
      </c>
      <c r="I95" s="30" t="n">
        <v>200</v>
      </c>
      <c r="J95" s="30" t="n">
        <v>89.849</v>
      </c>
      <c r="K95" s="30" t="n">
        <v>5.788902</v>
      </c>
      <c r="L95" s="30" t="n">
        <v>-0.043937</v>
      </c>
      <c r="M95" s="30" t="n">
        <v>-0.234765</v>
      </c>
      <c r="N95" s="30" t="n">
        <v>175.3141624</v>
      </c>
      <c r="O95" s="30" t="n">
        <v>5.432645783</v>
      </c>
      <c r="P95" s="30" t="n">
        <v>0</v>
      </c>
      <c r="Q95" s="30" t="inlineStr">
        <is>
          <t xml:space="preserve">Moroccan state-owned fertiliser company </t>
        </is>
      </c>
      <c r="R95" s="30" t="inlineStr">
        <is>
          <t>USD</t>
        </is>
      </c>
      <c r="S95" s="30" t="inlineStr">
        <is>
          <t>High Yield</t>
        </is>
      </c>
      <c r="T95" s="30" t="inlineStr">
        <is>
          <t>BB+</t>
        </is>
      </c>
      <c r="U95" s="30" t="inlineStr">
        <is>
          <t>BB+</t>
        </is>
      </c>
      <c r="V95" s="30" t="n"/>
    </row>
    <row r="96">
      <c r="A96" s="30" t="inlineStr">
        <is>
          <t>USP3691NBM13</t>
        </is>
      </c>
      <c r="B96" s="30" t="inlineStr">
        <is>
          <t xml:space="preserve">Hold </t>
        </is>
      </c>
      <c r="C96" s="30" t="inlineStr">
        <is>
          <t>El Puerto De Liverpool</t>
        </is>
      </c>
      <c r="D96" s="30" t="n">
        <v>6.658</v>
      </c>
      <c r="E96" s="30" t="inlineStr">
        <is>
          <t>Sr Unsecured</t>
        </is>
      </c>
      <c r="F96" s="30" t="inlineStr">
        <is>
          <t>22.01.2037</t>
        </is>
      </c>
      <c r="G96" s="30" t="inlineStr">
        <is>
          <t>Mexico</t>
        </is>
      </c>
      <c r="H96" s="30" t="inlineStr">
        <is>
          <t>Consumer, Cyclical</t>
        </is>
      </c>
      <c r="I96" s="30" t="n">
        <v>200</v>
      </c>
      <c r="J96" s="30" t="n">
        <v>103.677</v>
      </c>
      <c r="K96" s="30" t="n">
        <v>6.200603</v>
      </c>
      <c r="L96" s="30" t="n">
        <v>-0.064457</v>
      </c>
      <c r="M96" s="30" t="n">
        <v>-0.274396</v>
      </c>
      <c r="N96" s="30" t="n">
        <v>172.3946443</v>
      </c>
      <c r="O96" s="30" t="n">
        <v>8.013896978</v>
      </c>
      <c r="P96" s="30" t="n">
        <v>0</v>
      </c>
      <c r="Q96" s="30" t="inlineStr">
        <is>
          <t xml:space="preserve">Department store operator and owner in Mexico </t>
        </is>
      </c>
      <c r="R96" s="30" t="inlineStr">
        <is>
          <t>USD</t>
        </is>
      </c>
      <c r="S96" s="30" t="inlineStr">
        <is>
          <t>Latin America</t>
        </is>
      </c>
      <c r="T96" s="30" t="inlineStr">
        <is>
          <t>BBB</t>
        </is>
      </c>
      <c r="U96" s="30" t="inlineStr">
        <is>
          <t>BBB</t>
        </is>
      </c>
      <c r="V96" s="30" t="n"/>
    </row>
    <row r="97">
      <c r="A97" s="30" t="inlineStr">
        <is>
          <t>US105756BK57</t>
        </is>
      </c>
      <c r="B97" s="30" t="inlineStr">
        <is>
          <t>Hold</t>
        </is>
      </c>
      <c r="C97" s="30" t="inlineStr">
        <is>
          <t>Fed Republic Of Brazil</t>
        </is>
      </c>
      <c r="D97" s="30" t="n">
        <v>7.125</v>
      </c>
      <c r="E97" s="30" t="inlineStr">
        <is>
          <t>Sr Unsecured</t>
        </is>
      </c>
      <c r="F97" s="30" t="inlineStr">
        <is>
          <t>20.01.2037</t>
        </is>
      </c>
      <c r="G97" s="30" t="inlineStr">
        <is>
          <t>Brazil</t>
        </is>
      </c>
      <c r="H97" s="30" t="inlineStr">
        <is>
          <t>Government</t>
        </is>
      </c>
      <c r="I97" s="30" t="n">
        <v>1</v>
      </c>
      <c r="J97" s="30" t="n">
        <v>107.78</v>
      </c>
      <c r="K97" s="30" t="n">
        <v>6.1717</v>
      </c>
      <c r="L97" s="30" t="n">
        <v>-0.130649</v>
      </c>
      <c r="M97" s="30" t="n">
        <v>-0.42075</v>
      </c>
      <c r="N97" s="30" t="n">
        <v>170.9341306</v>
      </c>
      <c r="O97" s="30" t="n">
        <v>8.031789166999999</v>
      </c>
      <c r="P97" s="30" t="n">
        <v>0</v>
      </c>
      <c r="Q97" s="30" t="inlineStr">
        <is>
          <t>Brazilian Governemnt</t>
        </is>
      </c>
      <c r="R97" s="30" t="inlineStr">
        <is>
          <t>USD</t>
        </is>
      </c>
      <c r="S97" s="30" t="inlineStr">
        <is>
          <t>Latin America</t>
        </is>
      </c>
      <c r="T97" s="30" t="inlineStr">
        <is>
          <t>BB</t>
        </is>
      </c>
      <c r="U97" s="30" t="inlineStr">
        <is>
          <t>BB</t>
        </is>
      </c>
      <c r="V97" s="30" t="n"/>
    </row>
    <row r="98">
      <c r="A98" s="30" t="inlineStr">
        <is>
          <t>XS2201851172</t>
        </is>
      </c>
      <c r="B98" s="30" t="inlineStr">
        <is>
          <t>Hold</t>
        </is>
      </c>
      <c r="C98" s="30" t="inlineStr">
        <is>
          <t>Romania</t>
        </is>
      </c>
      <c r="D98" s="30" t="n">
        <v>3</v>
      </c>
      <c r="E98" s="30" t="inlineStr">
        <is>
          <t>Sr Unsecured</t>
        </is>
      </c>
      <c r="F98" s="30" t="inlineStr">
        <is>
          <t>14.02.2031</t>
        </is>
      </c>
      <c r="G98" s="30" t="inlineStr">
        <is>
          <t>Romania</t>
        </is>
      </c>
      <c r="H98" s="30" t="inlineStr">
        <is>
          <t>Government</t>
        </is>
      </c>
      <c r="I98" s="30" t="n">
        <v>2</v>
      </c>
      <c r="J98" s="30" t="n">
        <v>87.169</v>
      </c>
      <c r="K98" s="30" t="n">
        <v>5.709544</v>
      </c>
      <c r="L98" s="30" t="n">
        <v>-0.300009</v>
      </c>
      <c r="M98" s="30" t="n">
        <v>-0.549834</v>
      </c>
      <c r="N98" s="30" t="n">
        <v>170.3708827</v>
      </c>
      <c r="O98" s="30" t="n">
        <v>5.282385684</v>
      </c>
      <c r="P98" s="30" t="n">
        <v>85</v>
      </c>
      <c r="Q98" s="30" t="inlineStr">
        <is>
          <t>Romania government bmnd</t>
        </is>
      </c>
      <c r="R98" s="30" t="inlineStr">
        <is>
          <t>USD</t>
        </is>
      </c>
      <c r="S98" s="30" t="inlineStr">
        <is>
          <t>Investment Grade</t>
        </is>
      </c>
      <c r="T98" s="30" t="inlineStr">
        <is>
          <t>BBB-</t>
        </is>
      </c>
      <c r="U98" s="30" t="inlineStr">
        <is>
          <t>BBB-</t>
        </is>
      </c>
      <c r="V98" s="30" t="n"/>
    </row>
    <row r="99">
      <c r="A99" s="30" t="inlineStr">
        <is>
          <t>US91087BAV27</t>
        </is>
      </c>
      <c r="B99" s="30" t="inlineStr">
        <is>
          <t>Top pick</t>
        </is>
      </c>
      <c r="C99" s="30" t="inlineStr">
        <is>
          <t>United Mexican States</t>
        </is>
      </c>
      <c r="D99" s="30" t="n">
        <v>6.35</v>
      </c>
      <c r="E99" s="30" t="inlineStr">
        <is>
          <t>Sr Unsecured</t>
        </is>
      </c>
      <c r="F99" s="30" t="inlineStr">
        <is>
          <t>09.02.2035</t>
        </is>
      </c>
      <c r="G99" s="30" t="inlineStr">
        <is>
          <t>Mexico</t>
        </is>
      </c>
      <c r="H99" s="30" t="inlineStr">
        <is>
          <t>Government</t>
        </is>
      </c>
      <c r="I99" s="30" t="n">
        <v>200</v>
      </c>
      <c r="J99" s="30" t="n">
        <v>102.409</v>
      </c>
      <c r="K99" s="30" t="n">
        <v>6.009104</v>
      </c>
      <c r="L99" s="30" t="n">
        <v>-0.061791</v>
      </c>
      <c r="M99" s="30" t="n">
        <v>-0.293045</v>
      </c>
      <c r="N99" s="30" t="n">
        <v>168.634294</v>
      </c>
      <c r="O99" s="30" t="n">
        <v>7.27734163</v>
      </c>
      <c r="P99" s="30" t="n">
        <v>60</v>
      </c>
      <c r="Q99" s="30" t="inlineStr">
        <is>
          <t>Mexican Government</t>
        </is>
      </c>
      <c r="R99" s="30" t="inlineStr">
        <is>
          <t>USD</t>
        </is>
      </c>
      <c r="S99" s="30" t="inlineStr">
        <is>
          <t>Latin America</t>
        </is>
      </c>
      <c r="T99" s="30" t="inlineStr">
        <is>
          <t>BBB-</t>
        </is>
      </c>
      <c r="U99" s="30" t="inlineStr">
        <is>
          <t>BBB-</t>
        </is>
      </c>
      <c r="V99" s="30" t="n"/>
    </row>
    <row r="100">
      <c r="A100" s="30" t="inlineStr">
        <is>
          <t>US382550BN08</t>
        </is>
      </c>
      <c r="B100" s="30" t="inlineStr">
        <is>
          <t>Hold</t>
        </is>
      </c>
      <c r="C100" s="30" t="inlineStr">
        <is>
          <t>Goodyear Tire &amp; Rubber</t>
        </is>
      </c>
      <c r="D100" s="30" t="n">
        <v>5</v>
      </c>
      <c r="E100" s="30" t="inlineStr">
        <is>
          <t>Sr Unsecured</t>
        </is>
      </c>
      <c r="F100" s="30" t="inlineStr">
        <is>
          <t>15.07.2029</t>
        </is>
      </c>
      <c r="G100" s="30" t="inlineStr">
        <is>
          <t>United states</t>
        </is>
      </c>
      <c r="H100" s="30" t="inlineStr">
        <is>
          <t>Consumer, Cyclical</t>
        </is>
      </c>
      <c r="I100" s="30" t="n">
        <v>2</v>
      </c>
      <c r="J100" s="30" t="n">
        <v>97.872</v>
      </c>
      <c r="K100" s="30" t="n">
        <v>5.597919</v>
      </c>
      <c r="L100" s="30" t="n">
        <v>-0.182602</v>
      </c>
      <c r="M100" s="30" t="n">
        <v>-0.506236</v>
      </c>
      <c r="N100" s="30" t="n">
        <v>168.5825604</v>
      </c>
      <c r="O100" s="30" t="n">
        <v>3.849820571</v>
      </c>
      <c r="P100" s="30" t="n">
        <v>25</v>
      </c>
      <c r="Q100" s="30" t="inlineStr">
        <is>
          <t>Develops, distributes and sells tires</t>
        </is>
      </c>
      <c r="R100" s="30" t="inlineStr">
        <is>
          <t>USD</t>
        </is>
      </c>
      <c r="S100" s="30" t="inlineStr">
        <is>
          <t>High Yield</t>
        </is>
      </c>
      <c r="T100" s="30" t="inlineStr">
        <is>
          <t>B+</t>
        </is>
      </c>
      <c r="U100" s="30" t="inlineStr">
        <is>
          <t>B+</t>
        </is>
      </c>
      <c r="V100" s="30" t="n"/>
    </row>
    <row r="101">
      <c r="A101" s="30" t="inlineStr">
        <is>
          <t>XS2767246908</t>
        </is>
      </c>
      <c r="B101" s="30" t="inlineStr">
        <is>
          <t>Top Pick</t>
        </is>
      </c>
      <c r="C101" s="30" t="inlineStr">
        <is>
          <t>Ford Motor Credit Co Llc</t>
        </is>
      </c>
      <c r="D101" s="30" t="n">
        <v>4.445</v>
      </c>
      <c r="E101" s="30" t="inlineStr">
        <is>
          <t>Sr Unsecured</t>
        </is>
      </c>
      <c r="F101" s="30" t="inlineStr">
        <is>
          <t>14.02.2030</t>
        </is>
      </c>
      <c r="G101" s="30" t="inlineStr">
        <is>
          <t>United states</t>
        </is>
      </c>
      <c r="H101" s="30" t="inlineStr">
        <is>
          <t>Consumer, Cyclical</t>
        </is>
      </c>
      <c r="I101" s="30" t="n">
        <v>100</v>
      </c>
      <c r="J101" s="30" t="n">
        <v>102.09</v>
      </c>
      <c r="K101" s="30" t="n">
        <v>3.934515</v>
      </c>
      <c r="L101" s="30" t="n">
        <v>-0.158767</v>
      </c>
      <c r="M101" s="30" t="n">
        <v>-0.102363</v>
      </c>
      <c r="N101" s="30" t="n">
        <v>168.4316339</v>
      </c>
      <c r="O101" s="30" t="n">
        <v>4.398137725</v>
      </c>
      <c r="P101" s="30" t="n">
        <v>25</v>
      </c>
      <c r="Q101" s="30" t="inlineStr">
        <is>
          <t>Global automotive manufacturer</t>
        </is>
      </c>
      <c r="R101" s="30" t="inlineStr">
        <is>
          <t>EUR</t>
        </is>
      </c>
      <c r="S101" s="30" t="inlineStr">
        <is>
          <t>Investment Grade</t>
        </is>
      </c>
      <c r="T101" s="30" t="inlineStr">
        <is>
          <t>BB+</t>
        </is>
      </c>
      <c r="U101" s="30" t="inlineStr">
        <is>
          <t>BB+</t>
        </is>
      </c>
      <c r="V101" s="30" t="n"/>
    </row>
    <row r="102">
      <c r="A102" s="30" t="inlineStr">
        <is>
          <t>USU85861AB58</t>
        </is>
      </c>
      <c r="B102" s="30" t="inlineStr">
        <is>
          <t xml:space="preserve">Hold </t>
        </is>
      </c>
      <c r="C102" s="30" t="inlineStr">
        <is>
          <t>Stellantis Fin Us Inc</t>
        </is>
      </c>
      <c r="D102" s="30" t="n">
        <v>2.691</v>
      </c>
      <c r="E102" s="30" t="inlineStr">
        <is>
          <t>Sr Unsecured</t>
        </is>
      </c>
      <c r="F102" s="30" t="inlineStr">
        <is>
          <t>15.09.2031</t>
        </is>
      </c>
      <c r="G102" s="30" t="inlineStr">
        <is>
          <t>United states</t>
        </is>
      </c>
      <c r="H102" s="30" t="inlineStr">
        <is>
          <t>Consumer, Cyclical</t>
        </is>
      </c>
      <c r="I102" s="30" t="n">
        <v>200</v>
      </c>
      <c r="J102" s="30" t="n">
        <v>84.309</v>
      </c>
      <c r="K102" s="30" t="n">
        <v>5.739342</v>
      </c>
      <c r="L102" s="30" t="n">
        <v>-0.011271</v>
      </c>
      <c r="M102" s="30" t="n">
        <v>-0.277327</v>
      </c>
      <c r="N102" s="30" t="n">
        <v>167.8062417</v>
      </c>
      <c r="O102" s="30" t="n">
        <v>5.751709256</v>
      </c>
      <c r="P102" s="30" t="n">
        <v>25</v>
      </c>
      <c r="Q102" s="30" t="inlineStr">
        <is>
          <t>Developer and Manufacturer of automotive products</t>
        </is>
      </c>
      <c r="R102" s="30" t="inlineStr">
        <is>
          <t>USD</t>
        </is>
      </c>
      <c r="S102" s="30" t="inlineStr">
        <is>
          <t>Investment Grade</t>
        </is>
      </c>
      <c r="T102" s="30" t="inlineStr">
        <is>
          <t>BBB</t>
        </is>
      </c>
      <c r="U102" s="30" t="inlineStr">
        <is>
          <t>BBB+</t>
        </is>
      </c>
      <c r="V102" s="30" t="n"/>
    </row>
    <row r="103">
      <c r="A103" s="30" t="inlineStr">
        <is>
          <t>US05971KAL35</t>
        </is>
      </c>
      <c r="B103" s="30" t="inlineStr">
        <is>
          <t>Hold</t>
        </is>
      </c>
      <c r="C103" s="30" t="inlineStr">
        <is>
          <t>Banco Santander Sa</t>
        </is>
      </c>
      <c r="D103" s="30" t="n">
        <v>3.225</v>
      </c>
      <c r="E103" s="30" t="inlineStr">
        <is>
          <t>Subordinated</t>
        </is>
      </c>
      <c r="F103" s="30" t="inlineStr">
        <is>
          <t>22.11.2032</t>
        </is>
      </c>
      <c r="G103" s="30" t="inlineStr">
        <is>
          <t>Spain</t>
        </is>
      </c>
      <c r="H103" s="30" t="inlineStr">
        <is>
          <t>Financial</t>
        </is>
      </c>
      <c r="I103" s="30" t="n">
        <v>200</v>
      </c>
      <c r="J103" s="30" t="n">
        <v>89.29900000000001</v>
      </c>
      <c r="K103" s="30" t="n">
        <v>5.219957</v>
      </c>
      <c r="L103" s="30" t="n">
        <v>0.04307</v>
      </c>
      <c r="M103" s="30" t="n">
        <v>-0.260679</v>
      </c>
      <c r="N103" s="30" t="n">
        <v>167.1290424</v>
      </c>
      <c r="O103" s="30" t="n">
        <v>5.850624378</v>
      </c>
      <c r="P103" s="30" t="n">
        <v>50</v>
      </c>
      <c r="Q103" s="30" t="inlineStr">
        <is>
          <t>Spain's largest banking group</t>
        </is>
      </c>
      <c r="R103" s="30" t="inlineStr">
        <is>
          <t>USD</t>
        </is>
      </c>
      <c r="S103" s="30" t="inlineStr">
        <is>
          <t>Investment Grade</t>
        </is>
      </c>
      <c r="T103" s="30" t="inlineStr">
        <is>
          <t>BBB</t>
        </is>
      </c>
      <c r="U103" s="30" t="inlineStr">
        <is>
          <t>BBB</t>
        </is>
      </c>
      <c r="V103" s="30" t="n"/>
    </row>
    <row r="104">
      <c r="A104" s="30" t="inlineStr">
        <is>
          <t>US05584KAM09</t>
        </is>
      </c>
      <c r="B104" s="30" t="inlineStr">
        <is>
          <t>Hold</t>
        </is>
      </c>
      <c r="C104" s="30" t="inlineStr">
        <is>
          <t>Bpce Sa</t>
        </is>
      </c>
      <c r="D104" s="30" t="n">
        <v>5.748</v>
      </c>
      <c r="E104" s="30" t="inlineStr">
        <is>
          <t>Sr Non Preferred</t>
        </is>
      </c>
      <c r="F104" s="30" t="inlineStr">
        <is>
          <t>19.07.2033</t>
        </is>
      </c>
      <c r="G104" s="30" t="inlineStr">
        <is>
          <t>France</t>
        </is>
      </c>
      <c r="H104" s="30" t="inlineStr">
        <is>
          <t>Financial</t>
        </is>
      </c>
      <c r="I104" s="30" t="n">
        <v>250</v>
      </c>
      <c r="J104" s="30" t="n">
        <v>102.397</v>
      </c>
      <c r="K104" s="30" t="n">
        <v>5.334206</v>
      </c>
      <c r="L104" s="30" t="n">
        <v>-0.054772</v>
      </c>
      <c r="M104" s="30" t="n">
        <v>-0.190111</v>
      </c>
      <c r="N104" s="30" t="n">
        <v>166.7484846</v>
      </c>
      <c r="O104" s="30" t="n">
        <v>5.939055216</v>
      </c>
      <c r="P104" s="30" t="n">
        <v>60</v>
      </c>
      <c r="Q104" s="30" t="inlineStr">
        <is>
          <t>One of the largest French retail banks</t>
        </is>
      </c>
      <c r="R104" s="30" t="inlineStr">
        <is>
          <t>USD</t>
        </is>
      </c>
      <c r="S104" s="30" t="inlineStr">
        <is>
          <t>Investment Grade</t>
        </is>
      </c>
      <c r="T104" s="30" t="inlineStr">
        <is>
          <t>BBB+</t>
        </is>
      </c>
      <c r="U104" s="30" t="inlineStr">
        <is>
          <t>BBB+</t>
        </is>
      </c>
      <c r="V104" s="30" t="n"/>
    </row>
    <row r="105">
      <c r="A105" s="30" t="inlineStr">
        <is>
          <t>XS2592804194</t>
        </is>
      </c>
      <c r="B105" s="30" t="inlineStr">
        <is>
          <t>Hold</t>
        </is>
      </c>
      <c r="C105" s="30" t="inlineStr">
        <is>
          <t>Teva Pharm Fnc Nl Ii</t>
        </is>
      </c>
      <c r="D105" s="30" t="n">
        <v>7.875</v>
      </c>
      <c r="E105" s="30" t="inlineStr">
        <is>
          <t>Sr Unsecured</t>
        </is>
      </c>
      <c r="F105" s="30" t="inlineStr">
        <is>
          <t>15.09.2031</t>
        </is>
      </c>
      <c r="G105" s="30" t="inlineStr">
        <is>
          <t>Israel</t>
        </is>
      </c>
      <c r="H105" s="30" t="inlineStr">
        <is>
          <t>Consumer, Non-cyclical</t>
        </is>
      </c>
      <c r="I105" s="30" t="n">
        <v>100</v>
      </c>
      <c r="J105" s="30" t="n">
        <v>119.979</v>
      </c>
      <c r="K105" s="30" t="n">
        <v>4.093662</v>
      </c>
      <c r="L105" s="30" t="n">
        <v>-0.077168</v>
      </c>
      <c r="M105" s="30" t="n">
        <v>0.065176</v>
      </c>
      <c r="N105" s="30" t="n">
        <v>166.6044248</v>
      </c>
      <c r="O105" s="30" t="n">
        <v>4.985398916</v>
      </c>
      <c r="P105" s="30" t="n">
        <v>0</v>
      </c>
      <c r="Q105" s="30" t="inlineStr">
        <is>
          <t>Largest manufacturer of pharmaceutical generics</t>
        </is>
      </c>
      <c r="R105" s="30" t="inlineStr">
        <is>
          <t>EUR</t>
        </is>
      </c>
      <c r="S105" s="30" t="inlineStr">
        <is>
          <t>High Yield</t>
        </is>
      </c>
      <c r="T105" s="30" t="inlineStr">
        <is>
          <t>BB</t>
        </is>
      </c>
      <c r="U105" s="30" t="inlineStr">
        <is>
          <t>BB</t>
        </is>
      </c>
      <c r="V105" s="30" t="n"/>
    </row>
    <row r="106">
      <c r="A106" s="30" t="inlineStr">
        <is>
          <t>USP2000TAE57</t>
        </is>
      </c>
      <c r="B106" s="30" t="inlineStr">
        <is>
          <t>Hold</t>
        </is>
      </c>
      <c r="C106" s="30" t="inlineStr">
        <is>
          <t>Banco Do Brasil (Cayman)</t>
        </is>
      </c>
      <c r="D106" s="30" t="n">
        <v>6</v>
      </c>
      <c r="E106" s="30" t="inlineStr">
        <is>
          <t>Sr Unsecured</t>
        </is>
      </c>
      <c r="F106" s="30" t="inlineStr">
        <is>
          <t>18.03.2031</t>
        </is>
      </c>
      <c r="G106" s="30" t="inlineStr">
        <is>
          <t>Brazil</t>
        </is>
      </c>
      <c r="H106" s="30" t="inlineStr">
        <is>
          <t>Financial</t>
        </is>
      </c>
      <c r="I106" s="30" t="n">
        <v>200</v>
      </c>
      <c r="J106" s="30" t="n">
        <v>101.627</v>
      </c>
      <c r="K106" s="30" t="n">
        <v>5.65961</v>
      </c>
      <c r="L106" s="30" t="n">
        <v>-0.047258</v>
      </c>
      <c r="M106" s="30" t="n">
        <v>-0.157792</v>
      </c>
      <c r="N106" s="30" t="n">
        <v>165.8520215</v>
      </c>
      <c r="O106" s="30" t="n">
        <v>4.906292478</v>
      </c>
      <c r="P106" s="30" t="n">
        <v>25</v>
      </c>
      <c r="Q106" s="30" t="inlineStr">
        <is>
          <t>Largest Brazilian and Latin American bank by assets</t>
        </is>
      </c>
      <c r="R106" s="30" t="inlineStr">
        <is>
          <t>USD</t>
        </is>
      </c>
      <c r="S106" s="30" t="inlineStr">
        <is>
          <t>Latin America</t>
        </is>
      </c>
      <c r="T106" s="30" t="inlineStr">
        <is>
          <t>BB</t>
        </is>
      </c>
      <c r="U106" s="30" t="inlineStr">
        <is>
          <t>BB</t>
        </is>
      </c>
      <c r="V106" s="30" t="n"/>
    </row>
    <row r="107">
      <c r="A107" s="30" t="inlineStr">
        <is>
          <t>XS2405483301</t>
        </is>
      </c>
      <c r="B107" s="30" t="inlineStr">
        <is>
          <t>Hold</t>
        </is>
      </c>
      <c r="C107" s="30" t="inlineStr">
        <is>
          <t>Forvia Se</t>
        </is>
      </c>
      <c r="D107" s="30" t="n">
        <v>2.75</v>
      </c>
      <c r="E107" s="30" t="inlineStr">
        <is>
          <t>Sr Unsecured</t>
        </is>
      </c>
      <c r="F107" s="30" t="inlineStr">
        <is>
          <t>15.02.2027</t>
        </is>
      </c>
      <c r="G107" s="30" t="inlineStr">
        <is>
          <t>France</t>
        </is>
      </c>
      <c r="H107" s="30" t="inlineStr">
        <is>
          <t>Consumer, Cyclical</t>
        </is>
      </c>
      <c r="I107" s="30" t="n">
        <v>100</v>
      </c>
      <c r="J107" s="30" t="n">
        <v>98.893</v>
      </c>
      <c r="K107" s="30" t="n">
        <v>3.498352</v>
      </c>
      <c r="L107" s="30" t="n">
        <v>-0.23173</v>
      </c>
      <c r="M107" s="30" t="n">
        <v>-0.09501800000000001</v>
      </c>
      <c r="N107" s="30" t="n">
        <v>161.2352836</v>
      </c>
      <c r="O107" s="30" t="n">
        <v>1.888855779</v>
      </c>
      <c r="P107" s="30" t="n">
        <v>25</v>
      </c>
      <c r="Q107" s="30" t="inlineStr">
        <is>
          <t>Global automotive part manufacturer</t>
        </is>
      </c>
      <c r="R107" s="30" t="inlineStr">
        <is>
          <t>EUR</t>
        </is>
      </c>
      <c r="S107" s="30" t="inlineStr">
        <is>
          <t>High Yield</t>
        </is>
      </c>
      <c r="T107" s="30" t="inlineStr">
        <is>
          <t>BB-</t>
        </is>
      </c>
      <c r="U107" s="30" t="inlineStr">
        <is>
          <t>BB-</t>
        </is>
      </c>
      <c r="V107" s="30" t="n"/>
    </row>
    <row r="108">
      <c r="A108" s="30" t="inlineStr">
        <is>
          <t>USP3699PGM34</t>
        </is>
      </c>
      <c r="B108" s="30" t="inlineStr">
        <is>
          <t xml:space="preserve">Hold </t>
        </is>
      </c>
      <c r="C108" s="30" t="inlineStr">
        <is>
          <t>Costa Rica Government</t>
        </is>
      </c>
      <c r="D108" s="30" t="n">
        <v>6.55</v>
      </c>
      <c r="E108" s="30" t="inlineStr">
        <is>
          <t>Sr Unsecured</t>
        </is>
      </c>
      <c r="F108" s="30" t="inlineStr">
        <is>
          <t>03.04.2034</t>
        </is>
      </c>
      <c r="G108" s="30" t="inlineStr">
        <is>
          <t>Costa Rica</t>
        </is>
      </c>
      <c r="H108" s="30" t="inlineStr">
        <is>
          <t>Government</t>
        </is>
      </c>
      <c r="I108" s="30" t="n">
        <v>200</v>
      </c>
      <c r="J108" s="30" t="n">
        <v>104.615</v>
      </c>
      <c r="K108" s="30" t="n">
        <v>5.851645</v>
      </c>
      <c r="L108" s="30" t="n">
        <v>-0.116393</v>
      </c>
      <c r="M108" s="30" t="n">
        <v>-0.240285</v>
      </c>
      <c r="N108" s="30" t="n">
        <v>161.0229826</v>
      </c>
      <c r="O108" s="30" t="n">
        <v>6.059198049</v>
      </c>
      <c r="P108" s="30" t="n">
        <v>25</v>
      </c>
      <c r="Q108" s="30" t="inlineStr">
        <is>
          <t>Costa Rica Governemnt</t>
        </is>
      </c>
      <c r="R108" s="30" t="inlineStr">
        <is>
          <t>USD</t>
        </is>
      </c>
      <c r="S108" s="30" t="inlineStr">
        <is>
          <t>Latin America</t>
        </is>
      </c>
      <c r="T108" s="30" t="inlineStr">
        <is>
          <t>BB-</t>
        </is>
      </c>
      <c r="U108" s="30" t="inlineStr">
        <is>
          <t>BB-</t>
        </is>
      </c>
      <c r="V108" s="30" t="n"/>
    </row>
    <row r="109">
      <c r="A109" s="30" t="inlineStr">
        <is>
          <t>FR001400RIT6</t>
        </is>
      </c>
      <c r="B109" s="30" t="inlineStr">
        <is>
          <t xml:space="preserve">Hold </t>
        </is>
      </c>
      <c r="C109" s="30" t="inlineStr">
        <is>
          <t>Itm Entreprises Sasu</t>
        </is>
      </c>
      <c r="D109" s="30" t="n">
        <v>5.75</v>
      </c>
      <c r="E109" s="30" t="inlineStr">
        <is>
          <t>Sr Unsecured</t>
        </is>
      </c>
      <c r="F109" s="30" t="inlineStr">
        <is>
          <t>22.07.2029</t>
        </is>
      </c>
      <c r="G109" s="30" t="inlineStr">
        <is>
          <t>France</t>
        </is>
      </c>
      <c r="H109" s="30" t="inlineStr">
        <is>
          <t>Consumer, Non-cyclical</t>
        </is>
      </c>
      <c r="I109" s="30" t="n">
        <v>100</v>
      </c>
      <c r="J109" s="30" t="n">
        <v>107.03</v>
      </c>
      <c r="K109" s="30" t="n">
        <v>3.728719</v>
      </c>
      <c r="L109" s="30" t="n">
        <v>0.018014</v>
      </c>
      <c r="M109" s="30" t="n">
        <v>-0.056498</v>
      </c>
      <c r="N109" s="30" t="n">
        <v>158.9190814</v>
      </c>
      <c r="O109" s="30" t="n">
        <v>3.591628297</v>
      </c>
      <c r="P109" s="30" t="n">
        <v>0</v>
      </c>
      <c r="Q109" s="30" t="inlineStr">
        <is>
          <t xml:space="preserve">Supermarket chain under Intermarche banner </t>
        </is>
      </c>
      <c r="R109" s="30" t="inlineStr">
        <is>
          <t>EUR</t>
        </is>
      </c>
      <c r="S109" s="30" t="inlineStr">
        <is>
          <t>High Yield</t>
        </is>
      </c>
      <c r="T109" s="30" t="inlineStr">
        <is>
          <t>NR</t>
        </is>
      </c>
      <c r="U109" s="30" t="inlineStr">
        <is>
          <t>NR</t>
        </is>
      </c>
      <c r="V109" s="30" t="n"/>
    </row>
    <row r="110">
      <c r="A110" s="30" t="inlineStr">
        <is>
          <t>USP04568AC88</t>
        </is>
      </c>
      <c r="B110" s="30" t="inlineStr">
        <is>
          <t>Top Pick</t>
        </is>
      </c>
      <c r="C110" s="30" t="inlineStr">
        <is>
          <t>Arcos Dorados Bv</t>
        </is>
      </c>
      <c r="D110" s="30" t="n">
        <v>6.375</v>
      </c>
      <c r="E110" s="30" t="inlineStr">
        <is>
          <t>Sr Unsecured</t>
        </is>
      </c>
      <c r="F110" s="30" t="inlineStr">
        <is>
          <t>29.01.2032</t>
        </is>
      </c>
      <c r="G110" s="30" t="inlineStr">
        <is>
          <t>Brazil</t>
        </is>
      </c>
      <c r="H110" s="30" t="inlineStr">
        <is>
          <t>Consumer, Cyclical</t>
        </is>
      </c>
      <c r="I110" s="30" t="n">
        <v>200</v>
      </c>
      <c r="J110" s="30" t="n">
        <v>103.814</v>
      </c>
      <c r="K110" s="30" t="n">
        <v>5.65607</v>
      </c>
      <c r="L110" s="30" t="n">
        <v>-0.051082</v>
      </c>
      <c r="M110" s="30" t="n">
        <v>-0.293945</v>
      </c>
      <c r="N110" s="30" t="n">
        <v>157.0531566</v>
      </c>
      <c r="O110" s="30" t="n">
        <v>5.440644154</v>
      </c>
      <c r="P110" s="30" t="n">
        <v>0</v>
      </c>
      <c r="Q110" s="30" t="inlineStr">
        <is>
          <t>Largest MacDonald franchisee in Latin America</t>
        </is>
      </c>
      <c r="R110" s="30" t="inlineStr">
        <is>
          <t>USD</t>
        </is>
      </c>
      <c r="S110" s="30" t="inlineStr">
        <is>
          <t>Latin America</t>
        </is>
      </c>
      <c r="T110" s="30" t="inlineStr">
        <is>
          <t>BB+</t>
        </is>
      </c>
      <c r="U110" s="30" t="inlineStr">
        <is>
          <t>BB+</t>
        </is>
      </c>
      <c r="V110" s="30" t="n"/>
    </row>
    <row r="111">
      <c r="A111" s="30" t="inlineStr">
        <is>
          <t>USA8372TAC20</t>
        </is>
      </c>
      <c r="B111" s="30" t="inlineStr">
        <is>
          <t xml:space="preserve">Hold </t>
        </is>
      </c>
      <c r="C111" s="30" t="inlineStr">
        <is>
          <t>Suzano Austria Gmbh</t>
        </is>
      </c>
      <c r="D111" s="30" t="n">
        <v>7</v>
      </c>
      <c r="E111" s="30" t="inlineStr">
        <is>
          <t>Sr Unsecured</t>
        </is>
      </c>
      <c r="F111" s="30" t="inlineStr">
        <is>
          <t>16.03.2047</t>
        </is>
      </c>
      <c r="G111" s="30" t="inlineStr">
        <is>
          <t>Brazil</t>
        </is>
      </c>
      <c r="H111" s="30" t="inlineStr">
        <is>
          <t>Basic Materials</t>
        </is>
      </c>
      <c r="I111" s="30" t="n">
        <v>200</v>
      </c>
      <c r="J111" s="30" t="n">
        <v>106.976</v>
      </c>
      <c r="K111" s="30" t="n">
        <v>6.393181</v>
      </c>
      <c r="L111" s="30" t="n">
        <v>-0.090156</v>
      </c>
      <c r="M111" s="30" t="n">
        <v>-0.268994</v>
      </c>
      <c r="N111" s="30" t="n">
        <v>156.9397817</v>
      </c>
      <c r="O111" s="30" t="n">
        <v>11.01805343</v>
      </c>
      <c r="P111" s="30" t="n">
        <v>30</v>
      </c>
      <c r="Q111" s="30" t="inlineStr">
        <is>
          <t>Manufactures paper products</t>
        </is>
      </c>
      <c r="R111" s="30" t="inlineStr">
        <is>
          <t>USD</t>
        </is>
      </c>
      <c r="S111" s="30" t="inlineStr">
        <is>
          <t>Latin America</t>
        </is>
      </c>
      <c r="T111" s="30" t="inlineStr">
        <is>
          <t>BBB-</t>
        </is>
      </c>
      <c r="U111" s="30" t="inlineStr">
        <is>
          <t>BBB-</t>
        </is>
      </c>
      <c r="V111" s="30" t="n"/>
    </row>
    <row r="112">
      <c r="A112" s="30" t="inlineStr">
        <is>
          <t>USU05375AS64</t>
        </is>
      </c>
      <c r="B112" s="30" t="inlineStr">
        <is>
          <t>Hold</t>
        </is>
      </c>
      <c r="C112" s="30" t="inlineStr">
        <is>
          <t>Avis Budget Car/Finance</t>
        </is>
      </c>
      <c r="D112" s="30" t="n">
        <v>5.75</v>
      </c>
      <c r="E112" s="30" t="inlineStr">
        <is>
          <t>Sr Unsecured</t>
        </is>
      </c>
      <c r="F112" s="30" t="inlineStr">
        <is>
          <t>15.07.2027</t>
        </is>
      </c>
      <c r="G112" s="30" t="inlineStr">
        <is>
          <t>United states</t>
        </is>
      </c>
      <c r="H112" s="30" t="inlineStr">
        <is>
          <t>Consumer, Non-cyclical</t>
        </is>
      </c>
      <c r="I112" s="30" t="n">
        <v>2</v>
      </c>
      <c r="J112" s="30" t="n">
        <v>99.66</v>
      </c>
      <c r="K112" s="30" t="n">
        <v>5.930287</v>
      </c>
      <c r="L112" s="30" t="n">
        <v>-0.046386</v>
      </c>
      <c r="M112" s="30" t="n">
        <v>-0.47192</v>
      </c>
      <c r="N112" s="30" t="n">
        <v>156.8051228</v>
      </c>
      <c r="O112" s="30" t="n">
        <v>2.19423464</v>
      </c>
      <c r="P112" s="30" t="n">
        <v>25</v>
      </c>
      <c r="Q112" s="30" t="inlineStr">
        <is>
          <t>American car rental company</t>
        </is>
      </c>
      <c r="R112" s="30" t="inlineStr">
        <is>
          <t>USD</t>
        </is>
      </c>
      <c r="S112" s="30" t="inlineStr">
        <is>
          <t>High Yield</t>
        </is>
      </c>
      <c r="T112" s="30" t="inlineStr">
        <is>
          <t>B+</t>
        </is>
      </c>
      <c r="U112" s="30" t="inlineStr">
        <is>
          <t>B+</t>
        </is>
      </c>
      <c r="V112" s="30" t="n"/>
    </row>
    <row r="113">
      <c r="A113" s="30" t="inlineStr">
        <is>
          <t>USL00849AA47</t>
        </is>
      </c>
      <c r="B113" s="30" t="inlineStr">
        <is>
          <t xml:space="preserve">Hold </t>
        </is>
      </c>
      <c r="C113" s="30" t="inlineStr">
        <is>
          <t>Adecoagro Sa</t>
        </is>
      </c>
      <c r="D113" s="30" t="n">
        <v>6</v>
      </c>
      <c r="E113" s="30" t="inlineStr">
        <is>
          <t>Sr Unsecured</t>
        </is>
      </c>
      <c r="F113" s="30" t="inlineStr">
        <is>
          <t>21.09.2027</t>
        </is>
      </c>
      <c r="G113" s="30" t="inlineStr">
        <is>
          <t>Brazil</t>
        </is>
      </c>
      <c r="H113" s="30" t="inlineStr">
        <is>
          <t>Consumer, Non-cyclical</t>
        </is>
      </c>
      <c r="I113" s="30" t="n">
        <v>150</v>
      </c>
      <c r="J113" s="30" t="n">
        <v>99.788</v>
      </c>
      <c r="K113" s="30" t="n">
        <v>6.098714</v>
      </c>
      <c r="L113" s="30" t="n">
        <v>-0.02198</v>
      </c>
      <c r="M113" s="30" t="n">
        <v>0.057152</v>
      </c>
      <c r="N113" s="30" t="n">
        <v>156.7323332</v>
      </c>
      <c r="O113" s="30" t="n">
        <v>2.300440993</v>
      </c>
      <c r="P113" s="30" t="n">
        <v>25</v>
      </c>
      <c r="Q113" s="30" t="inlineStr">
        <is>
          <t>Agricultural company in South America</t>
        </is>
      </c>
      <c r="R113" s="30" t="inlineStr">
        <is>
          <t>USD</t>
        </is>
      </c>
      <c r="S113" s="30" t="inlineStr">
        <is>
          <t>Latin America</t>
        </is>
      </c>
      <c r="T113" s="30" t="inlineStr">
        <is>
          <t>BB</t>
        </is>
      </c>
      <c r="U113" s="30" t="inlineStr">
        <is>
          <t>BB</t>
        </is>
      </c>
      <c r="V113" s="30" t="n"/>
    </row>
    <row r="114">
      <c r="A114" s="30" t="inlineStr">
        <is>
          <t>XS2081474046</t>
        </is>
      </c>
      <c r="B114" s="30" t="inlineStr">
        <is>
          <t>Hold</t>
        </is>
      </c>
      <c r="C114" s="30" t="inlineStr">
        <is>
          <t>Forvia Se</t>
        </is>
      </c>
      <c r="D114" s="30" t="n">
        <v>2.375</v>
      </c>
      <c r="E114" s="30" t="inlineStr">
        <is>
          <t>Sr Unsecured</t>
        </is>
      </c>
      <c r="F114" s="30" t="inlineStr">
        <is>
          <t>15.06.2027</t>
        </is>
      </c>
      <c r="G114" s="30" t="inlineStr">
        <is>
          <t>France</t>
        </is>
      </c>
      <c r="H114" s="30" t="inlineStr">
        <is>
          <t>Consumer, Cyclical</t>
        </is>
      </c>
      <c r="I114" s="30" t="n">
        <v>100</v>
      </c>
      <c r="J114" s="30" t="n">
        <v>98.065</v>
      </c>
      <c r="K114" s="30" t="n">
        <v>3.446378</v>
      </c>
      <c r="L114" s="30" t="n">
        <v>-0.431393</v>
      </c>
      <c r="M114" s="30" t="n">
        <v>-0.307475</v>
      </c>
      <c r="N114" s="30" t="n">
        <v>156.5246138</v>
      </c>
      <c r="O114" s="30" t="n">
        <v>2.208510123</v>
      </c>
      <c r="P114" s="30" t="n">
        <v>25</v>
      </c>
      <c r="Q114" s="30" t="inlineStr">
        <is>
          <t>Global automotive part manufacturer</t>
        </is>
      </c>
      <c r="R114" s="30" t="inlineStr">
        <is>
          <t>EUR</t>
        </is>
      </c>
      <c r="S114" s="30" t="inlineStr">
        <is>
          <t>High Yield</t>
        </is>
      </c>
      <c r="T114" s="30" t="inlineStr">
        <is>
          <t>BB-</t>
        </is>
      </c>
      <c r="U114" s="30" t="inlineStr">
        <is>
          <t>BB-</t>
        </is>
      </c>
      <c r="V114" s="30" t="n"/>
    </row>
    <row r="115">
      <c r="A115" s="30" t="inlineStr">
        <is>
          <t>XS2777627907</t>
        </is>
      </c>
      <c r="B115" s="30" t="inlineStr">
        <is>
          <t xml:space="preserve">Hold </t>
        </is>
      </c>
      <c r="C115" s="30" t="inlineStr">
        <is>
          <t>Heathrow Funding Ltd</t>
        </is>
      </c>
      <c r="D115" s="30" t="n">
        <v>6</v>
      </c>
      <c r="E115" s="30" t="inlineStr">
        <is>
          <t>Secured</t>
        </is>
      </c>
      <c r="F115" s="30" t="inlineStr">
        <is>
          <t>05.03.2032</t>
        </is>
      </c>
      <c r="G115" s="30" t="inlineStr">
        <is>
          <t>United Kingdom</t>
        </is>
      </c>
      <c r="H115" s="30" t="inlineStr">
        <is>
          <t>Industrial</t>
        </is>
      </c>
      <c r="I115" s="30" t="n">
        <v>100</v>
      </c>
      <c r="J115" s="30" t="n">
        <v>101.066</v>
      </c>
      <c r="K115" s="30" t="n">
        <v>5.711486</v>
      </c>
      <c r="L115" s="30" t="n">
        <v>0.037885</v>
      </c>
      <c r="M115" s="30" t="n">
        <v>-0.165808</v>
      </c>
      <c r="N115" s="30" t="n">
        <v>155.8419827</v>
      </c>
      <c r="O115" s="30" t="n">
        <v>5.296094209</v>
      </c>
      <c r="P115" s="30" t="n">
        <v>60</v>
      </c>
      <c r="Q115" s="30" t="inlineStr">
        <is>
          <t>UK's largest airport</t>
        </is>
      </c>
      <c r="R115" s="30" t="inlineStr">
        <is>
          <t>GBP</t>
        </is>
      </c>
      <c r="S115" s="30" t="inlineStr">
        <is>
          <t>Investment Grade</t>
        </is>
      </c>
      <c r="T115" s="30" t="inlineStr">
        <is>
          <t>BBB-</t>
        </is>
      </c>
      <c r="U115" s="30" t="inlineStr">
        <is>
          <t>BBB-</t>
        </is>
      </c>
      <c r="V115" s="30" t="n"/>
    </row>
    <row r="116">
      <c r="A116" s="30" t="inlineStr">
        <is>
          <t>XS2406607171</t>
        </is>
      </c>
      <c r="B116" s="30" t="inlineStr">
        <is>
          <t>Hold</t>
        </is>
      </c>
      <c r="C116" s="30" t="inlineStr">
        <is>
          <t>Teva Pharm Fnc Nl Ii</t>
        </is>
      </c>
      <c r="D116" s="30" t="n">
        <v>4.375</v>
      </c>
      <c r="E116" s="30" t="inlineStr">
        <is>
          <t>Sr Unsecured</t>
        </is>
      </c>
      <c r="F116" s="30" t="inlineStr">
        <is>
          <t>09.05.2030</t>
        </is>
      </c>
      <c r="G116" s="30" t="inlineStr">
        <is>
          <t>Israel</t>
        </is>
      </c>
      <c r="H116" s="30" t="inlineStr">
        <is>
          <t>Consumer, Non-cyclical</t>
        </is>
      </c>
      <c r="I116" s="30" t="n">
        <v>100</v>
      </c>
      <c r="J116" s="30" t="n">
        <v>102.418</v>
      </c>
      <c r="K116" s="30" t="n">
        <v>3.831318</v>
      </c>
      <c r="L116" s="30" t="n">
        <v>-0.162723</v>
      </c>
      <c r="M116" s="30" t="n">
        <v>-0.006924</v>
      </c>
      <c r="N116" s="30" t="n">
        <v>154.7085598</v>
      </c>
      <c r="O116" s="30" t="n">
        <v>4.385541983</v>
      </c>
      <c r="P116" s="30" t="n">
        <v>0</v>
      </c>
      <c r="Q116" s="30" t="inlineStr">
        <is>
          <t>Largest manufacturer of pharmaceutical generics</t>
        </is>
      </c>
      <c r="R116" s="30" t="inlineStr">
        <is>
          <t>EUR</t>
        </is>
      </c>
      <c r="S116" s="30" t="inlineStr">
        <is>
          <t>High Yield</t>
        </is>
      </c>
      <c r="T116" s="30" t="inlineStr">
        <is>
          <t>BB</t>
        </is>
      </c>
      <c r="U116" s="30" t="inlineStr">
        <is>
          <t>BB</t>
        </is>
      </c>
      <c r="V116" s="30" t="n"/>
    </row>
    <row r="117">
      <c r="A117" s="30" t="inlineStr">
        <is>
          <t>USP98088AA83</t>
        </is>
      </c>
      <c r="B117" s="30" t="inlineStr">
        <is>
          <t xml:space="preserve">Hold </t>
        </is>
      </c>
      <c r="C117" s="30" t="inlineStr">
        <is>
          <t>Votorantim Cimentos Intl</t>
        </is>
      </c>
      <c r="D117" s="30" t="n">
        <v>7.25</v>
      </c>
      <c r="E117" s="30" t="inlineStr">
        <is>
          <t>Sr Unsecured</t>
        </is>
      </c>
      <c r="F117" s="30" t="inlineStr">
        <is>
          <t>05.04.2041</t>
        </is>
      </c>
      <c r="G117" s="30" t="inlineStr">
        <is>
          <t>Brazil</t>
        </is>
      </c>
      <c r="H117" s="30" t="inlineStr">
        <is>
          <t>Industrial</t>
        </is>
      </c>
      <c r="I117" s="30" t="n">
        <v>200</v>
      </c>
      <c r="J117" s="30" t="n">
        <v>110.126</v>
      </c>
      <c r="K117" s="30" t="n">
        <v>6.229908</v>
      </c>
      <c r="L117" s="30" t="n">
        <v>-0.032106</v>
      </c>
      <c r="M117" s="30" t="n">
        <v>-0.221969</v>
      </c>
      <c r="N117" s="30" t="n">
        <v>154.683124</v>
      </c>
      <c r="O117" s="30" t="n">
        <v>9.459404053</v>
      </c>
      <c r="P117" s="30" t="n">
        <v>10</v>
      </c>
      <c r="Q117" s="30" t="inlineStr">
        <is>
          <t>Brazil's largest industrial group</t>
        </is>
      </c>
      <c r="R117" s="30" t="inlineStr">
        <is>
          <t>USD</t>
        </is>
      </c>
      <c r="S117" s="30" t="inlineStr">
        <is>
          <t>Latin America</t>
        </is>
      </c>
      <c r="T117" s="30" t="inlineStr">
        <is>
          <t>BBB-</t>
        </is>
      </c>
      <c r="U117" s="30" t="inlineStr">
        <is>
          <t>BBB-</t>
        </is>
      </c>
      <c r="V117" s="30" t="n"/>
    </row>
    <row r="118">
      <c r="A118" s="30" t="inlineStr">
        <is>
          <t>XS2587708624</t>
        </is>
      </c>
      <c r="B118" s="30" t="inlineStr">
        <is>
          <t xml:space="preserve">Hold </t>
        </is>
      </c>
      <c r="C118" s="30" t="inlineStr">
        <is>
          <t>Fin Dept Govt Sharjah</t>
        </is>
      </c>
      <c r="D118" s="30" t="n">
        <v>6.5</v>
      </c>
      <c r="E118" s="30" t="inlineStr">
        <is>
          <t>Sr Unsecured</t>
        </is>
      </c>
      <c r="F118" s="30" t="inlineStr">
        <is>
          <t>23.11.2032</t>
        </is>
      </c>
      <c r="G118" s="30" t="inlineStr">
        <is>
          <t>U.A.E</t>
        </is>
      </c>
      <c r="H118" s="30" t="inlineStr">
        <is>
          <t>Government</t>
        </is>
      </c>
      <c r="I118" s="30" t="n">
        <v>200</v>
      </c>
      <c r="J118" s="30" t="n">
        <v>104.825</v>
      </c>
      <c r="K118" s="30" t="n">
        <v>5.688062</v>
      </c>
      <c r="L118" s="30" t="n">
        <v>-0.060018</v>
      </c>
      <c r="M118" s="30" t="n">
        <v>-0.220637</v>
      </c>
      <c r="N118" s="30" t="n">
        <v>154.1573294</v>
      </c>
      <c r="O118" s="30" t="n">
        <v>5.967019273</v>
      </c>
      <c r="P118" s="30" t="n">
        <v>0</v>
      </c>
      <c r="Q118" s="30" t="inlineStr">
        <is>
          <t xml:space="preserve">Provides rail transportation, catering and tourism services </t>
        </is>
      </c>
      <c r="R118" s="30" t="inlineStr">
        <is>
          <t>USD</t>
        </is>
      </c>
      <c r="S118" s="30" t="inlineStr">
        <is>
          <t>Investment Grade</t>
        </is>
      </c>
      <c r="T118" s="30" t="inlineStr">
        <is>
          <t>BB+</t>
        </is>
      </c>
      <c r="U118" s="30" t="inlineStr">
        <is>
          <t>BB+</t>
        </is>
      </c>
      <c r="V118" s="30" t="n"/>
    </row>
    <row r="119">
      <c r="A119" s="30" t="inlineStr">
        <is>
          <t>USU9094LAD02</t>
        </is>
      </c>
      <c r="B119" s="30" t="inlineStr">
        <is>
          <t>Top Pick</t>
        </is>
      </c>
      <c r="C119" s="30" t="inlineStr">
        <is>
          <t>United Airlines Inc</t>
        </is>
      </c>
      <c r="D119" s="30" t="n">
        <v>4.625</v>
      </c>
      <c r="E119" s="30" t="inlineStr">
        <is>
          <t>Secured</t>
        </is>
      </c>
      <c r="F119" s="30" t="inlineStr">
        <is>
          <t>15.04.2029</t>
        </is>
      </c>
      <c r="G119" s="30" t="inlineStr">
        <is>
          <t>United states</t>
        </is>
      </c>
      <c r="H119" s="30" t="inlineStr">
        <is>
          <t>Consumer, Cyclical</t>
        </is>
      </c>
      <c r="I119" s="30" t="n">
        <v>2</v>
      </c>
      <c r="J119" s="30" t="n">
        <v>97.233</v>
      </c>
      <c r="K119" s="30" t="n">
        <v>5.444582</v>
      </c>
      <c r="L119" s="30" t="n">
        <v>-0.054785</v>
      </c>
      <c r="M119" s="30" t="n">
        <v>-0.347208</v>
      </c>
      <c r="N119" s="30" t="n">
        <v>152.7590226</v>
      </c>
      <c r="O119" s="30" t="n">
        <v>3.650536503</v>
      </c>
      <c r="P119" s="30" t="n">
        <v>0</v>
      </c>
      <c r="Q119" s="30" t="inlineStr">
        <is>
          <t xml:space="preserve">US airline </t>
        </is>
      </c>
      <c r="R119" s="30" t="inlineStr">
        <is>
          <t>USD</t>
        </is>
      </c>
      <c r="S119" s="30" t="inlineStr">
        <is>
          <t>High Yield</t>
        </is>
      </c>
      <c r="T119" s="30" t="inlineStr">
        <is>
          <t>BB+</t>
        </is>
      </c>
      <c r="U119" s="30" t="inlineStr">
        <is>
          <t>BB+</t>
        </is>
      </c>
      <c r="V119" s="30" t="n"/>
    </row>
    <row r="120">
      <c r="A120" s="30" t="inlineStr">
        <is>
          <t>XS2592804434</t>
        </is>
      </c>
      <c r="B120" s="30" t="inlineStr">
        <is>
          <t>Hold</t>
        </is>
      </c>
      <c r="C120" s="30" t="inlineStr">
        <is>
          <t>Teva Pharm Fnc Nl Ii</t>
        </is>
      </c>
      <c r="D120" s="30" t="n">
        <v>7.375</v>
      </c>
      <c r="E120" s="30" t="inlineStr">
        <is>
          <t>Sr Unsecured</t>
        </is>
      </c>
      <c r="F120" s="30" t="inlineStr">
        <is>
          <t>15.09.2029</t>
        </is>
      </c>
      <c r="G120" s="30" t="inlineStr">
        <is>
          <t>Israel</t>
        </is>
      </c>
      <c r="H120" s="30" t="inlineStr">
        <is>
          <t>Consumer, Non-cyclical</t>
        </is>
      </c>
      <c r="I120" s="30" t="n">
        <v>100</v>
      </c>
      <c r="J120" s="30" t="n">
        <v>113.623</v>
      </c>
      <c r="K120" s="30" t="n">
        <v>3.660208</v>
      </c>
      <c r="L120" s="30" t="n">
        <v>-0.055917</v>
      </c>
      <c r="M120" s="30" t="n">
        <v>0.133216</v>
      </c>
      <c r="N120" s="30" t="n">
        <v>151.6431138</v>
      </c>
      <c r="O120" s="30" t="n">
        <v>3.644494313</v>
      </c>
      <c r="P120" s="30" t="n">
        <v>0</v>
      </c>
      <c r="Q120" s="30" t="inlineStr">
        <is>
          <t>Largest manufacturer of pharmaceutical generics</t>
        </is>
      </c>
      <c r="R120" s="30" t="inlineStr">
        <is>
          <t>EUR</t>
        </is>
      </c>
      <c r="S120" s="30" t="inlineStr">
        <is>
          <t>High Yield</t>
        </is>
      </c>
      <c r="T120" s="30" t="inlineStr">
        <is>
          <t>BB</t>
        </is>
      </c>
      <c r="U120" s="30" t="inlineStr">
        <is>
          <t>BB</t>
        </is>
      </c>
      <c r="V120" s="30" t="n"/>
    </row>
    <row r="121">
      <c r="A121" s="30" t="inlineStr">
        <is>
          <t>XS0630584166</t>
        </is>
      </c>
      <c r="B121" s="30" t="inlineStr">
        <is>
          <t>Hold</t>
        </is>
      </c>
      <c r="C121" s="30" t="inlineStr">
        <is>
          <t>Time Warner Cable Llc</t>
        </is>
      </c>
      <c r="D121" s="30" t="n">
        <v>5.75</v>
      </c>
      <c r="E121" s="30" t="inlineStr">
        <is>
          <t>1St Lien</t>
        </is>
      </c>
      <c r="F121" s="30" t="inlineStr">
        <is>
          <t>02.06.2031</t>
        </is>
      </c>
      <c r="G121" s="30" t="inlineStr">
        <is>
          <t>United states</t>
        </is>
      </c>
      <c r="H121" s="30" t="inlineStr">
        <is>
          <t>Communications</t>
        </is>
      </c>
      <c r="I121" s="30" t="n">
        <v>50</v>
      </c>
      <c r="J121" s="30" t="n">
        <v>100.509</v>
      </c>
      <c r="K121" s="30" t="n">
        <v>5.565803</v>
      </c>
      <c r="L121" s="30" t="n">
        <v>-0.00316</v>
      </c>
      <c r="M121" s="30" t="n">
        <v>-0.238208</v>
      </c>
      <c r="N121" s="30" t="n">
        <v>151.2872207</v>
      </c>
      <c r="O121" s="30" t="n">
        <v>4.913835672</v>
      </c>
      <c r="P121" s="30" t="n">
        <v>60</v>
      </c>
      <c r="Q121" s="30" t="inlineStr">
        <is>
          <t>provides cable television services.</t>
        </is>
      </c>
      <c r="R121" s="30" t="inlineStr">
        <is>
          <t>GBP</t>
        </is>
      </c>
      <c r="S121" s="30" t="inlineStr">
        <is>
          <t>High Yield</t>
        </is>
      </c>
      <c r="T121" s="30" t="inlineStr">
        <is>
          <t>BB+</t>
        </is>
      </c>
      <c r="U121" s="30" t="inlineStr">
        <is>
          <t>BB+</t>
        </is>
      </c>
      <c r="V121" s="30" t="n"/>
    </row>
    <row r="122">
      <c r="A122" s="30" t="inlineStr">
        <is>
          <t>US05971BAK52</t>
        </is>
      </c>
      <c r="B122" s="30" t="inlineStr">
        <is>
          <t xml:space="preserve">Hold </t>
        </is>
      </c>
      <c r="C122" s="30" t="inlineStr">
        <is>
          <t>Banco Btg Pactual/Cayman</t>
        </is>
      </c>
      <c r="D122" s="30" t="n">
        <v>6.25</v>
      </c>
      <c r="E122" s="30" t="inlineStr">
        <is>
          <t>Sr Unsecured</t>
        </is>
      </c>
      <c r="F122" s="30" t="inlineStr">
        <is>
          <t>08.04.2029</t>
        </is>
      </c>
      <c r="G122" s="30" t="inlineStr">
        <is>
          <t>Brazil</t>
        </is>
      </c>
      <c r="H122" s="30" t="inlineStr">
        <is>
          <t>Financial</t>
        </is>
      </c>
      <c r="I122" s="30" t="n">
        <v>200</v>
      </c>
      <c r="J122" s="30" t="n">
        <v>102.799</v>
      </c>
      <c r="K122" s="30" t="n">
        <v>5.396387</v>
      </c>
      <c r="L122" s="30" t="n">
        <v>-0.004572</v>
      </c>
      <c r="M122" s="30" t="n">
        <v>-0.08358</v>
      </c>
      <c r="N122" s="30" t="n">
        <v>151.1344431</v>
      </c>
      <c r="O122" s="30" t="n">
        <v>3.463680718</v>
      </c>
      <c r="P122" s="30" t="n">
        <v>0</v>
      </c>
      <c r="Q122" s="30" t="inlineStr">
        <is>
          <t>Provides banking and investment services in Brazil</t>
        </is>
      </c>
      <c r="R122" s="30" t="inlineStr">
        <is>
          <t>USD</t>
        </is>
      </c>
      <c r="S122" s="30" t="inlineStr">
        <is>
          <t>Latin America</t>
        </is>
      </c>
      <c r="T122" s="30" t="inlineStr">
        <is>
          <t>BB</t>
        </is>
      </c>
      <c r="U122" s="30" t="inlineStr">
        <is>
          <t>BB</t>
        </is>
      </c>
      <c r="V122" s="30" t="n"/>
    </row>
    <row r="123">
      <c r="A123" s="30" t="inlineStr">
        <is>
          <t>XS2724457457</t>
        </is>
      </c>
      <c r="B123" s="30" t="inlineStr">
        <is>
          <t xml:space="preserve">Hold </t>
        </is>
      </c>
      <c r="C123" s="30" t="inlineStr">
        <is>
          <t>Ford Motor Credit Co Llc</t>
        </is>
      </c>
      <c r="D123" s="30" t="n">
        <v>5.125</v>
      </c>
      <c r="E123" s="30" t="inlineStr">
        <is>
          <t>Sr Unsecured</t>
        </is>
      </c>
      <c r="F123" s="30" t="inlineStr">
        <is>
          <t>20.02.2029</t>
        </is>
      </c>
      <c r="G123" s="30" t="inlineStr">
        <is>
          <t>United states</t>
        </is>
      </c>
      <c r="H123" s="30" t="inlineStr">
        <is>
          <t>Consumer, Cyclical</t>
        </is>
      </c>
      <c r="I123" s="30" t="n">
        <v>100</v>
      </c>
      <c r="J123" s="30" t="n">
        <v>105.032</v>
      </c>
      <c r="K123" s="30" t="n">
        <v>3.61135</v>
      </c>
      <c r="L123" s="30" t="n">
        <v>-0.218216</v>
      </c>
      <c r="M123" s="30" t="n">
        <v>-0.161954</v>
      </c>
      <c r="N123" s="30" t="n">
        <v>150.8594439</v>
      </c>
      <c r="O123" s="30" t="n">
        <v>3.580366669</v>
      </c>
      <c r="P123" s="30" t="n">
        <v>25</v>
      </c>
      <c r="Q123" s="30" t="inlineStr">
        <is>
          <t>Global automotive manufacturer</t>
        </is>
      </c>
      <c r="R123" s="30" t="inlineStr">
        <is>
          <t>EUR</t>
        </is>
      </c>
      <c r="S123" s="30" t="inlineStr">
        <is>
          <t>Investment Grade</t>
        </is>
      </c>
      <c r="T123" s="30" t="inlineStr">
        <is>
          <t>BB+</t>
        </is>
      </c>
      <c r="U123" s="30" t="inlineStr">
        <is>
          <t>BB+</t>
        </is>
      </c>
      <c r="V123" s="30" t="n"/>
    </row>
    <row r="124">
      <c r="A124" s="30" t="inlineStr">
        <is>
          <t>USL7915RAA43</t>
        </is>
      </c>
      <c r="B124" s="30" t="inlineStr">
        <is>
          <t>Top Pick</t>
        </is>
      </c>
      <c r="C124" s="30" t="inlineStr">
        <is>
          <t>Rede D'Or Finance Sarl</t>
        </is>
      </c>
      <c r="D124" s="30" t="n">
        <v>4.95</v>
      </c>
      <c r="E124" s="30" t="inlineStr">
        <is>
          <t>Sr Unsecured</t>
        </is>
      </c>
      <c r="F124" s="30" t="inlineStr">
        <is>
          <t>17.01.2028</t>
        </is>
      </c>
      <c r="G124" s="30" t="inlineStr">
        <is>
          <t>Brazil</t>
        </is>
      </c>
      <c r="H124" s="30" t="inlineStr">
        <is>
          <t>Consumer, Non-cyclical</t>
        </is>
      </c>
      <c r="I124" s="30" t="n">
        <v>200</v>
      </c>
      <c r="J124" s="30" t="n">
        <v>98.988</v>
      </c>
      <c r="K124" s="30" t="n">
        <v>5.383123</v>
      </c>
      <c r="L124" s="30" t="n">
        <v>-0.057759</v>
      </c>
      <c r="M124" s="30" t="n">
        <v>-0.08315400000000001</v>
      </c>
      <c r="N124" s="30" t="n">
        <v>149.7187733</v>
      </c>
      <c r="O124" s="30" t="n">
        <v>2.649830216</v>
      </c>
      <c r="P124" s="30" t="n">
        <v>25</v>
      </c>
      <c r="Q124" s="30" t="inlineStr">
        <is>
          <t>Provides medical and surgical hospital services</t>
        </is>
      </c>
      <c r="R124" s="30" t="inlineStr">
        <is>
          <t>USD</t>
        </is>
      </c>
      <c r="S124" s="30" t="inlineStr">
        <is>
          <t>Latin America</t>
        </is>
      </c>
      <c r="T124" s="30" t="inlineStr">
        <is>
          <t>BB+</t>
        </is>
      </c>
      <c r="U124" s="30" t="inlineStr">
        <is>
          <t>BB+</t>
        </is>
      </c>
      <c r="V124" s="30" t="n"/>
    </row>
    <row r="125">
      <c r="A125" s="30" t="inlineStr">
        <is>
          <t>USY2R27RAB56</t>
        </is>
      </c>
      <c r="B125" s="30" t="inlineStr">
        <is>
          <t>Top pick</t>
        </is>
      </c>
      <c r="C125" s="30" t="inlineStr">
        <is>
          <t>Delhi Intl Airport</t>
        </is>
      </c>
      <c r="D125" s="30" t="n">
        <v>6.125</v>
      </c>
      <c r="E125" s="30" t="inlineStr">
        <is>
          <t>1St Lien</t>
        </is>
      </c>
      <c r="F125" s="30" t="inlineStr">
        <is>
          <t>31.10.2026</t>
        </is>
      </c>
      <c r="G125" s="30" t="inlineStr">
        <is>
          <t>India</t>
        </is>
      </c>
      <c r="H125" s="30" t="inlineStr">
        <is>
          <t>Industrial</t>
        </is>
      </c>
      <c r="I125" s="30" t="n">
        <v>200</v>
      </c>
      <c r="J125" s="30" t="n">
        <v>100.828</v>
      </c>
      <c r="K125" s="30" t="n">
        <v>5.453913</v>
      </c>
      <c r="L125" s="30" t="n">
        <v>-0.076334</v>
      </c>
      <c r="M125" s="30" t="n">
        <v>-0.138862</v>
      </c>
      <c r="N125" s="30" t="n">
        <v>149.3515078</v>
      </c>
      <c r="O125" s="30" t="n">
        <v>1.560602612</v>
      </c>
      <c r="P125" s="30" t="n">
        <v>10</v>
      </c>
      <c r="Q125" s="30" t="inlineStr">
        <is>
          <t>Buiest airport in India</t>
        </is>
      </c>
      <c r="R125" s="30" t="inlineStr">
        <is>
          <t>USD</t>
        </is>
      </c>
      <c r="S125" s="30" t="inlineStr">
        <is>
          <t>High Yield</t>
        </is>
      </c>
      <c r="T125" s="30" t="inlineStr">
        <is>
          <t>BB</t>
        </is>
      </c>
      <c r="U125" s="30" t="inlineStr">
        <is>
          <t>B+</t>
        </is>
      </c>
      <c r="V125" s="30" t="n"/>
    </row>
    <row r="126">
      <c r="A126" s="30" t="inlineStr">
        <is>
          <t>XS2975136214</t>
        </is>
      </c>
      <c r="B126" s="30" t="inlineStr">
        <is>
          <t xml:space="preserve">Hold </t>
        </is>
      </c>
      <c r="C126" s="30" t="inlineStr">
        <is>
          <t>Barclays Plc</t>
        </is>
      </c>
      <c r="D126" s="30" t="n">
        <v>5.746</v>
      </c>
      <c r="E126" s="30" t="inlineStr">
        <is>
          <t>Sr Unsecured</t>
        </is>
      </c>
      <c r="F126" s="30" t="inlineStr">
        <is>
          <t>31.07.2032</t>
        </is>
      </c>
      <c r="G126" s="30" t="inlineStr">
        <is>
          <t>United Kingdom</t>
        </is>
      </c>
      <c r="H126" s="30" t="inlineStr">
        <is>
          <t>Financial</t>
        </is>
      </c>
      <c r="I126" s="30" t="n">
        <v>100</v>
      </c>
      <c r="J126" s="30" t="n">
        <v>102.312</v>
      </c>
      <c r="K126" s="30" t="n">
        <v>5.192021</v>
      </c>
      <c r="L126" s="30" t="n">
        <v>-0.081952</v>
      </c>
      <c r="M126" s="30" t="n">
        <v>-0.346033</v>
      </c>
      <c r="N126" s="30" t="n">
        <v>148.8407433</v>
      </c>
      <c r="O126" s="30" t="n">
        <v>5.256482749</v>
      </c>
      <c r="P126" s="30" t="n">
        <v>0</v>
      </c>
      <c r="Q126" s="30" t="inlineStr">
        <is>
          <t xml:space="preserve">One of the largest UK banks </t>
        </is>
      </c>
      <c r="R126" s="30" t="inlineStr">
        <is>
          <t>GBP</t>
        </is>
      </c>
      <c r="S126" s="30" t="inlineStr">
        <is>
          <t>Investment Grade</t>
        </is>
      </c>
      <c r="T126" s="30" t="inlineStr">
        <is>
          <t>BBB+</t>
        </is>
      </c>
      <c r="U126" s="30" t="inlineStr">
        <is>
          <t>BBB+</t>
        </is>
      </c>
      <c r="V126" s="30" t="n"/>
    </row>
    <row r="127">
      <c r="A127" s="30" t="inlineStr">
        <is>
          <t>XS2431029441</t>
        </is>
      </c>
      <c r="B127" s="30" t="inlineStr">
        <is>
          <t>Hold</t>
        </is>
      </c>
      <c r="C127" s="30" t="inlineStr">
        <is>
          <t>Axa Sa</t>
        </is>
      </c>
      <c r="D127" s="30" t="n">
        <v>1.875</v>
      </c>
      <c r="E127" s="30" t="inlineStr">
        <is>
          <t>Subordinated</t>
        </is>
      </c>
      <c r="F127" s="30" t="inlineStr">
        <is>
          <t>10.07.2042</t>
        </is>
      </c>
      <c r="G127" s="30" t="inlineStr">
        <is>
          <t>France</t>
        </is>
      </c>
      <c r="H127" s="30" t="inlineStr">
        <is>
          <t>Financial</t>
        </is>
      </c>
      <c r="I127" s="30" t="n">
        <v>100</v>
      </c>
      <c r="J127" s="30" t="n">
        <v>89.53</v>
      </c>
      <c r="K127" s="30" t="n">
        <v>3.592715</v>
      </c>
      <c r="L127" s="30" t="n">
        <v>-0.07750899999999999</v>
      </c>
      <c r="M127" s="30" t="n">
        <v>-0.124003</v>
      </c>
      <c r="N127" s="30" t="n">
        <v>147.4254761</v>
      </c>
      <c r="O127" s="30" t="n">
        <v>6.591161507</v>
      </c>
      <c r="P127" s="30" t="n">
        <v>50</v>
      </c>
      <c r="Q127" s="30" t="inlineStr">
        <is>
          <t>Global insurance group</t>
        </is>
      </c>
      <c r="R127" s="30" t="inlineStr">
        <is>
          <t>EUR</t>
        </is>
      </c>
      <c r="S127" s="30" t="inlineStr">
        <is>
          <t>Investment Grade</t>
        </is>
      </c>
      <c r="T127" s="30" t="inlineStr">
        <is>
          <t>A-</t>
        </is>
      </c>
      <c r="U127" s="30" t="inlineStr">
        <is>
          <t>A-</t>
        </is>
      </c>
      <c r="V127" s="30" t="n"/>
    </row>
    <row r="128">
      <c r="A128" s="30" t="inlineStr">
        <is>
          <t>XS0556373347</t>
        </is>
      </c>
      <c r="B128" s="30" t="inlineStr">
        <is>
          <t>Hold</t>
        </is>
      </c>
      <c r="C128" s="30" t="inlineStr">
        <is>
          <t>Cosan Overseas Ltd</t>
        </is>
      </c>
      <c r="D128" s="30" t="n">
        <v>8.25</v>
      </c>
      <c r="E128" s="30" t="inlineStr">
        <is>
          <t>Sr Unsecured</t>
        </is>
      </c>
      <c r="F128" s="30" t="n">
        <v>46752</v>
      </c>
      <c r="G128" s="30" t="inlineStr">
        <is>
          <t>Brazil</t>
        </is>
      </c>
      <c r="H128" s="30" t="inlineStr">
        <is>
          <t>Energy</t>
        </is>
      </c>
      <c r="I128" s="30" t="n">
        <v>100</v>
      </c>
      <c r="J128" s="30" t="n">
        <v>100.532</v>
      </c>
      <c r="K128" s="30" t="n">
        <v>6.610807</v>
      </c>
      <c r="L128" s="30" t="n">
        <v>3.307967</v>
      </c>
      <c r="M128" s="30" t="n">
        <v>-0.547609</v>
      </c>
      <c r="N128" s="30" t="n">
        <v>146.7538295</v>
      </c>
      <c r="O128" s="30" t="n">
        <v>0.197942834</v>
      </c>
      <c r="P128" s="30" t="n">
        <v>0</v>
      </c>
      <c r="Q128" s="30" t="inlineStr">
        <is>
          <t xml:space="preserve">Brazilian producer in  bioethanol, sugar and energy </t>
        </is>
      </c>
      <c r="R128" s="30" t="inlineStr">
        <is>
          <t>USD</t>
        </is>
      </c>
      <c r="S128" s="30" t="inlineStr">
        <is>
          <t>Latin America</t>
        </is>
      </c>
      <c r="T128" s="30" t="inlineStr">
        <is>
          <t>BB</t>
        </is>
      </c>
      <c r="U128" s="30" t="inlineStr">
        <is>
          <t>BB</t>
        </is>
      </c>
      <c r="V128" s="30" t="n"/>
    </row>
    <row r="129">
      <c r="A129" s="30" t="inlineStr">
        <is>
          <t>USP04568AB06</t>
        </is>
      </c>
      <c r="B129" s="30" t="inlineStr">
        <is>
          <t>Top Pick</t>
        </is>
      </c>
      <c r="C129" s="30" t="inlineStr">
        <is>
          <t>Arcos Dorados Bv</t>
        </is>
      </c>
      <c r="D129" s="30" t="n">
        <v>6.125</v>
      </c>
      <c r="E129" s="30" t="inlineStr">
        <is>
          <t>Sr Unsecured</t>
        </is>
      </c>
      <c r="F129" s="30" t="inlineStr">
        <is>
          <t>27.05.2029</t>
        </is>
      </c>
      <c r="G129" s="30" t="inlineStr">
        <is>
          <t>Brazil</t>
        </is>
      </c>
      <c r="H129" s="30" t="inlineStr">
        <is>
          <t>Consumer, Cyclical</t>
        </is>
      </c>
      <c r="I129" s="30" t="n">
        <v>200</v>
      </c>
      <c r="J129" s="30" t="n">
        <v>101.439</v>
      </c>
      <c r="K129" s="30" t="n">
        <v>5.575504</v>
      </c>
      <c r="L129" s="30" t="n">
        <v>0.059752</v>
      </c>
      <c r="M129" s="30" t="n">
        <v>-0.238129</v>
      </c>
      <c r="N129" s="30" t="n">
        <v>146.4266578</v>
      </c>
      <c r="O129" s="30" t="n">
        <v>2.892662627</v>
      </c>
      <c r="P129" s="30" t="n">
        <v>0</v>
      </c>
      <c r="Q129" s="30" t="inlineStr">
        <is>
          <t>Largest MacDonald franchisee in Latin America</t>
        </is>
      </c>
      <c r="R129" s="30" t="inlineStr">
        <is>
          <t>USD</t>
        </is>
      </c>
      <c r="S129" s="30" t="inlineStr">
        <is>
          <t>Latin America</t>
        </is>
      </c>
      <c r="T129" s="30" t="inlineStr">
        <is>
          <t>BB+</t>
        </is>
      </c>
      <c r="U129" s="30" t="inlineStr">
        <is>
          <t>BB+</t>
        </is>
      </c>
      <c r="V129" s="30" t="n"/>
    </row>
    <row r="130">
      <c r="A130" s="30" t="inlineStr">
        <is>
          <t>US05947LBB36</t>
        </is>
      </c>
      <c r="B130" s="30" t="inlineStr">
        <is>
          <t>Top Pick</t>
        </is>
      </c>
      <c r="C130" s="30" t="inlineStr">
        <is>
          <t>Banco Bradesco (Cayman)</t>
        </is>
      </c>
      <c r="D130" s="30" t="n">
        <v>6.5</v>
      </c>
      <c r="E130" s="30" t="inlineStr">
        <is>
          <t>Sr Unsecured</t>
        </is>
      </c>
      <c r="F130" s="30" t="inlineStr">
        <is>
          <t>22.01.2030</t>
        </is>
      </c>
      <c r="G130" s="30" t="inlineStr">
        <is>
          <t>Brazil</t>
        </is>
      </c>
      <c r="H130" s="30" t="inlineStr">
        <is>
          <t>Financial</t>
        </is>
      </c>
      <c r="I130" s="30" t="n">
        <v>200</v>
      </c>
      <c r="J130" s="30" t="n">
        <v>104.489</v>
      </c>
      <c r="K130" s="30" t="n">
        <v>5.371717</v>
      </c>
      <c r="L130" s="30" t="n">
        <v>-0.002948</v>
      </c>
      <c r="M130" s="30" t="n">
        <v>-0.135452</v>
      </c>
      <c r="N130" s="30" t="n">
        <v>145.9320121</v>
      </c>
      <c r="O130" s="30" t="n">
        <v>4.160838039</v>
      </c>
      <c r="P130" s="30" t="n">
        <v>0</v>
      </c>
      <c r="Q130" s="30" t="inlineStr">
        <is>
          <t>One of the largest banks in Spain</t>
        </is>
      </c>
      <c r="R130" s="30" t="inlineStr">
        <is>
          <t>USD</t>
        </is>
      </c>
      <c r="S130" s="30" t="inlineStr">
        <is>
          <t>Latin America</t>
        </is>
      </c>
      <c r="T130" s="30" t="inlineStr">
        <is>
          <t>BB</t>
        </is>
      </c>
      <c r="U130" s="30" t="inlineStr">
        <is>
          <t>BB+</t>
        </is>
      </c>
      <c r="V130" s="30" t="n"/>
    </row>
    <row r="131">
      <c r="A131" s="30" t="inlineStr">
        <is>
          <t>USU1022EAF52</t>
        </is>
      </c>
      <c r="B131" s="30" t="inlineStr">
        <is>
          <t>Hold</t>
        </is>
      </c>
      <c r="C131" s="30" t="inlineStr">
        <is>
          <t>Boyd Gaming Corp</t>
        </is>
      </c>
      <c r="D131" s="30" t="n">
        <v>4.75</v>
      </c>
      <c r="E131" s="30" t="inlineStr">
        <is>
          <t>Sr Unsecured</t>
        </is>
      </c>
      <c r="F131" s="30" t="inlineStr">
        <is>
          <t>15.06.2031</t>
        </is>
      </c>
      <c r="G131" s="30" t="inlineStr">
        <is>
          <t>United states</t>
        </is>
      </c>
      <c r="H131" s="30" t="inlineStr">
        <is>
          <t>Consumer, Cyclical</t>
        </is>
      </c>
      <c r="I131" s="30" t="n">
        <v>2</v>
      </c>
      <c r="J131" s="30" t="n">
        <v>95.624</v>
      </c>
      <c r="K131" s="30" t="n">
        <v>5.627014</v>
      </c>
      <c r="L131" s="30" t="n">
        <v>-0.000802</v>
      </c>
      <c r="M131" s="30" t="n">
        <v>-0.225768</v>
      </c>
      <c r="N131" s="30" t="n">
        <v>145.6454254</v>
      </c>
      <c r="O131" s="30" t="n">
        <v>5.223185654</v>
      </c>
      <c r="P131" s="30" t="n">
        <v>25</v>
      </c>
      <c r="Q131" s="30" t="inlineStr">
        <is>
          <t>A casino entertainment</t>
        </is>
      </c>
      <c r="R131" s="30" t="inlineStr">
        <is>
          <t>USD</t>
        </is>
      </c>
      <c r="S131" s="30" t="inlineStr">
        <is>
          <t>High Yield</t>
        </is>
      </c>
      <c r="T131" s="30" t="inlineStr">
        <is>
          <t>BB-</t>
        </is>
      </c>
      <c r="U131" s="30" t="inlineStr">
        <is>
          <t>BB-</t>
        </is>
      </c>
      <c r="V131" s="30" t="n"/>
    </row>
    <row r="132">
      <c r="A132" s="30" t="inlineStr">
        <is>
          <t>USH42097DT18</t>
        </is>
      </c>
      <c r="B132" s="30" t="inlineStr">
        <is>
          <t xml:space="preserve">Hold </t>
        </is>
      </c>
      <c r="C132" s="30" t="inlineStr">
        <is>
          <t>Ubs Group Ag</t>
        </is>
      </c>
      <c r="D132" s="30" t="n">
        <v>5.959</v>
      </c>
      <c r="E132" s="30" t="inlineStr">
        <is>
          <t>Sr Unsecured</t>
        </is>
      </c>
      <c r="F132" s="30" t="inlineStr">
        <is>
          <t>12.01.2034</t>
        </is>
      </c>
      <c r="G132" s="30" t="inlineStr">
        <is>
          <t>Switzerland</t>
        </is>
      </c>
      <c r="H132" s="30" t="inlineStr">
        <is>
          <t>Financial</t>
        </is>
      </c>
      <c r="I132" s="30" t="n">
        <v>200</v>
      </c>
      <c r="J132" s="30" t="n">
        <v>105.003</v>
      </c>
      <c r="K132" s="30" t="n">
        <v>5.14724</v>
      </c>
      <c r="L132" s="30" t="n">
        <v>-0.024911</v>
      </c>
      <c r="M132" s="30" t="n">
        <v>-0.194086</v>
      </c>
      <c r="N132" s="30" t="n">
        <v>145.3052629</v>
      </c>
      <c r="O132" s="30" t="n">
        <v>6.230711032</v>
      </c>
      <c r="P132" s="30" t="n">
        <v>25</v>
      </c>
      <c r="Q132" s="30" t="inlineStr">
        <is>
          <t>Largest bank of Switzerland</t>
        </is>
      </c>
      <c r="R132" s="30" t="inlineStr">
        <is>
          <t>USD</t>
        </is>
      </c>
      <c r="S132" s="30" t="inlineStr">
        <is>
          <t>Investment Grade</t>
        </is>
      </c>
      <c r="T132" s="30" t="inlineStr">
        <is>
          <t>A-</t>
        </is>
      </c>
      <c r="U132" s="30" t="inlineStr">
        <is>
          <t>A-</t>
        </is>
      </c>
      <c r="V132" s="30" t="n"/>
    </row>
    <row r="133">
      <c r="A133" s="30" t="inlineStr">
        <is>
          <t>USG2440JAG07</t>
        </is>
      </c>
      <c r="B133" s="30" t="inlineStr">
        <is>
          <t xml:space="preserve">Hold </t>
        </is>
      </c>
      <c r="C133" s="30" t="inlineStr">
        <is>
          <t>Gusap Iii Lp</t>
        </is>
      </c>
      <c r="D133" s="30" t="n">
        <v>7.25</v>
      </c>
      <c r="E133" s="30" t="inlineStr">
        <is>
          <t>Sr Unsecured</t>
        </is>
      </c>
      <c r="F133" s="30" t="inlineStr">
        <is>
          <t>16.04.2044</t>
        </is>
      </c>
      <c r="G133" s="30" t="inlineStr">
        <is>
          <t>Brazil</t>
        </is>
      </c>
      <c r="H133" s="30" t="inlineStr">
        <is>
          <t>Basic Materials</t>
        </is>
      </c>
      <c r="I133" s="30" t="n">
        <v>200</v>
      </c>
      <c r="J133" s="30" t="n">
        <v>110.896</v>
      </c>
      <c r="K133" s="30" t="n">
        <v>6.240776</v>
      </c>
      <c r="L133" s="30" t="n">
        <v>-0.009039</v>
      </c>
      <c r="M133" s="30" t="n">
        <v>-0.175371</v>
      </c>
      <c r="N133" s="30" t="n">
        <v>145.2781736</v>
      </c>
      <c r="O133" s="30" t="n">
        <v>10.32556855</v>
      </c>
      <c r="P133" s="30" t="n">
        <v>25</v>
      </c>
      <c r="Q133" s="30" t="inlineStr">
        <is>
          <t>Leading producer of steel in the Americas</t>
        </is>
      </c>
      <c r="R133" s="30" t="inlineStr">
        <is>
          <t>USD</t>
        </is>
      </c>
      <c r="S133" s="30" t="inlineStr">
        <is>
          <t>Latin America</t>
        </is>
      </c>
      <c r="T133" s="30" t="inlineStr">
        <is>
          <t>BBB</t>
        </is>
      </c>
      <c r="U133" s="30" t="inlineStr">
        <is>
          <t>BBB</t>
        </is>
      </c>
      <c r="V133" s="30" t="n"/>
    </row>
    <row r="134">
      <c r="A134" s="30" t="inlineStr">
        <is>
          <t>XS2984222989</t>
        </is>
      </c>
      <c r="B134" s="30" t="inlineStr">
        <is>
          <t xml:space="preserve">Hold </t>
        </is>
      </c>
      <c r="C134" s="30" t="inlineStr">
        <is>
          <t>Banco Santander Sa</t>
        </is>
      </c>
      <c r="D134" s="30" t="n">
        <v>5.625</v>
      </c>
      <c r="E134" s="30" t="inlineStr">
        <is>
          <t>Sr Non Preferred</t>
        </is>
      </c>
      <c r="F134" s="30" t="inlineStr">
        <is>
          <t>27.01.2031</t>
        </is>
      </c>
      <c r="G134" s="30" t="inlineStr">
        <is>
          <t>Spain</t>
        </is>
      </c>
      <c r="H134" s="30" t="inlineStr">
        <is>
          <t>Financial</t>
        </is>
      </c>
      <c r="I134" s="30" t="n">
        <v>100</v>
      </c>
      <c r="J134" s="30" t="n">
        <v>101.893</v>
      </c>
      <c r="K134" s="30" t="n">
        <v>5.055578</v>
      </c>
      <c r="L134" s="30" t="n">
        <v>-0.030085</v>
      </c>
      <c r="M134" s="30" t="n">
        <v>-0.23169</v>
      </c>
      <c r="N134" s="30" t="n">
        <v>144.9762132</v>
      </c>
      <c r="O134" s="30" t="n">
        <v>4.195622827</v>
      </c>
      <c r="P134" s="30" t="n">
        <v>0</v>
      </c>
      <c r="Q134" s="30" t="inlineStr">
        <is>
          <t>Spain's largest banking group</t>
        </is>
      </c>
      <c r="R134" s="30" t="inlineStr">
        <is>
          <t>GBP</t>
        </is>
      </c>
      <c r="S134" s="30" t="inlineStr">
        <is>
          <t>Investment Grade</t>
        </is>
      </c>
      <c r="T134" s="30" t="inlineStr">
        <is>
          <t>A-</t>
        </is>
      </c>
      <c r="U134" s="30" t="inlineStr">
        <is>
          <t>A-</t>
        </is>
      </c>
      <c r="V134" s="30" t="n"/>
    </row>
    <row r="135">
      <c r="A135" s="30" t="inlineStr">
        <is>
          <t>XS2802883731</t>
        </is>
      </c>
      <c r="B135" s="30" t="inlineStr">
        <is>
          <t xml:space="preserve">Hold </t>
        </is>
      </c>
      <c r="C135" s="30" t="inlineStr">
        <is>
          <t>Dufry One Bv</t>
        </is>
      </c>
      <c r="D135" s="30" t="n">
        <v>4.75</v>
      </c>
      <c r="E135" s="30" t="inlineStr">
        <is>
          <t>Sr Unsecured</t>
        </is>
      </c>
      <c r="F135" s="30" t="inlineStr">
        <is>
          <t>18.04.2031</t>
        </is>
      </c>
      <c r="G135" s="30" t="inlineStr">
        <is>
          <t>Switzerland</t>
        </is>
      </c>
      <c r="H135" s="30" t="inlineStr">
        <is>
          <t>Consumer, Cyclical</t>
        </is>
      </c>
      <c r="I135" s="30" t="n">
        <v>100</v>
      </c>
      <c r="J135" s="30" t="n">
        <v>102.9</v>
      </c>
      <c r="K135" s="30" t="n">
        <v>3.952821</v>
      </c>
      <c r="L135" s="30" t="n">
        <v>-0.038697</v>
      </c>
      <c r="M135" s="30" t="n">
        <v>0.049395</v>
      </c>
      <c r="N135" s="30" t="n">
        <v>144.8708327</v>
      </c>
      <c r="O135" s="30" t="n">
        <v>3.698572012</v>
      </c>
      <c r="P135" s="30" t="n">
        <v>25</v>
      </c>
      <c r="Q135" s="30" t="inlineStr">
        <is>
          <t>World's biggest airport retailer</t>
        </is>
      </c>
      <c r="R135" s="30" t="inlineStr">
        <is>
          <t>EUR</t>
        </is>
      </c>
      <c r="S135" s="30" t="inlineStr">
        <is>
          <t>High Yield</t>
        </is>
      </c>
      <c r="T135" s="30" t="inlineStr">
        <is>
          <t>NR</t>
        </is>
      </c>
      <c r="U135" s="30" t="inlineStr">
        <is>
          <t>NR</t>
        </is>
      </c>
      <c r="V135" s="30" t="n"/>
    </row>
    <row r="136">
      <c r="A136" s="30" t="inlineStr">
        <is>
          <t>USP30179BQ04</t>
        </is>
      </c>
      <c r="B136" s="30" t="inlineStr">
        <is>
          <t>Top pick</t>
        </is>
      </c>
      <c r="C136" s="30" t="inlineStr">
        <is>
          <t>Comision Federal De Elec</t>
        </is>
      </c>
      <c r="D136" s="30" t="n">
        <v>4.688</v>
      </c>
      <c r="E136" s="30" t="inlineStr">
        <is>
          <t>Sr Unsecured</t>
        </is>
      </c>
      <c r="F136" s="30" t="inlineStr">
        <is>
          <t>15.05.2029</t>
        </is>
      </c>
      <c r="G136" s="30" t="inlineStr">
        <is>
          <t>Mexico</t>
        </is>
      </c>
      <c r="H136" s="30" t="inlineStr">
        <is>
          <t>Utilities</t>
        </is>
      </c>
      <c r="I136" s="30" t="n">
        <v>200</v>
      </c>
      <c r="J136" s="30" t="n">
        <v>97.745</v>
      </c>
      <c r="K136" s="30" t="n">
        <v>5.341327</v>
      </c>
      <c r="L136" s="30" t="n">
        <v>0.000621</v>
      </c>
      <c r="M136" s="30" t="n">
        <v>-0.183382</v>
      </c>
      <c r="N136" s="30" t="n">
        <v>144.5848859</v>
      </c>
      <c r="O136" s="30" t="n">
        <v>3.714768422</v>
      </c>
      <c r="P136" s="30" t="n">
        <v>60</v>
      </c>
      <c r="Q136" s="30" t="inlineStr">
        <is>
          <t>Generates and distributes electricity.</t>
        </is>
      </c>
      <c r="R136" s="30" t="inlineStr">
        <is>
          <t>USD</t>
        </is>
      </c>
      <c r="S136" s="30" t="inlineStr">
        <is>
          <t>Latin America</t>
        </is>
      </c>
      <c r="T136" s="30" t="inlineStr">
        <is>
          <t>BBB-</t>
        </is>
      </c>
      <c r="U136" s="30" t="inlineStr">
        <is>
          <t>BBB-</t>
        </is>
      </c>
      <c r="V136" s="30" t="n"/>
    </row>
    <row r="137">
      <c r="A137" s="30" t="inlineStr">
        <is>
          <t>US38141GC449</t>
        </is>
      </c>
      <c r="B137" s="30" t="inlineStr">
        <is>
          <t xml:space="preserve">Hold </t>
        </is>
      </c>
      <c r="C137" s="30" t="inlineStr">
        <is>
          <t>Goldman Sachs Group Inc</t>
        </is>
      </c>
      <c r="D137" s="30" t="n">
        <v>5.536</v>
      </c>
      <c r="E137" s="30" t="inlineStr">
        <is>
          <t>Sr Unsecured</t>
        </is>
      </c>
      <c r="F137" s="30" t="inlineStr">
        <is>
          <t>28.01.2036</t>
        </is>
      </c>
      <c r="G137" s="30" t="inlineStr">
        <is>
          <t>United states</t>
        </is>
      </c>
      <c r="H137" s="30" t="inlineStr">
        <is>
          <t>Financial</t>
        </is>
      </c>
      <c r="I137" s="30" t="n">
        <v>1</v>
      </c>
      <c r="J137" s="30" t="n">
        <v>102.27</v>
      </c>
      <c r="K137" s="30" t="n">
        <v>5.230643</v>
      </c>
      <c r="L137" s="30" t="n">
        <v>-0.037273</v>
      </c>
      <c r="M137" s="30" t="n">
        <v>-0.186455</v>
      </c>
      <c r="N137" s="30" t="n">
        <v>143.7278333</v>
      </c>
      <c r="O137" s="30" t="n">
        <v>7.544387692</v>
      </c>
      <c r="P137" s="30" t="n">
        <v>0</v>
      </c>
      <c r="Q137" s="30" t="inlineStr">
        <is>
          <t>One of the largest US investment banks</t>
        </is>
      </c>
      <c r="R137" s="30" t="inlineStr">
        <is>
          <t>USD</t>
        </is>
      </c>
      <c r="S137" s="30" t="inlineStr">
        <is>
          <t>Investment Grade</t>
        </is>
      </c>
      <c r="T137" s="30" t="inlineStr">
        <is>
          <t>A-</t>
        </is>
      </c>
      <c r="U137" s="30" t="inlineStr">
        <is>
          <t>A-</t>
        </is>
      </c>
      <c r="V137" s="30" t="n"/>
    </row>
    <row r="138">
      <c r="A138" s="30" t="inlineStr">
        <is>
          <t>FR001400Q6Z9</t>
        </is>
      </c>
      <c r="B138" s="30" t="inlineStr">
        <is>
          <t>Top Pick</t>
        </is>
      </c>
      <c r="C138" s="30" t="inlineStr">
        <is>
          <t>Air France-Klm</t>
        </is>
      </c>
      <c r="D138" s="30" t="n">
        <v>4.625</v>
      </c>
      <c r="E138" s="30" t="inlineStr">
        <is>
          <t>Sr Unsecured</t>
        </is>
      </c>
      <c r="F138" s="30" t="inlineStr">
        <is>
          <t>23.05.2029</t>
        </is>
      </c>
      <c r="G138" s="30" t="inlineStr">
        <is>
          <t>France</t>
        </is>
      </c>
      <c r="H138" s="30" t="inlineStr">
        <is>
          <t>Consumer, Cyclical</t>
        </is>
      </c>
      <c r="I138" s="30" t="n">
        <v>100</v>
      </c>
      <c r="J138" s="30" t="n">
        <v>103.608</v>
      </c>
      <c r="K138" s="30" t="n">
        <v>3.548669</v>
      </c>
      <c r="L138" s="30" t="n">
        <v>-0.073328</v>
      </c>
      <c r="M138" s="30" t="n">
        <v>0.105508</v>
      </c>
      <c r="N138" s="30" t="n">
        <v>141.8665764</v>
      </c>
      <c r="O138" s="30" t="n">
        <v>3.49279237</v>
      </c>
      <c r="P138" s="30" t="n">
        <v>25</v>
      </c>
      <c r="Q138" s="30" t="inlineStr">
        <is>
          <t>Offers air transportation services</t>
        </is>
      </c>
      <c r="R138" s="30" t="inlineStr">
        <is>
          <t>EUR</t>
        </is>
      </c>
      <c r="S138" s="30" t="inlineStr">
        <is>
          <t>High Yield</t>
        </is>
      </c>
      <c r="T138" s="30" t="inlineStr">
        <is>
          <t>BB+</t>
        </is>
      </c>
      <c r="U138" s="30" t="inlineStr">
        <is>
          <t>BB+</t>
        </is>
      </c>
      <c r="V138" s="30" t="n"/>
    </row>
    <row r="139">
      <c r="A139" s="30" t="inlineStr">
        <is>
          <t>XS2434515313</t>
        </is>
      </c>
      <c r="B139" s="30" t="inlineStr">
        <is>
          <t xml:space="preserve">Hold </t>
        </is>
      </c>
      <c r="C139" s="30" t="inlineStr">
        <is>
          <t>Coca-Cola Icecek As</t>
        </is>
      </c>
      <c r="D139" s="30" t="n">
        <v>4.5</v>
      </c>
      <c r="E139" s="30" t="inlineStr">
        <is>
          <t>Sr Unsecured</t>
        </is>
      </c>
      <c r="F139" s="30" t="inlineStr">
        <is>
          <t>20.01.2029</t>
        </is>
      </c>
      <c r="G139" s="30" t="inlineStr">
        <is>
          <t>Turkey</t>
        </is>
      </c>
      <c r="H139" s="30" t="inlineStr">
        <is>
          <t>Consumer, Non-cyclical</t>
        </is>
      </c>
      <c r="I139" s="30" t="n">
        <v>200</v>
      </c>
      <c r="J139" s="30" t="n">
        <v>97.43300000000001</v>
      </c>
      <c r="K139" s="30" t="n">
        <v>5.306356</v>
      </c>
      <c r="L139" s="30" t="n">
        <v>-0.057566</v>
      </c>
      <c r="M139" s="30" t="n">
        <v>-0.227373</v>
      </c>
      <c r="N139" s="30" t="n">
        <v>141.7623886</v>
      </c>
      <c r="O139" s="30" t="n">
        <v>3.499252475</v>
      </c>
      <c r="P139" s="30" t="n">
        <v>25</v>
      </c>
      <c r="Q139" s="30" t="inlineStr">
        <is>
          <t>Coca-Cola's top ten largest bottler</t>
        </is>
      </c>
      <c r="R139" s="30" t="inlineStr">
        <is>
          <t>USD</t>
        </is>
      </c>
      <c r="S139" s="30" t="inlineStr">
        <is>
          <t>Investment Grade</t>
        </is>
      </c>
      <c r="T139" s="30" t="inlineStr">
        <is>
          <t>BBB-</t>
        </is>
      </c>
      <c r="U139" s="30" t="inlineStr">
        <is>
          <t>BBB-</t>
        </is>
      </c>
      <c r="V139" s="30" t="n"/>
    </row>
    <row r="140">
      <c r="A140" s="30" t="inlineStr">
        <is>
          <t>US88167AAR23</t>
        </is>
      </c>
      <c r="B140" s="30" t="inlineStr">
        <is>
          <t>Hold</t>
        </is>
      </c>
      <c r="C140" s="30" t="inlineStr">
        <is>
          <t>Teva Pharmaceuticals Ne</t>
        </is>
      </c>
      <c r="D140" s="30" t="n">
        <v>8.125</v>
      </c>
      <c r="E140" s="30" t="inlineStr">
        <is>
          <t>Sr Unsecured</t>
        </is>
      </c>
      <c r="F140" s="30" t="inlineStr">
        <is>
          <t>15.09.2031</t>
        </is>
      </c>
      <c r="G140" s="30" t="inlineStr">
        <is>
          <t>Israel</t>
        </is>
      </c>
      <c r="H140" s="30" t="inlineStr">
        <is>
          <t>Consumer, Non-cyclical</t>
        </is>
      </c>
      <c r="I140" s="30" t="n">
        <v>200</v>
      </c>
      <c r="J140" s="30" t="n">
        <v>113.463</v>
      </c>
      <c r="K140" s="30" t="n">
        <v>5.440035</v>
      </c>
      <c r="L140" s="30" t="n">
        <v>-0.088975</v>
      </c>
      <c r="M140" s="30" t="n">
        <v>-0.39012</v>
      </c>
      <c r="N140" s="30" t="n">
        <v>140.3460112</v>
      </c>
      <c r="O140" s="30" t="n">
        <v>4.846689371</v>
      </c>
      <c r="P140" s="30" t="n">
        <v>0</v>
      </c>
      <c r="Q140" s="30" t="inlineStr">
        <is>
          <t>Largest manufacturer of pharmaceutical generics</t>
        </is>
      </c>
      <c r="R140" s="30" t="inlineStr">
        <is>
          <t>USD</t>
        </is>
      </c>
      <c r="S140" s="30" t="inlineStr">
        <is>
          <t>High Yield</t>
        </is>
      </c>
      <c r="T140" s="30" t="inlineStr">
        <is>
          <t>BB</t>
        </is>
      </c>
      <c r="U140" s="30" t="inlineStr">
        <is>
          <t>BB</t>
        </is>
      </c>
      <c r="V140" s="30" t="n"/>
    </row>
    <row r="141">
      <c r="A141" s="30" t="inlineStr">
        <is>
          <t>XS2393518597</t>
        </is>
      </c>
      <c r="B141" s="30" t="inlineStr">
        <is>
          <t>Hold</t>
        </is>
      </c>
      <c r="C141" s="30" t="inlineStr">
        <is>
          <t>Banco Santander Sa</t>
        </is>
      </c>
      <c r="D141" s="30" t="n">
        <v>2.25</v>
      </c>
      <c r="E141" s="30" t="inlineStr">
        <is>
          <t>Subordinated</t>
        </is>
      </c>
      <c r="F141" s="30" t="inlineStr">
        <is>
          <t>04.10.2032</t>
        </is>
      </c>
      <c r="G141" s="30" t="inlineStr">
        <is>
          <t>Spain</t>
        </is>
      </c>
      <c r="H141" s="30" t="inlineStr">
        <is>
          <t>Financial</t>
        </is>
      </c>
      <c r="I141" s="30" t="n">
        <v>100</v>
      </c>
      <c r="J141" s="30" t="n">
        <v>94.825</v>
      </c>
      <c r="K141" s="30" t="n">
        <v>4.681603</v>
      </c>
      <c r="L141" s="30" t="n">
        <v>-0.130485</v>
      </c>
      <c r="M141" s="30" t="n">
        <v>-0.40167</v>
      </c>
      <c r="N141" s="30" t="n">
        <v>140.2558772</v>
      </c>
      <c r="O141" s="30" t="n">
        <v>2.413135434</v>
      </c>
      <c r="P141" s="30" t="n">
        <v>50</v>
      </c>
      <c r="Q141" s="30" t="inlineStr">
        <is>
          <t>Spain's largest banking group</t>
        </is>
      </c>
      <c r="R141" s="30" t="inlineStr">
        <is>
          <t>GBP</t>
        </is>
      </c>
      <c r="S141" s="30" t="inlineStr">
        <is>
          <t>Investment Grade</t>
        </is>
      </c>
      <c r="T141" s="30" t="inlineStr">
        <is>
          <t>BBB</t>
        </is>
      </c>
      <c r="U141" s="30" t="inlineStr">
        <is>
          <t>BBB</t>
        </is>
      </c>
      <c r="V141" s="30" t="n"/>
    </row>
    <row r="142">
      <c r="A142" s="30" t="inlineStr">
        <is>
          <t>US345397C270</t>
        </is>
      </c>
      <c r="B142" s="30" t="inlineStr">
        <is>
          <t>Top Pick</t>
        </is>
      </c>
      <c r="C142" s="30" t="inlineStr">
        <is>
          <t>Ford Motor Credit Co Llc</t>
        </is>
      </c>
      <c r="D142" s="30" t="n">
        <v>4.95</v>
      </c>
      <c r="E142" s="30" t="inlineStr">
        <is>
          <t>Sr Unsecured</t>
        </is>
      </c>
      <c r="F142" s="30" t="inlineStr">
        <is>
          <t>28.05.2027</t>
        </is>
      </c>
      <c r="G142" s="30" t="inlineStr">
        <is>
          <t>United states</t>
        </is>
      </c>
      <c r="H142" s="30" t="inlineStr">
        <is>
          <t>Consumer, Cyclical</t>
        </is>
      </c>
      <c r="I142" s="30" t="n">
        <v>200</v>
      </c>
      <c r="J142" s="30" t="n">
        <v>99.39100000000001</v>
      </c>
      <c r="K142" s="30" t="n">
        <v>5.289892</v>
      </c>
      <c r="L142" s="30" t="n">
        <v>-0.053381</v>
      </c>
      <c r="M142" s="30" t="n">
        <v>-0.514147</v>
      </c>
      <c r="N142" s="30" t="n">
        <v>140.0721171</v>
      </c>
      <c r="O142" s="30" t="n">
        <v>2.092944959</v>
      </c>
      <c r="P142" s="30" t="n">
        <v>25</v>
      </c>
      <c r="Q142" s="30" t="inlineStr">
        <is>
          <t>Global automotive manufacturer</t>
        </is>
      </c>
      <c r="R142" s="30" t="inlineStr">
        <is>
          <t>USD</t>
        </is>
      </c>
      <c r="S142" s="30" t="inlineStr">
        <is>
          <t>Investment Grade</t>
        </is>
      </c>
      <c r="T142" s="30" t="inlineStr">
        <is>
          <t>BB+</t>
        </is>
      </c>
      <c r="U142" s="30" t="inlineStr">
        <is>
          <t>BB+</t>
        </is>
      </c>
      <c r="V142" s="30" t="n"/>
    </row>
    <row r="143">
      <c r="A143" s="30" t="inlineStr">
        <is>
          <t>USP3691NBL30</t>
        </is>
      </c>
      <c r="B143" s="30" t="inlineStr">
        <is>
          <t xml:space="preserve">Hold </t>
        </is>
      </c>
      <c r="C143" s="30" t="inlineStr">
        <is>
          <t>El Puerto De Liverpool</t>
        </is>
      </c>
      <c r="D143" s="30" t="n">
        <v>6.255</v>
      </c>
      <c r="E143" s="30" t="inlineStr">
        <is>
          <t>Sr Unsecured</t>
        </is>
      </c>
      <c r="F143" s="30" t="inlineStr">
        <is>
          <t>22.01.2032</t>
        </is>
      </c>
      <c r="G143" s="30" t="inlineStr">
        <is>
          <t>Mexico</t>
        </is>
      </c>
      <c r="H143" s="30" t="inlineStr">
        <is>
          <t>Consumer, Cyclical</t>
        </is>
      </c>
      <c r="I143" s="30" t="n">
        <v>200</v>
      </c>
      <c r="J143" s="30" t="n">
        <v>104.103</v>
      </c>
      <c r="K143" s="30" t="n">
        <v>5.483956</v>
      </c>
      <c r="L143" s="30" t="n">
        <v>-0.051269</v>
      </c>
      <c r="M143" s="30" t="n">
        <v>-0.247795</v>
      </c>
      <c r="N143" s="30" t="n">
        <v>139.9430102</v>
      </c>
      <c r="O143" s="30" t="n">
        <v>5.427456091</v>
      </c>
      <c r="P143" s="30" t="n">
        <v>0</v>
      </c>
      <c r="Q143" s="30" t="inlineStr">
        <is>
          <t xml:space="preserve">Department store operator and owner in Mexico </t>
        </is>
      </c>
      <c r="R143" s="30" t="inlineStr">
        <is>
          <t>USD</t>
        </is>
      </c>
      <c r="S143" s="30" t="inlineStr">
        <is>
          <t>Latin America</t>
        </is>
      </c>
      <c r="T143" s="30" t="inlineStr">
        <is>
          <t>BBB</t>
        </is>
      </c>
      <c r="U143" s="30" t="inlineStr">
        <is>
          <t>BBB</t>
        </is>
      </c>
      <c r="V143" s="30" t="n"/>
    </row>
    <row r="144">
      <c r="A144" s="30" t="inlineStr">
        <is>
          <t>FR001400KKX9</t>
        </is>
      </c>
      <c r="B144" s="30" t="inlineStr">
        <is>
          <t>Hold</t>
        </is>
      </c>
      <c r="C144" s="30" t="inlineStr">
        <is>
          <t>Tikehau Capital Sca</t>
        </is>
      </c>
      <c r="D144" s="30" t="n">
        <v>6.625</v>
      </c>
      <c r="E144" s="30" t="inlineStr">
        <is>
          <t>Sr Unsecured</t>
        </is>
      </c>
      <c r="F144" s="30" t="inlineStr">
        <is>
          <t>14.03.2030</t>
        </is>
      </c>
      <c r="G144" s="30" t="inlineStr">
        <is>
          <t>France</t>
        </is>
      </c>
      <c r="H144" s="30" t="inlineStr">
        <is>
          <t>Financial</t>
        </is>
      </c>
      <c r="I144" s="30" t="n">
        <v>100</v>
      </c>
      <c r="J144" s="30" t="n">
        <v>112.086</v>
      </c>
      <c r="K144" s="30" t="n">
        <v>3.623288</v>
      </c>
      <c r="L144" s="30" t="n">
        <v>-0.140751</v>
      </c>
      <c r="M144" s="30" t="n">
        <v>-0.201522</v>
      </c>
      <c r="N144" s="30" t="n">
        <v>139.9022855</v>
      </c>
      <c r="O144" s="30" t="n">
        <v>3.933552171</v>
      </c>
      <c r="P144" s="30" t="n">
        <v>60</v>
      </c>
      <c r="Q144" s="30" t="inlineStr">
        <is>
          <t>Operates as an asset management and investment company</t>
        </is>
      </c>
      <c r="R144" s="30" t="inlineStr">
        <is>
          <t>EUR</t>
        </is>
      </c>
      <c r="S144" s="30" t="inlineStr">
        <is>
          <t>Investment Grade</t>
        </is>
      </c>
      <c r="T144" s="30" t="inlineStr">
        <is>
          <t>BBB-</t>
        </is>
      </c>
      <c r="U144" s="30" t="inlineStr">
        <is>
          <t>BBB-</t>
        </is>
      </c>
      <c r="V144" s="30" t="n"/>
    </row>
    <row r="145">
      <c r="A145" s="30" t="inlineStr">
        <is>
          <t>XS2010026487</t>
        </is>
      </c>
      <c r="B145" s="30" t="inlineStr">
        <is>
          <t xml:space="preserve">Hold </t>
        </is>
      </c>
      <c r="C145" s="30" t="inlineStr">
        <is>
          <t>Hungary</t>
        </is>
      </c>
      <c r="D145" s="30" t="n">
        <v>5.5</v>
      </c>
      <c r="E145" s="30" t="inlineStr">
        <is>
          <t>Sr Unsecured</t>
        </is>
      </c>
      <c r="F145" s="30" t="inlineStr">
        <is>
          <t>16.06.2034</t>
        </is>
      </c>
      <c r="G145" s="30" t="inlineStr">
        <is>
          <t>Hungary</t>
        </is>
      </c>
      <c r="H145" s="30" t="inlineStr">
        <is>
          <t>Government</t>
        </is>
      </c>
      <c r="I145" s="30" t="n">
        <v>200</v>
      </c>
      <c r="J145" s="30" t="n">
        <v>98.836</v>
      </c>
      <c r="K145" s="30" t="n">
        <v>5.667269</v>
      </c>
      <c r="L145" s="30" t="n">
        <v>-0.149687</v>
      </c>
      <c r="M145" s="30" t="n">
        <v>-0.160148</v>
      </c>
      <c r="N145" s="30" t="n">
        <v>139.1341797</v>
      </c>
      <c r="O145" s="30" t="n">
        <v>7.09271215</v>
      </c>
      <c r="P145" s="30" t="n">
        <v>85</v>
      </c>
      <c r="Q145" s="30" t="inlineStr">
        <is>
          <t>Hungary government bnnd</t>
        </is>
      </c>
      <c r="R145" s="30" t="inlineStr">
        <is>
          <t>USD</t>
        </is>
      </c>
      <c r="S145" s="30" t="inlineStr">
        <is>
          <t>Investment Grade</t>
        </is>
      </c>
      <c r="T145" s="30" t="inlineStr">
        <is>
          <t>BBB-</t>
        </is>
      </c>
      <c r="U145" s="30" t="inlineStr">
        <is>
          <t>BBB-</t>
        </is>
      </c>
      <c r="V145" s="30" t="n"/>
    </row>
    <row r="146">
      <c r="A146" s="30" t="inlineStr">
        <is>
          <t>USP3772WAK82</t>
        </is>
      </c>
      <c r="B146" s="30" t="inlineStr">
        <is>
          <t>Hold</t>
        </is>
      </c>
      <c r="C146" s="30" t="inlineStr">
        <is>
          <t>Banco Do Brasil (Cayman)</t>
        </is>
      </c>
      <c r="D146" s="30" t="n">
        <v>4.875</v>
      </c>
      <c r="E146" s="30" t="inlineStr">
        <is>
          <t>Sr Unsecured</t>
        </is>
      </c>
      <c r="F146" s="30" t="inlineStr">
        <is>
          <t>11.01.2029</t>
        </is>
      </c>
      <c r="G146" s="30" t="inlineStr">
        <is>
          <t>Brazil</t>
        </is>
      </c>
      <c r="H146" s="30" t="inlineStr">
        <is>
          <t>Financial</t>
        </is>
      </c>
      <c r="I146" s="30" t="n">
        <v>200</v>
      </c>
      <c r="J146" s="30" t="n">
        <v>98.77800000000001</v>
      </c>
      <c r="K146" s="30" t="n">
        <v>5.260988</v>
      </c>
      <c r="L146" s="30" t="n">
        <v>-0.05014</v>
      </c>
      <c r="M146" s="30" t="n">
        <v>-0.129974</v>
      </c>
      <c r="N146" s="30" t="n">
        <v>139.1111512</v>
      </c>
      <c r="O146" s="30" t="n">
        <v>3.467594685</v>
      </c>
      <c r="P146" s="30" t="n">
        <v>25</v>
      </c>
      <c r="Q146" s="30" t="inlineStr">
        <is>
          <t>Largest Brazilian and Latin American bank by assets</t>
        </is>
      </c>
      <c r="R146" s="30" t="inlineStr">
        <is>
          <t>USD</t>
        </is>
      </c>
      <c r="S146" s="30" t="inlineStr">
        <is>
          <t>Latin America</t>
        </is>
      </c>
      <c r="T146" s="30" t="inlineStr">
        <is>
          <t>BB</t>
        </is>
      </c>
      <c r="U146" s="30" t="inlineStr">
        <is>
          <t>BB</t>
        </is>
      </c>
      <c r="V146" s="30" t="n"/>
    </row>
    <row r="147">
      <c r="A147" s="30" t="inlineStr">
        <is>
          <t>XS2580270275</t>
        </is>
      </c>
      <c r="B147" s="30" t="inlineStr">
        <is>
          <t>Hold</t>
        </is>
      </c>
      <c r="C147" s="30" t="inlineStr">
        <is>
          <t>Republic Of Serbia</t>
        </is>
      </c>
      <c r="D147" s="30" t="n">
        <v>6.5</v>
      </c>
      <c r="E147" s="30" t="inlineStr">
        <is>
          <t>Sr Unsecured</t>
        </is>
      </c>
      <c r="F147" s="30" t="inlineStr">
        <is>
          <t>26.09.2033</t>
        </is>
      </c>
      <c r="G147" s="30" t="inlineStr">
        <is>
          <t>Serbia</t>
        </is>
      </c>
      <c r="H147" s="30" t="inlineStr">
        <is>
          <t>Government</t>
        </is>
      </c>
      <c r="I147" s="30" t="n">
        <v>200</v>
      </c>
      <c r="J147" s="30" t="n">
        <v>105.842</v>
      </c>
      <c r="K147" s="30" t="n">
        <v>5.601295</v>
      </c>
      <c r="L147" s="30" t="n">
        <v>-0.065548</v>
      </c>
      <c r="M147" s="30" t="n">
        <v>-0.316149</v>
      </c>
      <c r="N147" s="30" t="n">
        <v>138.3412908</v>
      </c>
      <c r="O147" s="30" t="n">
        <v>6.391652369</v>
      </c>
      <c r="P147" s="30" t="n">
        <v>10</v>
      </c>
      <c r="Q147" s="30" t="inlineStr">
        <is>
          <t>Serbian government bond</t>
        </is>
      </c>
      <c r="R147" s="30" t="inlineStr">
        <is>
          <t>USD</t>
        </is>
      </c>
      <c r="S147" s="30" t="inlineStr">
        <is>
          <t>High Yield</t>
        </is>
      </c>
      <c r="T147" s="30" t="inlineStr">
        <is>
          <t>BB+</t>
        </is>
      </c>
      <c r="U147" s="30" t="inlineStr">
        <is>
          <t>BB+</t>
        </is>
      </c>
      <c r="V147" s="30" t="n"/>
    </row>
    <row r="148">
      <c r="A148" s="30" t="inlineStr">
        <is>
          <t>USP58072AX05</t>
        </is>
      </c>
      <c r="B148" s="30" t="inlineStr">
        <is>
          <t>Hold</t>
        </is>
      </c>
      <c r="C148" s="30" t="inlineStr">
        <is>
          <t>Inversiones Cmpc Sa</t>
        </is>
      </c>
      <c r="D148" s="30" t="n">
        <v>6.125</v>
      </c>
      <c r="E148" s="30" t="inlineStr">
        <is>
          <t>Sr Unsecured</t>
        </is>
      </c>
      <c r="F148" s="30" t="inlineStr">
        <is>
          <t>23.06.2033</t>
        </is>
      </c>
      <c r="G148" s="30" t="inlineStr">
        <is>
          <t>Chile</t>
        </is>
      </c>
      <c r="H148" s="30" t="inlineStr">
        <is>
          <t>Basic Materials</t>
        </is>
      </c>
      <c r="I148" s="30" t="n">
        <v>200</v>
      </c>
      <c r="J148" s="30" t="n">
        <v>103.375</v>
      </c>
      <c r="K148" s="30" t="n">
        <v>5.58078</v>
      </c>
      <c r="L148" s="30" t="n">
        <v>-0.102669</v>
      </c>
      <c r="M148" s="30" t="n">
        <v>-0.298669</v>
      </c>
      <c r="N148" s="30" t="n">
        <v>137.0761229</v>
      </c>
      <c r="O148" s="30" t="n">
        <v>6.268548029</v>
      </c>
      <c r="P148" s="30" t="n">
        <v>60</v>
      </c>
      <c r="Q148" s="30" t="inlineStr">
        <is>
          <t xml:space="preserve"> offers production and commercialization of papers, cellulose, and tissue products</t>
        </is>
      </c>
      <c r="R148" s="30" t="inlineStr">
        <is>
          <t>USD</t>
        </is>
      </c>
      <c r="S148" s="30" t="inlineStr">
        <is>
          <t>Latin America</t>
        </is>
      </c>
      <c r="T148" s="30" t="inlineStr">
        <is>
          <t>BBB-</t>
        </is>
      </c>
      <c r="U148" s="30" t="inlineStr">
        <is>
          <t>BBB-</t>
        </is>
      </c>
      <c r="V148" s="30" t="n"/>
    </row>
    <row r="149">
      <c r="A149" s="30" t="inlineStr">
        <is>
          <t>USP37110AK24</t>
        </is>
      </c>
      <c r="B149" s="30" t="inlineStr">
        <is>
          <t xml:space="preserve">Hold </t>
        </is>
      </c>
      <c r="C149" s="30" t="inlineStr">
        <is>
          <t>Empresa Nacional Del Pet</t>
        </is>
      </c>
      <c r="D149" s="30" t="n">
        <v>3.75</v>
      </c>
      <c r="E149" s="30" t="inlineStr">
        <is>
          <t>Sr Unsecured</t>
        </is>
      </c>
      <c r="F149" s="30" t="inlineStr">
        <is>
          <t>05.08.2026</t>
        </is>
      </c>
      <c r="G149" s="30" t="inlineStr">
        <is>
          <t>Chile</t>
        </is>
      </c>
      <c r="H149" s="30" t="inlineStr">
        <is>
          <t>Energy</t>
        </is>
      </c>
      <c r="I149" s="30" t="n">
        <v>200</v>
      </c>
      <c r="J149" s="30" t="n">
        <v>98.322</v>
      </c>
      <c r="K149" s="30" t="n">
        <v>5.375226</v>
      </c>
      <c r="L149" s="30" t="n">
        <v>0.048445</v>
      </c>
      <c r="M149" s="30" t="n">
        <v>0.028607</v>
      </c>
      <c r="N149" s="30" t="n">
        <v>136.7186271</v>
      </c>
      <c r="O149" s="30" t="n">
        <v>1.394224152</v>
      </c>
      <c r="P149" s="30" t="n">
        <v>0</v>
      </c>
      <c r="Q149" s="30" t="inlineStr">
        <is>
          <t xml:space="preserve">State-owned energy company </t>
        </is>
      </c>
      <c r="R149" s="30" t="inlineStr">
        <is>
          <t>USD</t>
        </is>
      </c>
      <c r="S149" s="30" t="inlineStr">
        <is>
          <t>Latin America</t>
        </is>
      </c>
      <c r="T149" s="30" t="inlineStr">
        <is>
          <t>BBB-</t>
        </is>
      </c>
      <c r="U149" s="30" t="inlineStr">
        <is>
          <t>BBB-</t>
        </is>
      </c>
      <c r="V149" s="30" t="n"/>
    </row>
    <row r="150">
      <c r="A150" s="30" t="inlineStr">
        <is>
          <t>US655422AV53</t>
        </is>
      </c>
      <c r="B150" s="30" t="inlineStr">
        <is>
          <t>Hold</t>
        </is>
      </c>
      <c r="C150" s="30" t="inlineStr">
        <is>
          <t>Glencore Canada Corp</t>
        </is>
      </c>
      <c r="D150" s="30" t="n">
        <v>6.2</v>
      </c>
      <c r="E150" s="30" t="inlineStr">
        <is>
          <t>Sr Unsecured</t>
        </is>
      </c>
      <c r="F150" s="30" t="inlineStr">
        <is>
          <t>15.06.2035</t>
        </is>
      </c>
      <c r="G150" s="30" t="inlineStr">
        <is>
          <t>Switzerland</t>
        </is>
      </c>
      <c r="H150" s="30" t="inlineStr">
        <is>
          <t>Basic Materials</t>
        </is>
      </c>
      <c r="I150" s="30" t="n">
        <v>1</v>
      </c>
      <c r="J150" s="30" t="n">
        <v>103.753</v>
      </c>
      <c r="K150" s="30" t="n">
        <v>5.699369</v>
      </c>
      <c r="L150" s="30" t="n">
        <v>-0.014942</v>
      </c>
      <c r="M150" s="30" t="n">
        <v>0.004947</v>
      </c>
      <c r="N150" s="30" t="n">
        <v>136.6761913</v>
      </c>
      <c r="O150" s="30" t="n">
        <v>7.542702578</v>
      </c>
      <c r="P150" s="30" t="n">
        <v>50</v>
      </c>
      <c r="Q150" s="30" t="inlineStr">
        <is>
          <t>Diversified natural resources company</t>
        </is>
      </c>
      <c r="R150" s="30" t="inlineStr">
        <is>
          <t>USD</t>
        </is>
      </c>
      <c r="S150" s="30" t="inlineStr">
        <is>
          <t>Investment Grade</t>
        </is>
      </c>
      <c r="T150" s="30" t="inlineStr">
        <is>
          <t>BBB+</t>
        </is>
      </c>
      <c r="U150" s="30" t="inlineStr">
        <is>
          <t>BBB+</t>
        </is>
      </c>
      <c r="V150" s="30" t="n"/>
    </row>
    <row r="151">
      <c r="A151" s="30" t="inlineStr">
        <is>
          <t>FR001400FDC8</t>
        </is>
      </c>
      <c r="B151" s="30" t="inlineStr">
        <is>
          <t>Hold</t>
        </is>
      </c>
      <c r="C151" s="30" t="inlineStr">
        <is>
          <t>Electricite De France Sa</t>
        </is>
      </c>
      <c r="D151" s="30" t="n">
        <v>4.625</v>
      </c>
      <c r="E151" s="30" t="inlineStr">
        <is>
          <t>Sr Unsecured</t>
        </is>
      </c>
      <c r="F151" s="30" t="inlineStr">
        <is>
          <t>25.01.2043</t>
        </is>
      </c>
      <c r="G151" s="30" t="inlineStr">
        <is>
          <t>France</t>
        </is>
      </c>
      <c r="H151" s="30" t="inlineStr">
        <is>
          <t>Utilities</t>
        </is>
      </c>
      <c r="I151" s="30" t="n">
        <v>100</v>
      </c>
      <c r="J151" s="30" t="n">
        <v>100.027</v>
      </c>
      <c r="K151" s="30" t="n">
        <v>4.62058</v>
      </c>
      <c r="L151" s="30" t="n">
        <v>-0.053726</v>
      </c>
      <c r="M151" s="30" t="n">
        <v>0.056368</v>
      </c>
      <c r="N151" s="30" t="n">
        <v>135.8691349</v>
      </c>
      <c r="O151" s="30" t="n">
        <v>11.88765587</v>
      </c>
      <c r="P151" s="30" t="n">
        <v>85</v>
      </c>
      <c r="Q151" s="30" t="inlineStr">
        <is>
          <t>French utility company fully owned by the State</t>
        </is>
      </c>
      <c r="R151" s="30" t="inlineStr">
        <is>
          <t>EUR</t>
        </is>
      </c>
      <c r="S151" s="30" t="inlineStr">
        <is>
          <t>Investment Grade</t>
        </is>
      </c>
      <c r="T151" s="30" t="inlineStr">
        <is>
          <t>BBB</t>
        </is>
      </c>
      <c r="U151" s="30" t="inlineStr">
        <is>
          <t>BBB</t>
        </is>
      </c>
      <c r="V151" s="30" t="n"/>
    </row>
    <row r="152">
      <c r="A152" s="30" t="inlineStr">
        <is>
          <t>US37045XED49</t>
        </is>
      </c>
      <c r="B152" s="30" t="inlineStr">
        <is>
          <t>Hold</t>
        </is>
      </c>
      <c r="C152" s="30" t="inlineStr">
        <is>
          <t>General Motors Finl Co</t>
        </is>
      </c>
      <c r="D152" s="30" t="n">
        <v>6.4</v>
      </c>
      <c r="E152" s="30" t="inlineStr">
        <is>
          <t>Sr Unsecured</t>
        </is>
      </c>
      <c r="F152" s="30" t="inlineStr">
        <is>
          <t>09.01.2033</t>
        </is>
      </c>
      <c r="G152" s="30" t="inlineStr">
        <is>
          <t>United states</t>
        </is>
      </c>
      <c r="H152" s="30" t="inlineStr">
        <is>
          <t>Consumer, Cyclical</t>
        </is>
      </c>
      <c r="I152" s="30" t="n">
        <v>2</v>
      </c>
      <c r="J152" s="30" t="n">
        <v>105.185</v>
      </c>
      <c r="K152" s="30" t="n">
        <v>5.523779</v>
      </c>
      <c r="L152" s="30" t="n">
        <v>-0.074415</v>
      </c>
      <c r="M152" s="30" t="n">
        <v>-0.321609</v>
      </c>
      <c r="N152" s="30" t="n">
        <v>135.6483731</v>
      </c>
      <c r="O152" s="30" t="n">
        <v>5.974005261</v>
      </c>
      <c r="P152" s="30" t="n">
        <v>60</v>
      </c>
      <c r="Q152" s="30" t="inlineStr">
        <is>
          <t>World's third largest automaker owning Chevrolet, Buick and Cadillac</t>
        </is>
      </c>
      <c r="R152" s="30" t="inlineStr">
        <is>
          <t>USD</t>
        </is>
      </c>
      <c r="S152" s="30" t="inlineStr">
        <is>
          <t>Investment Grade</t>
        </is>
      </c>
      <c r="T152" s="30" t="inlineStr">
        <is>
          <t>BBB</t>
        </is>
      </c>
      <c r="U152" s="30" t="inlineStr">
        <is>
          <t>BBB</t>
        </is>
      </c>
      <c r="V152" s="30" t="n"/>
    </row>
    <row r="153">
      <c r="A153" s="30" t="inlineStr">
        <is>
          <t>XS2239829216</t>
        </is>
      </c>
      <c r="B153" s="30" t="inlineStr">
        <is>
          <t>Top Pick</t>
        </is>
      </c>
      <c r="C153" s="30" t="inlineStr">
        <is>
          <t>Kingdom Of Morocco</t>
        </is>
      </c>
      <c r="D153" s="30" t="n">
        <v>2</v>
      </c>
      <c r="E153" s="30" t="inlineStr">
        <is>
          <t>Sr Unsecured</t>
        </is>
      </c>
      <c r="F153" s="30" t="inlineStr">
        <is>
          <t>30.09.2030</t>
        </is>
      </c>
      <c r="G153" s="30" t="inlineStr">
        <is>
          <t>Morocco</t>
        </is>
      </c>
      <c r="H153" s="30" t="inlineStr">
        <is>
          <t>Government</t>
        </is>
      </c>
      <c r="I153" s="30" t="n">
        <v>100</v>
      </c>
      <c r="J153" s="30" t="n">
        <v>92.087</v>
      </c>
      <c r="K153" s="30" t="n">
        <v>3.692398</v>
      </c>
      <c r="L153" s="30" t="n">
        <v>-0.08537</v>
      </c>
      <c r="M153" s="30" t="n">
        <v>-0.251358</v>
      </c>
      <c r="N153" s="30" t="n">
        <v>134.5053605</v>
      </c>
      <c r="O153" s="30" t="n">
        <v>5.04008977</v>
      </c>
      <c r="P153" s="30" t="n">
        <v>0</v>
      </c>
      <c r="Q153" s="30" t="inlineStr">
        <is>
          <t>Kingdom Of Morocco</t>
        </is>
      </c>
      <c r="R153" s="30" t="inlineStr">
        <is>
          <t>EUR</t>
        </is>
      </c>
      <c r="S153" s="30" t="inlineStr">
        <is>
          <t>High Yield</t>
        </is>
      </c>
      <c r="T153" s="30" t="inlineStr">
        <is>
          <t>BB+</t>
        </is>
      </c>
      <c r="U153" s="30" t="inlineStr">
        <is>
          <t>BB+</t>
        </is>
      </c>
      <c r="V153" s="30" t="n"/>
    </row>
    <row r="154">
      <c r="A154" s="30" t="inlineStr">
        <is>
          <t>USG0R209AA85</t>
        </is>
      </c>
      <c r="B154" s="30" t="inlineStr">
        <is>
          <t xml:space="preserve">Not accumulate </t>
        </is>
      </c>
      <c r="C154" s="30" t="inlineStr">
        <is>
          <t>American Airlines/Aadvan</t>
        </is>
      </c>
      <c r="D154" s="30" t="n">
        <v>5.5</v>
      </c>
      <c r="E154" s="30" t="inlineStr">
        <is>
          <t>1St Lien</t>
        </is>
      </c>
      <c r="F154" s="30" t="inlineStr">
        <is>
          <t>20.04.2026</t>
        </is>
      </c>
      <c r="G154" s="30" t="inlineStr">
        <is>
          <t>United states</t>
        </is>
      </c>
      <c r="H154" s="30" t="inlineStr">
        <is>
          <t>Consumer, Cyclical</t>
        </is>
      </c>
      <c r="I154" s="30" t="n">
        <v>2</v>
      </c>
      <c r="J154" s="30" t="n">
        <v>99.997</v>
      </c>
      <c r="K154" s="30" t="n">
        <v>5.539768</v>
      </c>
      <c r="L154" s="30" t="n">
        <v>-0.06873899999999999</v>
      </c>
      <c r="M154" s="30" t="n">
        <v>-0.143071</v>
      </c>
      <c r="N154" s="30" t="n">
        <v>134.2823176</v>
      </c>
      <c r="O154" s="30" t="n">
        <v>0.639491787</v>
      </c>
      <c r="P154" s="30" t="n">
        <v>25</v>
      </c>
      <c r="Q154" s="30" t="inlineStr">
        <is>
          <t>One of the largest global airlines</t>
        </is>
      </c>
      <c r="R154" s="30" t="inlineStr">
        <is>
          <t>USD</t>
        </is>
      </c>
      <c r="S154" s="30" t="inlineStr">
        <is>
          <t>High Yield</t>
        </is>
      </c>
      <c r="T154" s="30" t="inlineStr">
        <is>
          <t>BB+</t>
        </is>
      </c>
      <c r="U154" s="30" t="inlineStr">
        <is>
          <t>BB+</t>
        </is>
      </c>
      <c r="V154" s="30" t="n"/>
    </row>
    <row r="155">
      <c r="A155" s="30" t="inlineStr">
        <is>
          <t>USL7909CAA55</t>
        </is>
      </c>
      <c r="B155" s="30" t="inlineStr">
        <is>
          <t xml:space="preserve">Hold </t>
        </is>
      </c>
      <c r="C155" s="30" t="inlineStr">
        <is>
          <t>Raizen Fuels Finance</t>
        </is>
      </c>
      <c r="D155" s="30" t="n">
        <v>5.3</v>
      </c>
      <c r="E155" s="30" t="inlineStr">
        <is>
          <t>Sr Unsecured</t>
        </is>
      </c>
      <c r="F155" s="30" t="inlineStr">
        <is>
          <t>20.01.2027</t>
        </is>
      </c>
      <c r="G155" s="30" t="inlineStr">
        <is>
          <t>Brazil</t>
        </is>
      </c>
      <c r="H155" s="30" t="inlineStr">
        <is>
          <t>Energy</t>
        </is>
      </c>
      <c r="I155" s="30" t="n">
        <v>200</v>
      </c>
      <c r="J155" s="30" t="n">
        <v>100.047</v>
      </c>
      <c r="K155" s="30" t="n">
        <v>5.264153</v>
      </c>
      <c r="L155" s="30" t="n">
        <v>0.00436</v>
      </c>
      <c r="M155" s="30" t="n">
        <v>0.045337</v>
      </c>
      <c r="N155" s="30" t="n">
        <v>134.26571</v>
      </c>
      <c r="O155" s="30" t="n">
        <v>1.793014232</v>
      </c>
      <c r="P155" s="30" t="n">
        <v>75</v>
      </c>
      <c r="Q155" s="30" t="inlineStr">
        <is>
          <t>operates as a sepcial purpose entitty</t>
        </is>
      </c>
      <c r="R155" s="30" t="inlineStr">
        <is>
          <t>USD</t>
        </is>
      </c>
      <c r="S155" s="30" t="inlineStr">
        <is>
          <t>Latin America</t>
        </is>
      </c>
      <c r="T155" s="30" t="inlineStr">
        <is>
          <t>BBB-</t>
        </is>
      </c>
      <c r="U155" s="30" t="inlineStr">
        <is>
          <t>NR</t>
        </is>
      </c>
      <c r="V155" s="30" t="n"/>
    </row>
    <row r="156">
      <c r="A156" s="30" t="inlineStr">
        <is>
          <t>US91911TAH68</t>
        </is>
      </c>
      <c r="B156" s="30" t="inlineStr">
        <is>
          <t xml:space="preserve">Hold </t>
        </is>
      </c>
      <c r="C156" s="30" t="inlineStr">
        <is>
          <t>Vale Overseas Limited</t>
        </is>
      </c>
      <c r="D156" s="30" t="n">
        <v>6.875</v>
      </c>
      <c r="E156" s="30" t="inlineStr">
        <is>
          <t>Sr Unsecured</t>
        </is>
      </c>
      <c r="F156" s="30" t="inlineStr">
        <is>
          <t>21.11.2036</t>
        </is>
      </c>
      <c r="G156" s="30" t="inlineStr">
        <is>
          <t>Brazil</t>
        </is>
      </c>
      <c r="H156" s="30" t="inlineStr">
        <is>
          <t>Basic Materials</t>
        </is>
      </c>
      <c r="I156" s="30" t="n">
        <v>2</v>
      </c>
      <c r="J156" s="30" t="n">
        <v>108.908</v>
      </c>
      <c r="K156" s="30" t="n">
        <v>5.793237</v>
      </c>
      <c r="L156" s="30" t="n">
        <v>-0.071676</v>
      </c>
      <c r="M156" s="30" t="n">
        <v>-0.18805</v>
      </c>
      <c r="N156" s="30" t="n">
        <v>133.8342003</v>
      </c>
      <c r="O156" s="30" t="n">
        <v>8.027473304000001</v>
      </c>
      <c r="P156" s="30" t="n">
        <v>30</v>
      </c>
      <c r="Q156" s="30" t="inlineStr">
        <is>
          <t>leader in iron ore and second largest producer in nickel</t>
        </is>
      </c>
      <c r="R156" s="30" t="inlineStr">
        <is>
          <t>USD</t>
        </is>
      </c>
      <c r="S156" s="30" t="inlineStr">
        <is>
          <t>Latin America</t>
        </is>
      </c>
      <c r="T156" s="30" t="inlineStr">
        <is>
          <t>BBB-</t>
        </is>
      </c>
      <c r="U156" s="30" t="inlineStr">
        <is>
          <t>BBB-</t>
        </is>
      </c>
      <c r="V156" s="30" t="n"/>
    </row>
    <row r="157">
      <c r="A157" s="30" t="inlineStr">
        <is>
          <t>FR001400FDG9</t>
        </is>
      </c>
      <c r="B157" s="30" t="inlineStr">
        <is>
          <t>Hold</t>
        </is>
      </c>
      <c r="C157" s="30" t="inlineStr">
        <is>
          <t>Electricite De France Sa</t>
        </is>
      </c>
      <c r="D157" s="30" t="n">
        <v>5.5</v>
      </c>
      <c r="E157" s="30" t="inlineStr">
        <is>
          <t>Sr Unsecured</t>
        </is>
      </c>
      <c r="F157" s="30" t="inlineStr">
        <is>
          <t>25.01.2035</t>
        </is>
      </c>
      <c r="G157" s="30" t="inlineStr">
        <is>
          <t>France</t>
        </is>
      </c>
      <c r="H157" s="30" t="inlineStr">
        <is>
          <t>Utilities</t>
        </is>
      </c>
      <c r="I157" s="30" t="n">
        <v>100</v>
      </c>
      <c r="J157" s="30" t="n">
        <v>97.203</v>
      </c>
      <c r="K157" s="30" t="n">
        <v>5.802348</v>
      </c>
      <c r="L157" s="30" t="n">
        <v>0.035256</v>
      </c>
      <c r="M157" s="30" t="n">
        <v>-0.103016</v>
      </c>
      <c r="N157" s="30" t="n">
        <v>133.4240787</v>
      </c>
      <c r="O157" s="30" t="n">
        <v>7.396703517</v>
      </c>
      <c r="P157" s="30" t="n">
        <v>45</v>
      </c>
      <c r="Q157" s="30" t="inlineStr">
        <is>
          <t xml:space="preserve">French utility company fully owned by the State </t>
        </is>
      </c>
      <c r="R157" s="30" t="inlineStr">
        <is>
          <t>GBP</t>
        </is>
      </c>
      <c r="S157" s="30" t="inlineStr">
        <is>
          <t>Investment Grade</t>
        </is>
      </c>
      <c r="T157" s="30" t="inlineStr">
        <is>
          <t>BBB</t>
        </is>
      </c>
      <c r="U157" s="30" t="inlineStr">
        <is>
          <t>BBB</t>
        </is>
      </c>
      <c r="V157" s="30" t="n"/>
    </row>
    <row r="158">
      <c r="A158" s="30" t="inlineStr">
        <is>
          <t>USG3040LAA01</t>
        </is>
      </c>
      <c r="B158" s="30" t="inlineStr">
        <is>
          <t>Hold</t>
        </is>
      </c>
      <c r="C158" s="30" t="inlineStr">
        <is>
          <t>Energuate Trust</t>
        </is>
      </c>
      <c r="D158" s="30" t="n">
        <v>5.875</v>
      </c>
      <c r="E158" s="30" t="inlineStr">
        <is>
          <t>Sr Unsecured</t>
        </is>
      </c>
      <c r="F158" s="30" t="inlineStr">
        <is>
          <t>03.05.2027</t>
        </is>
      </c>
      <c r="G158" s="30" t="inlineStr">
        <is>
          <t>Guatemala</t>
        </is>
      </c>
      <c r="H158" s="30" t="inlineStr">
        <is>
          <t>Utilities</t>
        </is>
      </c>
      <c r="I158" s="30" t="n">
        <v>200</v>
      </c>
      <c r="J158" s="30" t="n">
        <v>99.944</v>
      </c>
      <c r="K158" s="30" t="n">
        <v>5.928272</v>
      </c>
      <c r="L158" s="30" t="n">
        <v>-0.085482</v>
      </c>
      <c r="M158" s="30" t="n">
        <v>-0.232214</v>
      </c>
      <c r="N158" s="30" t="n">
        <v>132.6402456</v>
      </c>
      <c r="O158" s="30" t="n">
        <v>1.997122957</v>
      </c>
      <c r="P158" s="30" t="n">
        <v>0</v>
      </c>
      <c r="Q158" s="30" t="inlineStr">
        <is>
          <t>Utility company</t>
        </is>
      </c>
      <c r="R158" s="30" t="inlineStr">
        <is>
          <t>USD</t>
        </is>
      </c>
      <c r="S158" s="30" t="inlineStr">
        <is>
          <t>Latin America</t>
        </is>
      </c>
      <c r="T158" s="30" t="inlineStr">
        <is>
          <t>BB</t>
        </is>
      </c>
      <c r="U158" s="30" t="inlineStr">
        <is>
          <t>BB</t>
        </is>
      </c>
      <c r="V158" s="30" t="n"/>
    </row>
    <row r="159">
      <c r="A159" s="30" t="inlineStr">
        <is>
          <t>US05526DBV64</t>
        </is>
      </c>
      <c r="B159" s="30" t="inlineStr">
        <is>
          <t>Hold</t>
        </is>
      </c>
      <c r="C159" s="30" t="inlineStr">
        <is>
          <t>Bat Capital Corp</t>
        </is>
      </c>
      <c r="D159" s="30" t="n">
        <v>5.65</v>
      </c>
      <c r="E159" s="30" t="inlineStr">
        <is>
          <t>Sr Unsecured</t>
        </is>
      </c>
      <c r="F159" s="30" t="inlineStr">
        <is>
          <t>16.03.2052</t>
        </is>
      </c>
      <c r="G159" s="30" t="inlineStr">
        <is>
          <t>United Kingdom</t>
        </is>
      </c>
      <c r="H159" s="30" t="inlineStr">
        <is>
          <t>Consumer, Non-cyclical</t>
        </is>
      </c>
      <c r="I159" s="30" t="n">
        <v>2</v>
      </c>
      <c r="J159" s="30" t="n">
        <v>93.256</v>
      </c>
      <c r="K159" s="30" t="n">
        <v>6.16764</v>
      </c>
      <c r="L159" s="30" t="n">
        <v>-0.081553</v>
      </c>
      <c r="M159" s="30" t="n">
        <v>-0.157638</v>
      </c>
      <c r="N159" s="30" t="n">
        <v>131.7314704</v>
      </c>
      <c r="O159" s="30" t="n">
        <v>12.98208956</v>
      </c>
      <c r="P159" s="30" t="n">
        <v>40</v>
      </c>
      <c r="Q159" s="30" t="inlineStr">
        <is>
          <t>Tobacco company</t>
        </is>
      </c>
      <c r="R159" s="30" t="inlineStr">
        <is>
          <t>USD</t>
        </is>
      </c>
      <c r="S159" s="30" t="inlineStr">
        <is>
          <t>Investment Grade</t>
        </is>
      </c>
      <c r="T159" s="30" t="inlineStr">
        <is>
          <t>BBB+</t>
        </is>
      </c>
      <c r="U159" s="30" t="inlineStr">
        <is>
          <t>BBB+</t>
        </is>
      </c>
      <c r="V159" s="30" t="n"/>
    </row>
    <row r="160">
      <c r="A160" s="30" t="inlineStr">
        <is>
          <t>USL9412AAA53</t>
        </is>
      </c>
      <c r="B160" s="30" t="inlineStr">
        <is>
          <t xml:space="preserve">Hold </t>
        </is>
      </c>
      <c r="C160" s="30" t="inlineStr">
        <is>
          <t>Ultrapar Internationl Sa</t>
        </is>
      </c>
      <c r="D160" s="30" t="n">
        <v>5.25</v>
      </c>
      <c r="E160" s="30" t="inlineStr">
        <is>
          <t>Sr Unsecured</t>
        </is>
      </c>
      <c r="F160" s="30" t="inlineStr">
        <is>
          <t>06.10.2026</t>
        </is>
      </c>
      <c r="G160" s="30" t="inlineStr">
        <is>
          <t>Brazil</t>
        </is>
      </c>
      <c r="H160" s="30" t="inlineStr">
        <is>
          <t>Energy</t>
        </is>
      </c>
      <c r="I160" s="30" t="n">
        <v>200</v>
      </c>
      <c r="J160" s="30" t="n">
        <v>99.955</v>
      </c>
      <c r="K160" s="30" t="n">
        <v>5.28107</v>
      </c>
      <c r="L160" s="30" t="n">
        <v>0.008116999999999999</v>
      </c>
      <c r="M160" s="30" t="n">
        <v>-0.252555</v>
      </c>
      <c r="N160" s="30" t="n">
        <v>131.5928905</v>
      </c>
      <c r="O160" s="30" t="n">
        <v>1.506856517</v>
      </c>
      <c r="P160" s="30" t="n">
        <v>15</v>
      </c>
      <c r="Q160" s="30" t="inlineStr">
        <is>
          <t xml:space="preserve">Brazilian conglomerate in energy and logistics </t>
        </is>
      </c>
      <c r="R160" s="30" t="inlineStr">
        <is>
          <t>USD</t>
        </is>
      </c>
      <c r="S160" s="30" t="inlineStr">
        <is>
          <t>Latin America</t>
        </is>
      </c>
      <c r="T160" s="30" t="inlineStr">
        <is>
          <t>BB+</t>
        </is>
      </c>
      <c r="U160" s="30" t="inlineStr">
        <is>
          <t>BB+</t>
        </is>
      </c>
      <c r="V160" s="30" t="n"/>
    </row>
    <row r="161">
      <c r="A161" s="30" t="inlineStr">
        <is>
          <t>USL5828LAB55</t>
        </is>
      </c>
      <c r="B161" s="30" t="inlineStr">
        <is>
          <t xml:space="preserve">Hold </t>
        </is>
      </c>
      <c r="C161" s="30" t="inlineStr">
        <is>
          <t>Klabin Austria Gmbh</t>
        </is>
      </c>
      <c r="D161" s="30" t="n">
        <v>4.875</v>
      </c>
      <c r="E161" s="30" t="inlineStr">
        <is>
          <t>Sr Unsecured</t>
        </is>
      </c>
      <c r="F161" s="30" t="inlineStr">
        <is>
          <t>19.09.2027</t>
        </is>
      </c>
      <c r="G161" s="30" t="inlineStr">
        <is>
          <t>Brazil</t>
        </is>
      </c>
      <c r="H161" s="30" t="inlineStr">
        <is>
          <t>Industrial</t>
        </is>
      </c>
      <c r="I161" s="30" t="n">
        <v>200</v>
      </c>
      <c r="J161" s="30" t="n">
        <v>99.386</v>
      </c>
      <c r="K161" s="30" t="n">
        <v>5.170587</v>
      </c>
      <c r="L161" s="30" t="n">
        <v>0.005879</v>
      </c>
      <c r="M161" s="30" t="n">
        <v>-0.144018</v>
      </c>
      <c r="N161" s="30" t="n">
        <v>131.3642601</v>
      </c>
      <c r="O161" s="30" t="n">
        <v>2.341045838</v>
      </c>
      <c r="P161" s="30" t="n">
        <v>15</v>
      </c>
      <c r="Q161" s="30" t="inlineStr">
        <is>
          <t>Manufactures paper containers and packaging materials</t>
        </is>
      </c>
      <c r="R161" s="30" t="inlineStr">
        <is>
          <t>USD</t>
        </is>
      </c>
      <c r="S161" s="30" t="inlineStr">
        <is>
          <t>Latin America</t>
        </is>
      </c>
      <c r="T161" s="30" t="inlineStr">
        <is>
          <t>BB+</t>
        </is>
      </c>
      <c r="U161" s="30" t="inlineStr">
        <is>
          <t>BB+</t>
        </is>
      </c>
      <c r="V161" s="30" t="n"/>
    </row>
    <row r="162">
      <c r="A162" s="30" t="inlineStr">
        <is>
          <t>US88167AAS06</t>
        </is>
      </c>
      <c r="B162" s="30" t="inlineStr">
        <is>
          <t>Hold</t>
        </is>
      </c>
      <c r="C162" s="30" t="inlineStr">
        <is>
          <t>Teva Pharmaceuticals Ne</t>
        </is>
      </c>
      <c r="D162" s="30" t="n">
        <v>7.875</v>
      </c>
      <c r="E162" s="30" t="inlineStr">
        <is>
          <t>Sr Unsecured</t>
        </is>
      </c>
      <c r="F162" s="30" t="inlineStr">
        <is>
          <t>15.09.2029</t>
        </is>
      </c>
      <c r="G162" s="30" t="inlineStr">
        <is>
          <t>Israel</t>
        </is>
      </c>
      <c r="H162" s="30" t="inlineStr">
        <is>
          <t>Consumer, Non-cyclical</t>
        </is>
      </c>
      <c r="I162" s="30" t="n">
        <v>200</v>
      </c>
      <c r="J162" s="30" t="n">
        <v>109.367</v>
      </c>
      <c r="K162" s="30" t="n">
        <v>5.21162</v>
      </c>
      <c r="L162" s="30" t="n">
        <v>-0.065289</v>
      </c>
      <c r="M162" s="30" t="n">
        <v>-0.304101</v>
      </c>
      <c r="N162" s="30" t="n">
        <v>131.0703999</v>
      </c>
      <c r="O162" s="30" t="n">
        <v>3.552840325</v>
      </c>
      <c r="P162" s="30" t="n">
        <v>0</v>
      </c>
      <c r="Q162" s="30" t="inlineStr">
        <is>
          <t>Largest manufacturer of pharmaceutical generics</t>
        </is>
      </c>
      <c r="R162" s="30" t="inlineStr">
        <is>
          <t>USD</t>
        </is>
      </c>
      <c r="S162" s="30" t="inlineStr">
        <is>
          <t>High Yield</t>
        </is>
      </c>
      <c r="T162" s="30" t="inlineStr">
        <is>
          <t>BB</t>
        </is>
      </c>
      <c r="U162" s="30" t="inlineStr">
        <is>
          <t>BB</t>
        </is>
      </c>
      <c r="V162" s="30" t="n"/>
    </row>
    <row r="163">
      <c r="A163" s="30" t="inlineStr">
        <is>
          <t>XS2406607098</t>
        </is>
      </c>
      <c r="B163" s="30" t="inlineStr">
        <is>
          <t>Hold</t>
        </is>
      </c>
      <c r="C163" s="30" t="inlineStr">
        <is>
          <t>Teva Pharm Fnc Nl Ii</t>
        </is>
      </c>
      <c r="D163" s="30" t="n">
        <v>3.75</v>
      </c>
      <c r="E163" s="30" t="inlineStr">
        <is>
          <t>Sr Unsecured</t>
        </is>
      </c>
      <c r="F163" s="30" t="inlineStr">
        <is>
          <t>09.05.2027</t>
        </is>
      </c>
      <c r="G163" s="30" t="inlineStr">
        <is>
          <t>Israel</t>
        </is>
      </c>
      <c r="H163" s="30" t="inlineStr">
        <is>
          <t>Consumer, Non-cyclical</t>
        </is>
      </c>
      <c r="I163" s="30" t="n">
        <v>100</v>
      </c>
      <c r="J163" s="30" t="n">
        <v>100.875</v>
      </c>
      <c r="K163" s="30" t="n">
        <v>3.204383</v>
      </c>
      <c r="L163" s="30" t="n">
        <v>-0.24728</v>
      </c>
      <c r="M163" s="30" t="n">
        <v>0.022393</v>
      </c>
      <c r="N163" s="30" t="n">
        <v>130.4783957</v>
      </c>
      <c r="O163" s="30" t="n">
        <v>1.857881022</v>
      </c>
      <c r="P163" s="30" t="n">
        <v>25</v>
      </c>
      <c r="Q163" s="30" t="inlineStr">
        <is>
          <t>Largest manufacturer of pharmaceutical generics</t>
        </is>
      </c>
      <c r="R163" s="30" t="inlineStr">
        <is>
          <t>EUR</t>
        </is>
      </c>
      <c r="S163" s="30" t="inlineStr">
        <is>
          <t>High Yield</t>
        </is>
      </c>
      <c r="T163" s="30" t="inlineStr">
        <is>
          <t>BB</t>
        </is>
      </c>
      <c r="U163" s="30" t="inlineStr">
        <is>
          <t>BB</t>
        </is>
      </c>
      <c r="V163" s="30" t="n"/>
    </row>
    <row r="164">
      <c r="A164" s="30" t="inlineStr">
        <is>
          <t>US91911TAK97</t>
        </is>
      </c>
      <c r="B164" s="30" t="inlineStr">
        <is>
          <t xml:space="preserve">Hold </t>
        </is>
      </c>
      <c r="C164" s="30" t="inlineStr">
        <is>
          <t>Vale Overseas Limited</t>
        </is>
      </c>
      <c r="D164" s="30" t="n">
        <v>6.875</v>
      </c>
      <c r="E164" s="30" t="inlineStr">
        <is>
          <t>Sr Unsecured</t>
        </is>
      </c>
      <c r="F164" s="30" t="inlineStr">
        <is>
          <t>10.11.2039</t>
        </is>
      </c>
      <c r="G164" s="30" t="inlineStr">
        <is>
          <t>Brazil</t>
        </is>
      </c>
      <c r="H164" s="30" t="inlineStr">
        <is>
          <t>Basic Materials</t>
        </is>
      </c>
      <c r="I164" s="30" t="n">
        <v>2</v>
      </c>
      <c r="J164" s="30" t="n">
        <v>108.986</v>
      </c>
      <c r="K164" s="30" t="n">
        <v>5.934445</v>
      </c>
      <c r="L164" s="30" t="n">
        <v>-0.047377</v>
      </c>
      <c r="M164" s="30" t="n">
        <v>-0.189426</v>
      </c>
      <c r="N164" s="30" t="n">
        <v>130.1252931</v>
      </c>
      <c r="O164" s="30" t="n">
        <v>9.235755561</v>
      </c>
      <c r="P164" s="30" t="n">
        <v>30</v>
      </c>
      <c r="Q164" s="30" t="inlineStr">
        <is>
          <t>leader in iron ore and second largest producer in nickel</t>
        </is>
      </c>
      <c r="R164" s="30" t="inlineStr">
        <is>
          <t>USD</t>
        </is>
      </c>
      <c r="S164" s="30" t="inlineStr">
        <is>
          <t>Latin America</t>
        </is>
      </c>
      <c r="T164" s="30" t="inlineStr">
        <is>
          <t>BBB-</t>
        </is>
      </c>
      <c r="U164" s="30" t="inlineStr">
        <is>
          <t>BBB-</t>
        </is>
      </c>
      <c r="V164" s="30" t="n"/>
    </row>
    <row r="165">
      <c r="A165" s="30" t="inlineStr">
        <is>
          <t>XS2598063480</t>
        </is>
      </c>
      <c r="B165" s="30" t="inlineStr">
        <is>
          <t>Hold</t>
        </is>
      </c>
      <c r="C165" s="30" t="inlineStr">
        <is>
          <t>Intesa Sanpaolo Spa</t>
        </is>
      </c>
      <c r="D165" s="30" t="n">
        <v>6.5</v>
      </c>
      <c r="E165" s="30" t="inlineStr">
        <is>
          <t>Sr Non Preferred</t>
        </is>
      </c>
      <c r="F165" s="30" t="inlineStr">
        <is>
          <t>14.03.2029</t>
        </is>
      </c>
      <c r="G165" s="30" t="inlineStr">
        <is>
          <t>Italy</t>
        </is>
      </c>
      <c r="H165" s="30" t="inlineStr">
        <is>
          <t>Financial</t>
        </is>
      </c>
      <c r="I165" s="30" t="n">
        <v>150</v>
      </c>
      <c r="J165" s="30" t="n">
        <v>104.031</v>
      </c>
      <c r="K165" s="30" t="n">
        <v>4.874992</v>
      </c>
      <c r="L165" s="30" t="n">
        <v>-0.074965</v>
      </c>
      <c r="M165" s="30" t="n">
        <v>-0.363979</v>
      </c>
      <c r="N165" s="30" t="n">
        <v>129.9778019</v>
      </c>
      <c r="O165" s="30" t="n">
        <v>2.674201638</v>
      </c>
      <c r="P165" s="30" t="n">
        <v>60</v>
      </c>
      <c r="Q165" s="30" t="inlineStr">
        <is>
          <t>One of the largest Italian banks</t>
        </is>
      </c>
      <c r="R165" s="30" t="inlineStr">
        <is>
          <t>GBP</t>
        </is>
      </c>
      <c r="S165" s="30" t="inlineStr">
        <is>
          <t>Investment Grade</t>
        </is>
      </c>
      <c r="T165" s="30" t="inlineStr">
        <is>
          <t>BBB-</t>
        </is>
      </c>
      <c r="U165" s="30" t="inlineStr">
        <is>
          <t>BBB-</t>
        </is>
      </c>
      <c r="V165" s="30" t="n"/>
    </row>
    <row r="166">
      <c r="A166" s="30" t="inlineStr">
        <is>
          <t>XS2571922884</t>
        </is>
      </c>
      <c r="B166" s="30" t="inlineStr">
        <is>
          <t xml:space="preserve">Hold </t>
        </is>
      </c>
      <c r="C166" s="30" t="inlineStr">
        <is>
          <t>Romania</t>
        </is>
      </c>
      <c r="D166" s="30" t="n">
        <v>6.625</v>
      </c>
      <c r="E166" s="30" t="inlineStr">
        <is>
          <t>Sr Unsecured</t>
        </is>
      </c>
      <c r="F166" s="30" t="inlineStr">
        <is>
          <t>17.02.2028</t>
        </is>
      </c>
      <c r="G166" s="30" t="inlineStr">
        <is>
          <t>Romania</t>
        </is>
      </c>
      <c r="H166" s="30" t="inlineStr">
        <is>
          <t>Government</t>
        </is>
      </c>
      <c r="I166" s="30" t="n">
        <v>2</v>
      </c>
      <c r="J166" s="30" t="n">
        <v>103.608</v>
      </c>
      <c r="K166" s="30" t="n">
        <v>5.125206</v>
      </c>
      <c r="L166" s="30" t="n">
        <v>-0.139961</v>
      </c>
      <c r="M166" s="30" t="n">
        <v>-0.374922</v>
      </c>
      <c r="N166" s="30" t="n">
        <v>128.1526829</v>
      </c>
      <c r="O166" s="30" t="n">
        <v>2.676758495</v>
      </c>
      <c r="P166" s="30" t="n">
        <v>60</v>
      </c>
      <c r="Q166" s="30" t="inlineStr">
        <is>
          <t>Romanian government bond</t>
        </is>
      </c>
      <c r="R166" s="30" t="inlineStr">
        <is>
          <t>USD</t>
        </is>
      </c>
      <c r="S166" s="30" t="inlineStr">
        <is>
          <t>Investment Grade</t>
        </is>
      </c>
      <c r="T166" s="30" t="inlineStr">
        <is>
          <t>BBB-</t>
        </is>
      </c>
      <c r="U166" s="30" t="inlineStr">
        <is>
          <t>BBB-</t>
        </is>
      </c>
      <c r="V166" s="30" t="n"/>
    </row>
    <row r="167">
      <c r="A167" s="30" t="inlineStr">
        <is>
          <t>XS2489775580</t>
        </is>
      </c>
      <c r="B167" s="30" t="inlineStr">
        <is>
          <t xml:space="preserve">Hold </t>
        </is>
      </c>
      <c r="C167" s="30" t="inlineStr">
        <is>
          <t>Ses Sa</t>
        </is>
      </c>
      <c r="D167" s="30" t="n">
        <v>3.5</v>
      </c>
      <c r="E167" s="30" t="inlineStr">
        <is>
          <t>Sr Unsecured</t>
        </is>
      </c>
      <c r="F167" s="30" t="inlineStr">
        <is>
          <t>14.01.2029</t>
        </is>
      </c>
      <c r="G167" s="30" t="inlineStr">
        <is>
          <t>Luxembourg</t>
        </is>
      </c>
      <c r="H167" s="30" t="inlineStr">
        <is>
          <t>Communications</t>
        </is>
      </c>
      <c r="I167" s="30" t="n">
        <v>100</v>
      </c>
      <c r="J167" s="30" t="n">
        <v>100.343</v>
      </c>
      <c r="K167" s="30" t="n">
        <v>3.385774</v>
      </c>
      <c r="L167" s="30" t="n">
        <v>-0.104499</v>
      </c>
      <c r="M167" s="30" t="n">
        <v>-0.188559</v>
      </c>
      <c r="N167" s="30" t="n">
        <v>128.0997424</v>
      </c>
      <c r="O167" s="30" t="n">
        <v>3.53601709</v>
      </c>
      <c r="P167" s="30" t="n">
        <v>0</v>
      </c>
      <c r="Q167" s="30" t="inlineStr">
        <is>
          <t xml:space="preserve">Satellite services provider </t>
        </is>
      </c>
      <c r="R167" s="30" t="inlineStr">
        <is>
          <t>EUR</t>
        </is>
      </c>
      <c r="S167" s="30" t="inlineStr">
        <is>
          <t>Investment Grade</t>
        </is>
      </c>
      <c r="T167" s="30" t="inlineStr">
        <is>
          <t>BBB-</t>
        </is>
      </c>
      <c r="U167" s="30" t="inlineStr">
        <is>
          <t>BBB-</t>
        </is>
      </c>
      <c r="V167" s="30" t="n"/>
    </row>
    <row r="168">
      <c r="A168" s="30" t="inlineStr">
        <is>
          <t>FR001400WK79</t>
        </is>
      </c>
      <c r="B168" s="30" t="inlineStr">
        <is>
          <t xml:space="preserve">Hold </t>
        </is>
      </c>
      <c r="C168" s="30" t="inlineStr">
        <is>
          <t>Credit Agricole Sa</t>
        </is>
      </c>
      <c r="D168" s="30" t="n">
        <v>5.5</v>
      </c>
      <c r="E168" s="30" t="inlineStr">
        <is>
          <t>Sr Non Preferred</t>
        </is>
      </c>
      <c r="F168" s="30" t="inlineStr">
        <is>
          <t>31.07.2032</t>
        </is>
      </c>
      <c r="G168" s="30" t="inlineStr">
        <is>
          <t>France</t>
        </is>
      </c>
      <c r="H168" s="30" t="inlineStr">
        <is>
          <t>Financial</t>
        </is>
      </c>
      <c r="I168" s="30" t="n">
        <v>100</v>
      </c>
      <c r="J168" s="30" t="n">
        <v>102.324</v>
      </c>
      <c r="K168" s="30" t="n">
        <v>4.974361</v>
      </c>
      <c r="L168" s="30" t="n">
        <v>-0.075086</v>
      </c>
      <c r="M168" s="30" t="n">
        <v>-0.277463</v>
      </c>
      <c r="N168" s="30" t="n">
        <v>127.9284524</v>
      </c>
      <c r="O168" s="30" t="n">
        <v>5.263951152</v>
      </c>
      <c r="P168" s="30" t="n">
        <v>0</v>
      </c>
      <c r="Q168" s="30" t="inlineStr">
        <is>
          <t>One of the largest retail bank in Europe</t>
        </is>
      </c>
      <c r="R168" s="30" t="inlineStr">
        <is>
          <t>GBP</t>
        </is>
      </c>
      <c r="S168" s="30" t="inlineStr">
        <is>
          <t>Investment Grade</t>
        </is>
      </c>
      <c r="T168" s="30" t="inlineStr">
        <is>
          <t>A-</t>
        </is>
      </c>
      <c r="U168" s="30" t="inlineStr">
        <is>
          <t>A-</t>
        </is>
      </c>
      <c r="V168" s="30" t="n"/>
    </row>
    <row r="169">
      <c r="A169" s="30" t="inlineStr">
        <is>
          <t>XS2592017300</t>
        </is>
      </c>
      <c r="B169" s="30" t="inlineStr">
        <is>
          <t>Hold</t>
        </is>
      </c>
      <c r="C169" s="30" t="inlineStr">
        <is>
          <t>Deutsche Bank Ag</t>
        </is>
      </c>
      <c r="D169" s="30" t="n">
        <v>6.125</v>
      </c>
      <c r="E169" s="30" t="inlineStr">
        <is>
          <t>Sr Non Preferred</t>
        </is>
      </c>
      <c r="F169" s="30" t="inlineStr">
        <is>
          <t>12.12.2030</t>
        </is>
      </c>
      <c r="G169" s="30" t="inlineStr">
        <is>
          <t>Germany</t>
        </is>
      </c>
      <c r="H169" s="30" t="inlineStr">
        <is>
          <t>Financial</t>
        </is>
      </c>
      <c r="I169" s="30" t="n">
        <v>100</v>
      </c>
      <c r="J169" s="30" t="n">
        <v>104.504</v>
      </c>
      <c r="K169" s="30" t="n">
        <v>4.898236</v>
      </c>
      <c r="L169" s="30" t="n">
        <v>-0.08666600000000001</v>
      </c>
      <c r="M169" s="30" t="n">
        <v>-0.369058</v>
      </c>
      <c r="N169" s="30" t="n">
        <v>127.8118704</v>
      </c>
      <c r="O169" s="30" t="n">
        <v>4.042730685</v>
      </c>
      <c r="P169" s="30" t="n">
        <v>80</v>
      </c>
      <c r="Q169" s="30" t="inlineStr">
        <is>
          <t xml:space="preserve">Germany's largest universal bank </t>
        </is>
      </c>
      <c r="R169" s="30" t="inlineStr">
        <is>
          <t>GBP</t>
        </is>
      </c>
      <c r="S169" s="30" t="inlineStr">
        <is>
          <t>Investment Grade</t>
        </is>
      </c>
      <c r="T169" s="30" t="inlineStr">
        <is>
          <t>BBB+</t>
        </is>
      </c>
      <c r="U169" s="30" t="inlineStr">
        <is>
          <t>BBB+</t>
        </is>
      </c>
      <c r="V169" s="30" t="n"/>
    </row>
    <row r="170">
      <c r="A170" s="30" t="inlineStr">
        <is>
          <t>US71647NAZ24</t>
        </is>
      </c>
      <c r="B170" s="30" t="inlineStr">
        <is>
          <t xml:space="preserve">Hold </t>
        </is>
      </c>
      <c r="C170" s="30" t="inlineStr">
        <is>
          <t>Petrobras Global Finance</t>
        </is>
      </c>
      <c r="D170" s="30" t="n">
        <v>5.75</v>
      </c>
      <c r="E170" s="30" t="inlineStr">
        <is>
          <t>Sr Unsecured</t>
        </is>
      </c>
      <c r="F170" s="30" t="inlineStr">
        <is>
          <t>01.02.2029</t>
        </is>
      </c>
      <c r="G170" s="30" t="inlineStr">
        <is>
          <t>Brazil</t>
        </is>
      </c>
      <c r="H170" s="30" t="inlineStr">
        <is>
          <t>Energy</t>
        </is>
      </c>
      <c r="I170" s="30" t="n">
        <v>2</v>
      </c>
      <c r="J170" s="30" t="n">
        <v>101.914</v>
      </c>
      <c r="K170" s="30" t="n">
        <v>5.153971</v>
      </c>
      <c r="L170" s="30" t="n">
        <v>-0.032225</v>
      </c>
      <c r="M170" s="30" t="n">
        <v>-0.128977</v>
      </c>
      <c r="N170" s="30" t="n">
        <v>127.7652374</v>
      </c>
      <c r="O170" s="30" t="n">
        <v>3.482036977</v>
      </c>
      <c r="P170" s="30" t="n">
        <v>25</v>
      </c>
      <c r="Q170" s="30" t="inlineStr">
        <is>
          <t>Largest oil company in Latin America</t>
        </is>
      </c>
      <c r="R170" s="30" t="inlineStr">
        <is>
          <t>USD</t>
        </is>
      </c>
      <c r="S170" s="30" t="inlineStr">
        <is>
          <t>Latin America</t>
        </is>
      </c>
      <c r="T170" s="30" t="inlineStr">
        <is>
          <t>BB</t>
        </is>
      </c>
      <c r="U170" s="30" t="inlineStr">
        <is>
          <t>BB</t>
        </is>
      </c>
      <c r="V170" s="30" t="n"/>
    </row>
    <row r="171">
      <c r="A171" s="30" t="inlineStr">
        <is>
          <t>US91087BAM28</t>
        </is>
      </c>
      <c r="B171" s="30" t="inlineStr">
        <is>
          <t>Hold</t>
        </is>
      </c>
      <c r="C171" s="30" t="inlineStr">
        <is>
          <t>United Mexican States</t>
        </is>
      </c>
      <c r="D171" s="30" t="n">
        <v>2.659</v>
      </c>
      <c r="E171" s="30" t="inlineStr">
        <is>
          <t>Sr Unsecured</t>
        </is>
      </c>
      <c r="F171" s="30" t="inlineStr">
        <is>
          <t>24.05.2031</t>
        </is>
      </c>
      <c r="G171" s="30" t="inlineStr">
        <is>
          <t>Mexico</t>
        </is>
      </c>
      <c r="H171" s="30" t="inlineStr">
        <is>
          <t>Government</t>
        </is>
      </c>
      <c r="I171" s="30" t="n">
        <v>200</v>
      </c>
      <c r="J171" s="30" t="n">
        <v>86.798</v>
      </c>
      <c r="K171" s="30" t="n">
        <v>5.301767</v>
      </c>
      <c r="L171" s="30" t="n">
        <v>-0.038346</v>
      </c>
      <c r="M171" s="30" t="n">
        <v>-0.214624</v>
      </c>
      <c r="N171" s="30" t="n">
        <v>127.2680055</v>
      </c>
      <c r="O171" s="30" t="n">
        <v>5.543608993</v>
      </c>
      <c r="P171" s="30" t="n">
        <v>50</v>
      </c>
      <c r="Q171" s="30" t="inlineStr">
        <is>
          <t>Mexican Government</t>
        </is>
      </c>
      <c r="R171" s="30" t="inlineStr">
        <is>
          <t>USD</t>
        </is>
      </c>
      <c r="S171" s="30" t="inlineStr">
        <is>
          <t>Latin America</t>
        </is>
      </c>
      <c r="T171" s="30" t="inlineStr">
        <is>
          <t>BBB-</t>
        </is>
      </c>
      <c r="U171" s="30" t="inlineStr">
        <is>
          <t>BBB-</t>
        </is>
      </c>
      <c r="V171" s="30" t="n"/>
    </row>
    <row r="172">
      <c r="A172" s="30" t="inlineStr">
        <is>
          <t>USN7163RAX19</t>
        </is>
      </c>
      <c r="B172" s="30" t="inlineStr">
        <is>
          <t xml:space="preserve">Hold </t>
        </is>
      </c>
      <c r="C172" s="30" t="inlineStr">
        <is>
          <t>Prosus Nv</t>
        </is>
      </c>
      <c r="D172" s="30" t="n">
        <v>4.193</v>
      </c>
      <c r="E172" s="30" t="inlineStr">
        <is>
          <t>Sr Unsecured</t>
        </is>
      </c>
      <c r="F172" s="30" t="inlineStr">
        <is>
          <t>19.01.2032</t>
        </is>
      </c>
      <c r="G172" s="30" t="inlineStr">
        <is>
          <t>China</t>
        </is>
      </c>
      <c r="H172" s="30" t="inlineStr">
        <is>
          <t>Communications</t>
        </is>
      </c>
      <c r="I172" s="30" t="n">
        <v>200</v>
      </c>
      <c r="J172" s="30" t="n">
        <v>93.623</v>
      </c>
      <c r="K172" s="30" t="n">
        <v>5.363155</v>
      </c>
      <c r="L172" s="30" t="n">
        <v>-0.003573</v>
      </c>
      <c r="M172" s="30" t="n">
        <v>-0.349837</v>
      </c>
      <c r="N172" s="30" t="n">
        <v>127.1744811</v>
      </c>
      <c r="O172" s="30" t="n">
        <v>5.818492447</v>
      </c>
      <c r="P172" s="30" t="n">
        <v>60</v>
      </c>
      <c r="Q172" s="30" t="inlineStr">
        <is>
          <t>Firm which invests in internet, digital media and technology companies</t>
        </is>
      </c>
      <c r="R172" s="30" t="inlineStr">
        <is>
          <t>USD</t>
        </is>
      </c>
      <c r="S172" s="30" t="inlineStr">
        <is>
          <t>Investment Grade</t>
        </is>
      </c>
      <c r="T172" s="30" t="inlineStr">
        <is>
          <t>BBB</t>
        </is>
      </c>
      <c r="U172" s="30" t="inlineStr">
        <is>
          <t>BBB</t>
        </is>
      </c>
      <c r="V172" s="30" t="n"/>
    </row>
    <row r="173">
      <c r="A173" s="30" t="inlineStr">
        <is>
          <t>USL6401PAH66</t>
        </is>
      </c>
      <c r="B173" s="30" t="inlineStr">
        <is>
          <t>Top pick</t>
        </is>
      </c>
      <c r="C173" s="30" t="inlineStr">
        <is>
          <t>Minerva Luxembourg Sa</t>
        </is>
      </c>
      <c r="D173" s="30" t="n">
        <v>5.875</v>
      </c>
      <c r="E173" s="30" t="inlineStr">
        <is>
          <t>Sr Unsecured</t>
        </is>
      </c>
      <c r="F173" s="30" t="inlineStr">
        <is>
          <t>19.01.2028</t>
        </is>
      </c>
      <c r="G173" s="30" t="inlineStr">
        <is>
          <t>Brazil</t>
        </is>
      </c>
      <c r="H173" s="30" t="inlineStr">
        <is>
          <t>Consumer, Non-cyclical</t>
        </is>
      </c>
      <c r="I173" s="30" t="n">
        <v>200</v>
      </c>
      <c r="J173" s="30" t="n">
        <v>99.986</v>
      </c>
      <c r="K173" s="30" t="n">
        <v>5.878685</v>
      </c>
      <c r="L173" s="30" t="n">
        <v>-0.209221</v>
      </c>
      <c r="M173" s="30" t="n">
        <v>-0.0861</v>
      </c>
      <c r="N173" s="30" t="n">
        <v>127.155149</v>
      </c>
      <c r="O173" s="30" t="n">
        <v>2.622149064</v>
      </c>
      <c r="P173" s="30" t="n">
        <v>25</v>
      </c>
      <c r="Q173" s="30" t="inlineStr">
        <is>
          <t>One of Brazil's leaders in the production and sale of fresh beef</t>
        </is>
      </c>
      <c r="R173" s="30" t="inlineStr">
        <is>
          <t>USD</t>
        </is>
      </c>
      <c r="S173" s="30" t="inlineStr">
        <is>
          <t>Latin America</t>
        </is>
      </c>
      <c r="T173" s="30" t="inlineStr">
        <is>
          <t>BB</t>
        </is>
      </c>
      <c r="U173" s="30" t="inlineStr">
        <is>
          <t>BB</t>
        </is>
      </c>
      <c r="V173" s="30" t="n"/>
    </row>
    <row r="174">
      <c r="A174" s="30" t="inlineStr">
        <is>
          <t>US46647PEC68</t>
        </is>
      </c>
      <c r="B174" s="30" t="inlineStr">
        <is>
          <t xml:space="preserve">Hold </t>
        </is>
      </c>
      <c r="C174" s="30" t="inlineStr">
        <is>
          <t>Jpmorgan Chase &amp; Co</t>
        </is>
      </c>
      <c r="D174" s="30" t="n">
        <v>5.336</v>
      </c>
      <c r="E174" s="30" t="inlineStr">
        <is>
          <t>Sr Unsecured</t>
        </is>
      </c>
      <c r="F174" s="30" t="inlineStr">
        <is>
          <t>23.01.2035</t>
        </is>
      </c>
      <c r="G174" s="30" t="inlineStr">
        <is>
          <t>United states</t>
        </is>
      </c>
      <c r="H174" s="30" t="inlineStr">
        <is>
          <t>Financial</t>
        </is>
      </c>
      <c r="I174" s="30" t="n">
        <v>2</v>
      </c>
      <c r="J174" s="30" t="n">
        <v>102.194</v>
      </c>
      <c r="K174" s="30" t="n">
        <v>5.016662</v>
      </c>
      <c r="L174" s="30" t="n">
        <v>-0.045864</v>
      </c>
      <c r="M174" s="30" t="n">
        <v>-0.212174</v>
      </c>
      <c r="N174" s="30" t="n">
        <v>127.0641274</v>
      </c>
      <c r="O174" s="30" t="n">
        <v>7.00367897</v>
      </c>
      <c r="P174" s="30" t="n">
        <v>80</v>
      </c>
      <c r="Q174" s="30" t="inlineStr">
        <is>
          <t>The largest US bank</t>
        </is>
      </c>
      <c r="R174" s="30" t="inlineStr">
        <is>
          <t>USD</t>
        </is>
      </c>
      <c r="S174" s="30" t="inlineStr">
        <is>
          <t>Investment Grade</t>
        </is>
      </c>
      <c r="T174" s="30" t="inlineStr">
        <is>
          <t>A+</t>
        </is>
      </c>
      <c r="U174" s="30" t="inlineStr">
        <is>
          <t>A+</t>
        </is>
      </c>
      <c r="V174" s="30" t="n"/>
    </row>
    <row r="175">
      <c r="A175" s="30" t="inlineStr">
        <is>
          <t>CH1290222426</t>
        </is>
      </c>
      <c r="B175" s="30" t="inlineStr">
        <is>
          <t>Hold</t>
        </is>
      </c>
      <c r="C175" s="30" t="inlineStr">
        <is>
          <t>Temenos Ag</t>
        </is>
      </c>
      <c r="D175" s="30" t="n">
        <v>2.85</v>
      </c>
      <c r="E175" s="30" t="inlineStr">
        <is>
          <t>Sr Unsecured</t>
        </is>
      </c>
      <c r="F175" s="30" t="inlineStr">
        <is>
          <t>11.10.2028</t>
        </is>
      </c>
      <c r="G175" s="30" t="inlineStr">
        <is>
          <t>Switzerland</t>
        </is>
      </c>
      <c r="H175" s="30" t="inlineStr">
        <is>
          <t>Technology</t>
        </is>
      </c>
      <c r="I175" s="30" t="n">
        <v>5</v>
      </c>
      <c r="J175" s="30" t="n">
        <v>104.572</v>
      </c>
      <c r="K175" s="30" t="n">
        <v>1.289142</v>
      </c>
      <c r="L175" s="30" t="n">
        <v>0.012282</v>
      </c>
      <c r="M175" s="30" t="n">
        <v>0.123356</v>
      </c>
      <c r="N175" s="30" t="n">
        <v>126.5578038</v>
      </c>
      <c r="O175" s="30" t="n">
        <v>3.188756942</v>
      </c>
      <c r="P175" s="30" t="n">
        <v>85</v>
      </c>
      <c r="Q175" s="30" t="inlineStr">
        <is>
          <t>Software company for financial sector</t>
        </is>
      </c>
      <c r="R175" s="30" t="inlineStr">
        <is>
          <t>CHF</t>
        </is>
      </c>
      <c r="S175" s="30" t="inlineStr">
        <is>
          <t>Investment Grade</t>
        </is>
      </c>
      <c r="T175" s="30" t="inlineStr">
        <is>
          <t>NR</t>
        </is>
      </c>
      <c r="U175" s="30" t="inlineStr">
        <is>
          <t>NR</t>
        </is>
      </c>
      <c r="V175" s="30" t="n"/>
    </row>
    <row r="176">
      <c r="A176" s="30" t="inlineStr">
        <is>
          <t>USP90475AB31</t>
        </is>
      </c>
      <c r="B176" s="30" t="inlineStr">
        <is>
          <t>Hold</t>
        </is>
      </c>
      <c r="C176" s="30" t="inlineStr">
        <is>
          <t>Telfon Celuar Del Paragu</t>
        </is>
      </c>
      <c r="D176" s="30" t="n">
        <v>5.875</v>
      </c>
      <c r="E176" s="30" t="inlineStr">
        <is>
          <t>Sr Unsecured</t>
        </is>
      </c>
      <c r="F176" s="30" t="inlineStr">
        <is>
          <t>15.04.2027</t>
        </is>
      </c>
      <c r="G176" s="30" t="inlineStr">
        <is>
          <t>Paraguay</t>
        </is>
      </c>
      <c r="H176" s="30" t="inlineStr">
        <is>
          <t>Communications</t>
        </is>
      </c>
      <c r="I176" s="30" t="n">
        <v>200</v>
      </c>
      <c r="J176" s="30" t="n">
        <v>99.98399999999999</v>
      </c>
      <c r="K176" s="30" t="n">
        <v>5.914754</v>
      </c>
      <c r="L176" s="30" t="n">
        <v>0.171828</v>
      </c>
      <c r="M176" s="30" t="n">
        <v>-0.033135</v>
      </c>
      <c r="N176" s="30" t="n">
        <v>125.8901753</v>
      </c>
      <c r="O176" s="30" t="n">
        <v>1.950953582</v>
      </c>
      <c r="P176" s="30" t="n">
        <v>0</v>
      </c>
      <c r="Q176" s="30" t="inlineStr">
        <is>
          <t>Telecom company</t>
        </is>
      </c>
      <c r="R176" s="30" t="inlineStr">
        <is>
          <t>USD</t>
        </is>
      </c>
      <c r="S176" s="30" t="inlineStr">
        <is>
          <t>Latin America</t>
        </is>
      </c>
      <c r="T176" s="30" t="inlineStr">
        <is>
          <t>BB</t>
        </is>
      </c>
      <c r="U176" s="30" t="inlineStr">
        <is>
          <t>BB</t>
        </is>
      </c>
      <c r="V176" s="30" t="n"/>
    </row>
    <row r="177">
      <c r="A177" s="30" t="inlineStr">
        <is>
          <t>US71647NAY58</t>
        </is>
      </c>
      <c r="B177" s="30" t="inlineStr">
        <is>
          <t xml:space="preserve">Hold </t>
        </is>
      </c>
      <c r="C177" s="30" t="inlineStr">
        <is>
          <t>Petrobras Global Finance</t>
        </is>
      </c>
      <c r="D177" s="30" t="n">
        <v>5.999</v>
      </c>
      <c r="E177" s="30" t="inlineStr">
        <is>
          <t>Sr Unsecured</t>
        </is>
      </c>
      <c r="F177" s="30" t="inlineStr">
        <is>
          <t>27.01.2028</t>
        </is>
      </c>
      <c r="G177" s="30" t="inlineStr">
        <is>
          <t>Brazil</t>
        </is>
      </c>
      <c r="H177" s="30" t="inlineStr">
        <is>
          <t>Energy</t>
        </is>
      </c>
      <c r="I177" s="30" t="n">
        <v>2</v>
      </c>
      <c r="J177" s="30" t="n">
        <v>102.132</v>
      </c>
      <c r="K177" s="30" t="n">
        <v>5.096236</v>
      </c>
      <c r="L177" s="30" t="n">
        <v>-0.057446</v>
      </c>
      <c r="M177" s="30" t="n">
        <v>-0.1454</v>
      </c>
      <c r="N177" s="30" t="n">
        <v>125.4759493</v>
      </c>
      <c r="O177" s="30" t="n">
        <v>2.654470042</v>
      </c>
      <c r="P177" s="30" t="n">
        <v>25</v>
      </c>
      <c r="Q177" s="30" t="inlineStr">
        <is>
          <t>Largest oil company in Latin America</t>
        </is>
      </c>
      <c r="R177" s="30" t="inlineStr">
        <is>
          <t>USD</t>
        </is>
      </c>
      <c r="S177" s="30" t="inlineStr">
        <is>
          <t>Latin America</t>
        </is>
      </c>
      <c r="T177" s="30" t="inlineStr">
        <is>
          <t>BB</t>
        </is>
      </c>
      <c r="U177" s="30" t="inlineStr">
        <is>
          <t>BB</t>
        </is>
      </c>
      <c r="V177" s="30" t="n"/>
    </row>
    <row r="178">
      <c r="A178" s="30" t="inlineStr">
        <is>
          <t>US4651387N91</t>
        </is>
      </c>
      <c r="B178" s="30" t="inlineStr">
        <is>
          <t xml:space="preserve">Not accumulate </t>
        </is>
      </c>
      <c r="C178" s="30" t="inlineStr">
        <is>
          <t>State Of Israel</t>
        </is>
      </c>
      <c r="D178" s="30" t="n">
        <v>4.5</v>
      </c>
      <c r="E178" s="30" t="inlineStr">
        <is>
          <t>Sr Unsecured</t>
        </is>
      </c>
      <c r="F178" s="30" t="inlineStr">
        <is>
          <t>30.01.2043</t>
        </is>
      </c>
      <c r="G178" s="30" t="inlineStr">
        <is>
          <t>Israel</t>
        </is>
      </c>
      <c r="H178" s="30" t="inlineStr">
        <is>
          <t>Government</t>
        </is>
      </c>
      <c r="I178" s="30" t="n">
        <v>200</v>
      </c>
      <c r="J178" s="30" t="n">
        <v>83.286</v>
      </c>
      <c r="K178" s="30" t="n">
        <v>6.058899</v>
      </c>
      <c r="L178" s="30" t="n">
        <v>-0.054361</v>
      </c>
      <c r="M178" s="30" t="n">
        <v>-0.046472</v>
      </c>
      <c r="N178" s="30" t="n">
        <v>125.188027</v>
      </c>
      <c r="O178" s="30" t="n">
        <v>11.59459183</v>
      </c>
      <c r="P178" s="30" t="n">
        <v>85</v>
      </c>
      <c r="Q178" s="30" t="inlineStr">
        <is>
          <t> </t>
        </is>
      </c>
      <c r="R178" s="30" t="inlineStr">
        <is>
          <t>USD</t>
        </is>
      </c>
      <c r="S178" s="30" t="inlineStr">
        <is>
          <t>Investment Grade</t>
        </is>
      </c>
      <c r="T178" s="30" t="inlineStr">
        <is>
          <t>A-</t>
        </is>
      </c>
      <c r="U178" s="30" t="inlineStr">
        <is>
          <t>A-</t>
        </is>
      </c>
      <c r="V178" s="30" t="n"/>
    </row>
    <row r="179">
      <c r="A179" s="30" t="inlineStr">
        <is>
          <t>US345397F810</t>
        </is>
      </c>
      <c r="B179" s="30" t="inlineStr">
        <is>
          <t>Top Pick</t>
        </is>
      </c>
      <c r="C179" s="30" t="inlineStr">
        <is>
          <t>Ford Motor Credit Co Llc</t>
        </is>
      </c>
      <c r="D179" s="30" t="n">
        <v>5.125</v>
      </c>
      <c r="E179" s="30" t="inlineStr">
        <is>
          <t>Sr Unsecured</t>
        </is>
      </c>
      <c r="F179" s="30" t="inlineStr">
        <is>
          <t>05.11.2026</t>
        </is>
      </c>
      <c r="G179" s="30" t="inlineStr">
        <is>
          <t>United states</t>
        </is>
      </c>
      <c r="H179" s="30" t="inlineStr">
        <is>
          <t>Consumer, Cyclical</t>
        </is>
      </c>
      <c r="I179" s="30" t="n">
        <v>200</v>
      </c>
      <c r="J179" s="30" t="n">
        <v>99.89700000000001</v>
      </c>
      <c r="K179" s="30" t="n">
        <v>5.200937</v>
      </c>
      <c r="L179" s="30" t="n">
        <v>-0.082301</v>
      </c>
      <c r="M179" s="30" t="n">
        <v>-0.388855</v>
      </c>
      <c r="N179" s="30" t="n">
        <v>124.5349989</v>
      </c>
      <c r="O179" s="30" t="n">
        <v>1.589050042</v>
      </c>
      <c r="P179" s="30" t="n">
        <v>0</v>
      </c>
      <c r="Q179" s="30" t="inlineStr">
        <is>
          <t>Global automotive manufacturer</t>
        </is>
      </c>
      <c r="R179" s="30" t="inlineStr">
        <is>
          <t>USD</t>
        </is>
      </c>
      <c r="S179" s="30" t="inlineStr">
        <is>
          <t>Investment Grade</t>
        </is>
      </c>
      <c r="T179" s="30" t="inlineStr">
        <is>
          <t>BB+</t>
        </is>
      </c>
      <c r="U179" s="30" t="inlineStr">
        <is>
          <t>BB+</t>
        </is>
      </c>
      <c r="V179" s="30" t="n"/>
    </row>
    <row r="180">
      <c r="A180" s="30" t="inlineStr">
        <is>
          <t>XS2577136109</t>
        </is>
      </c>
      <c r="B180" s="30" t="inlineStr">
        <is>
          <t>Hold</t>
        </is>
      </c>
      <c r="C180" s="30" t="inlineStr">
        <is>
          <t>Saudi International Bond</t>
        </is>
      </c>
      <c r="D180" s="30" t="n">
        <v>5</v>
      </c>
      <c r="E180" s="30" t="inlineStr">
        <is>
          <t>Sr Unsecured</t>
        </is>
      </c>
      <c r="F180" s="30" t="inlineStr">
        <is>
          <t>18.01.2053</t>
        </is>
      </c>
      <c r="G180" s="30" t="inlineStr">
        <is>
          <t>Saudi Arabia</t>
        </is>
      </c>
      <c r="H180" s="30" t="inlineStr">
        <is>
          <t>Government</t>
        </is>
      </c>
      <c r="I180" s="30" t="n">
        <v>200</v>
      </c>
      <c r="J180" s="30" t="n">
        <v>85.497</v>
      </c>
      <c r="K180" s="30" t="n">
        <v>6.09301</v>
      </c>
      <c r="L180" s="30" t="n">
        <v>-0.011407</v>
      </c>
      <c r="M180" s="30" t="n">
        <v>-0.131991</v>
      </c>
      <c r="N180" s="30" t="n">
        <v>124.3428624</v>
      </c>
      <c r="O180" s="30" t="n">
        <v>13.86138477</v>
      </c>
      <c r="P180" s="30" t="n">
        <v>80</v>
      </c>
      <c r="Q180" s="30" t="inlineStr">
        <is>
          <t>Kingdom of Saudia sovereign bond</t>
        </is>
      </c>
      <c r="R180" s="30" t="inlineStr">
        <is>
          <t>USD</t>
        </is>
      </c>
      <c r="S180" s="30" t="inlineStr">
        <is>
          <t>Investment Grade</t>
        </is>
      </c>
      <c r="T180" s="30" t="inlineStr">
        <is>
          <t>A+</t>
        </is>
      </c>
      <c r="U180" s="30" t="inlineStr">
        <is>
          <t>A+</t>
        </is>
      </c>
      <c r="V180" s="30" t="n"/>
    </row>
    <row r="181">
      <c r="A181" s="30" t="inlineStr">
        <is>
          <t>USA08163AA41</t>
        </is>
      </c>
      <c r="B181" s="30" t="inlineStr">
        <is>
          <t xml:space="preserve">Hold </t>
        </is>
      </c>
      <c r="C181" s="30" t="inlineStr">
        <is>
          <t>Brf Gmbh</t>
        </is>
      </c>
      <c r="D181" s="30" t="n">
        <v>4.35</v>
      </c>
      <c r="E181" s="30" t="inlineStr">
        <is>
          <t>Sr Unsecured</t>
        </is>
      </c>
      <c r="F181" s="30" t="inlineStr">
        <is>
          <t>29.09.2026</t>
        </is>
      </c>
      <c r="G181" s="30" t="inlineStr">
        <is>
          <t>Brazil</t>
        </is>
      </c>
      <c r="H181" s="30" t="inlineStr">
        <is>
          <t>Consumer, Non-cyclical</t>
        </is>
      </c>
      <c r="I181" s="30" t="n">
        <v>200</v>
      </c>
      <c r="J181" s="30" t="n">
        <v>98.994</v>
      </c>
      <c r="K181" s="30" t="n">
        <v>5.202403</v>
      </c>
      <c r="L181" s="30" t="n">
        <v>0.151768</v>
      </c>
      <c r="M181" s="30" t="n">
        <v>-0.09281499999999999</v>
      </c>
      <c r="N181" s="30" t="n">
        <v>123.3130737</v>
      </c>
      <c r="O181" s="30" t="n">
        <v>1.506940344</v>
      </c>
      <c r="P181" s="30" t="n">
        <v>25</v>
      </c>
      <c r="Q181" s="30" t="inlineStr">
        <is>
          <t>Distributes food products</t>
        </is>
      </c>
      <c r="R181" s="30" t="inlineStr">
        <is>
          <t>USD</t>
        </is>
      </c>
      <c r="S181" s="30" t="inlineStr">
        <is>
          <t>Latin America</t>
        </is>
      </c>
      <c r="T181" s="30" t="inlineStr">
        <is>
          <t>BB</t>
        </is>
      </c>
      <c r="U181" s="30" t="inlineStr">
        <is>
          <t>BB</t>
        </is>
      </c>
      <c r="V181" s="30" t="n"/>
    </row>
    <row r="182">
      <c r="A182" s="30" t="inlineStr">
        <is>
          <t>USU4328RAG93</t>
        </is>
      </c>
      <c r="B182" s="30" t="inlineStr">
        <is>
          <t>Hold</t>
        </is>
      </c>
      <c r="C182" s="30" t="inlineStr">
        <is>
          <t>Hilton Domestic Operatin</t>
        </is>
      </c>
      <c r="D182" s="30" t="n">
        <v>4</v>
      </c>
      <c r="E182" s="30" t="inlineStr">
        <is>
          <t>Sr Unsecured</t>
        </is>
      </c>
      <c r="F182" s="30" t="inlineStr">
        <is>
          <t>01.05.2031</t>
        </is>
      </c>
      <c r="G182" s="30" t="inlineStr">
        <is>
          <t>United states</t>
        </is>
      </c>
      <c r="H182" s="30" t="inlineStr">
        <is>
          <t>Consumer, Cyclical</t>
        </is>
      </c>
      <c r="I182" s="30" t="n">
        <v>2</v>
      </c>
      <c r="J182" s="30" t="n">
        <v>93.527</v>
      </c>
      <c r="K182" s="30" t="n">
        <v>5.307317</v>
      </c>
      <c r="L182" s="30" t="n">
        <v>0.08619599999999999</v>
      </c>
      <c r="M182" s="30" t="n">
        <v>-0.179767</v>
      </c>
      <c r="N182" s="30" t="n">
        <v>121.3270312</v>
      </c>
      <c r="O182" s="30" t="n">
        <v>5.291243402</v>
      </c>
      <c r="P182" s="30" t="n">
        <v>15</v>
      </c>
      <c r="Q182" s="30" t="inlineStr">
        <is>
          <t>Owns and operates hotels and motels</t>
        </is>
      </c>
      <c r="R182" s="30" t="inlineStr">
        <is>
          <t>USD</t>
        </is>
      </c>
      <c r="S182" s="30" t="inlineStr">
        <is>
          <t>High Yield</t>
        </is>
      </c>
      <c r="T182" s="30" t="inlineStr">
        <is>
          <t>BB</t>
        </is>
      </c>
      <c r="U182" s="30" t="inlineStr">
        <is>
          <t>BB</t>
        </is>
      </c>
      <c r="V182" s="30" t="n"/>
    </row>
    <row r="183">
      <c r="A183" s="30" t="inlineStr">
        <is>
          <t>US71647NBH17</t>
        </is>
      </c>
      <c r="B183" s="30" t="inlineStr">
        <is>
          <t xml:space="preserve">Hold </t>
        </is>
      </c>
      <c r="C183" s="30" t="inlineStr">
        <is>
          <t>Petrobras Global Finance</t>
        </is>
      </c>
      <c r="D183" s="30" t="n">
        <v>5.6</v>
      </c>
      <c r="E183" s="30" t="inlineStr">
        <is>
          <t>Sr Unsecured</t>
        </is>
      </c>
      <c r="F183" s="30" t="inlineStr">
        <is>
          <t>03.01.2031</t>
        </is>
      </c>
      <c r="G183" s="30" t="inlineStr">
        <is>
          <t>Brazil</t>
        </is>
      </c>
      <c r="H183" s="30" t="inlineStr">
        <is>
          <t>Energy</t>
        </is>
      </c>
      <c r="I183" s="30" t="n">
        <v>2</v>
      </c>
      <c r="J183" s="30" t="n">
        <v>101.744</v>
      </c>
      <c r="K183" s="30" t="n">
        <v>5.21638</v>
      </c>
      <c r="L183" s="30" t="n">
        <v>-0.110675</v>
      </c>
      <c r="M183" s="30" t="n">
        <v>-0.382248</v>
      </c>
      <c r="N183" s="30" t="n">
        <v>121.2382227</v>
      </c>
      <c r="O183" s="30" t="n">
        <v>4.896842927</v>
      </c>
      <c r="P183" s="30" t="n">
        <v>0</v>
      </c>
      <c r="Q183" s="30" t="inlineStr">
        <is>
          <t>Largest oil company in Latin America</t>
        </is>
      </c>
      <c r="R183" s="30" t="inlineStr">
        <is>
          <t>USD</t>
        </is>
      </c>
      <c r="S183" s="30" t="inlineStr">
        <is>
          <t>Latin America</t>
        </is>
      </c>
      <c r="T183" s="30" t="inlineStr">
        <is>
          <t>BB</t>
        </is>
      </c>
      <c r="U183" s="30" t="inlineStr">
        <is>
          <t>BB</t>
        </is>
      </c>
      <c r="V183" s="30" t="n"/>
    </row>
    <row r="184">
      <c r="A184" s="30" t="inlineStr">
        <is>
          <t>USU1851TAB71</t>
        </is>
      </c>
      <c r="B184" s="30" t="inlineStr">
        <is>
          <t>Hold</t>
        </is>
      </c>
      <c r="C184" s="30" t="inlineStr">
        <is>
          <t>Clearway Energy Op Llc</t>
        </is>
      </c>
      <c r="D184" s="30" t="n">
        <v>4.75</v>
      </c>
      <c r="E184" s="30" t="inlineStr">
        <is>
          <t>Sr Unsecured</t>
        </is>
      </c>
      <c r="F184" s="30" t="inlineStr">
        <is>
          <t>15.03.2028</t>
        </is>
      </c>
      <c r="G184" s="30" t="inlineStr">
        <is>
          <t>United states</t>
        </is>
      </c>
      <c r="H184" s="30" t="inlineStr">
        <is>
          <t>Utilities</t>
        </is>
      </c>
      <c r="I184" s="30" t="n">
        <v>2</v>
      </c>
      <c r="J184" s="30" t="n">
        <v>98.703</v>
      </c>
      <c r="K184" s="30" t="n">
        <v>5.271453</v>
      </c>
      <c r="L184" s="30" t="n">
        <v>0.018855</v>
      </c>
      <c r="M184" s="30" t="n">
        <v>-0.160178</v>
      </c>
      <c r="N184" s="30" t="n">
        <v>120.795569</v>
      </c>
      <c r="O184" s="30" t="n">
        <v>2.74909664</v>
      </c>
      <c r="P184" s="30" t="n">
        <v>25</v>
      </c>
      <c r="Q184" s="30" t="inlineStr">
        <is>
          <t>Provides power generation services</t>
        </is>
      </c>
      <c r="R184" s="30" t="inlineStr">
        <is>
          <t>USD</t>
        </is>
      </c>
      <c r="S184" s="30" t="inlineStr">
        <is>
          <t>High Yield</t>
        </is>
      </c>
      <c r="T184" s="30" t="inlineStr">
        <is>
          <t>BB</t>
        </is>
      </c>
      <c r="U184" s="30" t="inlineStr">
        <is>
          <t>BB</t>
        </is>
      </c>
      <c r="V184" s="30" t="n"/>
    </row>
    <row r="185">
      <c r="A185" s="30" t="inlineStr">
        <is>
          <t>USN29505AB53</t>
        </is>
      </c>
      <c r="B185" s="30" t="inlineStr">
        <is>
          <t xml:space="preserve">Hold </t>
        </is>
      </c>
      <c r="C185" s="30" t="inlineStr">
        <is>
          <t>Embraer Netherlands Fina</t>
        </is>
      </c>
      <c r="D185" s="30" t="n">
        <v>7</v>
      </c>
      <c r="E185" s="30" t="inlineStr">
        <is>
          <t>Sr Unsecured</t>
        </is>
      </c>
      <c r="F185" s="30" t="inlineStr">
        <is>
          <t>28.07.2030</t>
        </is>
      </c>
      <c r="G185" s="30" t="inlineStr">
        <is>
          <t>Brazil</t>
        </is>
      </c>
      <c r="H185" s="30" t="inlineStr">
        <is>
          <t>Industrial</t>
        </is>
      </c>
      <c r="I185" s="30" t="n">
        <v>200</v>
      </c>
      <c r="J185" s="30" t="n">
        <v>107.856</v>
      </c>
      <c r="K185" s="30" t="n">
        <v>5.135328</v>
      </c>
      <c r="L185" s="30" t="n">
        <v>-0.06790300000000001</v>
      </c>
      <c r="M185" s="30" t="n">
        <v>-0.254073</v>
      </c>
      <c r="N185" s="30" t="n">
        <v>119.8871736</v>
      </c>
      <c r="O185" s="30" t="n">
        <v>4.320785833</v>
      </c>
      <c r="P185" s="30" t="n">
        <v>50</v>
      </c>
      <c r="Q185" s="30" t="inlineStr">
        <is>
          <t>Leading manufacturer of regional jet airplanes</t>
        </is>
      </c>
      <c r="R185" s="30" t="inlineStr">
        <is>
          <t>USD</t>
        </is>
      </c>
      <c r="S185" s="30" t="inlineStr">
        <is>
          <t>Latin America</t>
        </is>
      </c>
      <c r="T185" s="30" t="inlineStr">
        <is>
          <t>BBB-</t>
        </is>
      </c>
      <c r="U185" s="30" t="inlineStr">
        <is>
          <t>BBB-</t>
        </is>
      </c>
      <c r="V185" s="30" t="n"/>
    </row>
    <row r="186">
      <c r="A186" s="30" t="inlineStr">
        <is>
          <t>USP56236AB16</t>
        </is>
      </c>
      <c r="B186" s="30" t="inlineStr">
        <is>
          <t xml:space="preserve">Hold </t>
        </is>
      </c>
      <c r="C186" s="30" t="inlineStr">
        <is>
          <t>Inretail Consumer</t>
        </is>
      </c>
      <c r="D186" s="30" t="n">
        <v>3.25</v>
      </c>
      <c r="E186" s="30" t="inlineStr">
        <is>
          <t>1St Lien</t>
        </is>
      </c>
      <c r="F186" s="30" t="inlineStr">
        <is>
          <t>22.03.2028</t>
        </is>
      </c>
      <c r="G186" s="30" t="inlineStr">
        <is>
          <t>Peru</t>
        </is>
      </c>
      <c r="H186" s="30" t="inlineStr">
        <is>
          <t>Consumer, Cyclical</t>
        </is>
      </c>
      <c r="I186" s="30" t="n">
        <v>200</v>
      </c>
      <c r="J186" s="30" t="n">
        <v>95.54600000000001</v>
      </c>
      <c r="K186" s="30" t="n">
        <v>5.029619</v>
      </c>
      <c r="L186" s="30" t="n">
        <v>-0.246748</v>
      </c>
      <c r="M186" s="30" t="n">
        <v>-0.531654</v>
      </c>
      <c r="N186" s="30" t="n">
        <v>119.7441902</v>
      </c>
      <c r="O186" s="30" t="n">
        <v>2.833419673</v>
      </c>
      <c r="P186" s="30" t="n">
        <v>25</v>
      </c>
      <c r="Q186" s="30" t="inlineStr">
        <is>
          <t>Operates as a multi-format retailer company</t>
        </is>
      </c>
      <c r="R186" s="30" t="inlineStr">
        <is>
          <t>USD</t>
        </is>
      </c>
      <c r="S186" s="30" t="inlineStr">
        <is>
          <t>Latin America</t>
        </is>
      </c>
      <c r="T186" s="30" t="inlineStr">
        <is>
          <t>BB+</t>
        </is>
      </c>
      <c r="U186" s="30" t="inlineStr">
        <is>
          <t>BB+</t>
        </is>
      </c>
      <c r="V186" s="30" t="n"/>
    </row>
    <row r="187">
      <c r="A187" s="30" t="inlineStr">
        <is>
          <t>FR001400F2R8</t>
        </is>
      </c>
      <c r="B187" s="30" t="inlineStr">
        <is>
          <t>Hold</t>
        </is>
      </c>
      <c r="C187" s="30" t="inlineStr">
        <is>
          <t>Air France-Klm</t>
        </is>
      </c>
      <c r="D187" s="30" t="n">
        <v>8.125</v>
      </c>
      <c r="E187" s="30" t="inlineStr">
        <is>
          <t>Sr Unsecured</t>
        </is>
      </c>
      <c r="F187" s="30" t="inlineStr">
        <is>
          <t>31.05.2028</t>
        </is>
      </c>
      <c r="G187" s="30" t="inlineStr">
        <is>
          <t>France</t>
        </is>
      </c>
      <c r="H187" s="30" t="inlineStr">
        <is>
          <t>Consumer, Cyclical</t>
        </is>
      </c>
      <c r="I187" s="30" t="n">
        <v>100</v>
      </c>
      <c r="J187" s="30" t="n">
        <v>112.431</v>
      </c>
      <c r="K187" s="30" t="n">
        <v>3.146846</v>
      </c>
      <c r="L187" s="30" t="n">
        <v>-0.093518</v>
      </c>
      <c r="M187" s="30" t="n">
        <v>-0.107586</v>
      </c>
      <c r="N187" s="30" t="n">
        <v>118.8798538</v>
      </c>
      <c r="O187" s="30" t="n">
        <v>2.573870998</v>
      </c>
      <c r="P187" s="30" t="n">
        <v>25</v>
      </c>
      <c r="Q187" s="30" t="inlineStr">
        <is>
          <t>Offers air transportation services</t>
        </is>
      </c>
      <c r="R187" s="30" t="inlineStr">
        <is>
          <t>EUR</t>
        </is>
      </c>
      <c r="S187" s="30" t="inlineStr">
        <is>
          <t>High Yield</t>
        </is>
      </c>
      <c r="T187" s="30" t="inlineStr">
        <is>
          <t>BB+</t>
        </is>
      </c>
      <c r="U187" s="30" t="inlineStr">
        <is>
          <t>BB+</t>
        </is>
      </c>
      <c r="V187" s="30" t="n"/>
    </row>
    <row r="188">
      <c r="A188" s="30" t="inlineStr">
        <is>
          <t>US91911TAR41</t>
        </is>
      </c>
      <c r="B188" s="30" t="inlineStr">
        <is>
          <t xml:space="preserve">Hold </t>
        </is>
      </c>
      <c r="C188" s="30" t="inlineStr">
        <is>
          <t>Vale Overseas Limited</t>
        </is>
      </c>
      <c r="D188" s="30" t="n">
        <v>6.125</v>
      </c>
      <c r="E188" s="30" t="inlineStr">
        <is>
          <t>Sr Unsecured</t>
        </is>
      </c>
      <c r="F188" s="30" t="inlineStr">
        <is>
          <t>12.06.2033</t>
        </is>
      </c>
      <c r="G188" s="30" t="inlineStr">
        <is>
          <t>Brazil</t>
        </is>
      </c>
      <c r="H188" s="30" t="inlineStr">
        <is>
          <t>Basic Materials</t>
        </is>
      </c>
      <c r="I188" s="30" t="n">
        <v>2</v>
      </c>
      <c r="J188" s="30" t="n">
        <v>104.544</v>
      </c>
      <c r="K188" s="30" t="n">
        <v>5.394606</v>
      </c>
      <c r="L188" s="30" t="n">
        <v>-0.003529</v>
      </c>
      <c r="M188" s="30" t="n">
        <v>-0.184086</v>
      </c>
      <c r="N188" s="30" t="n">
        <v>118.8447105</v>
      </c>
      <c r="O188" s="30" t="n">
        <v>6.247878096</v>
      </c>
      <c r="P188" s="30" t="n">
        <v>0</v>
      </c>
      <c r="Q188" s="30" t="inlineStr">
        <is>
          <t>leader in iron ore and second largest producer in nickel</t>
        </is>
      </c>
      <c r="R188" s="30" t="inlineStr">
        <is>
          <t>USD</t>
        </is>
      </c>
      <c r="S188" s="30" t="inlineStr">
        <is>
          <t>Latin America</t>
        </is>
      </c>
      <c r="T188" s="30" t="inlineStr">
        <is>
          <t>BBB-</t>
        </is>
      </c>
      <c r="U188" s="30" t="inlineStr">
        <is>
          <t>BBB-</t>
        </is>
      </c>
      <c r="V188" s="30" t="n"/>
    </row>
    <row r="189">
      <c r="A189" s="30" t="inlineStr">
        <is>
          <t>USP75744AM75</t>
        </is>
      </c>
      <c r="B189" s="30" t="inlineStr">
        <is>
          <t xml:space="preserve">Hold </t>
        </is>
      </c>
      <c r="C189" s="30" t="inlineStr">
        <is>
          <t>Republic Of Paraguay</t>
        </is>
      </c>
      <c r="D189" s="30" t="n">
        <v>5.85</v>
      </c>
      <c r="E189" s="30" t="inlineStr">
        <is>
          <t>Sr Unsecured</t>
        </is>
      </c>
      <c r="F189" s="30" t="inlineStr">
        <is>
          <t>21.08.2033</t>
        </is>
      </c>
      <c r="G189" s="30" t="inlineStr">
        <is>
          <t>Paraguay</t>
        </is>
      </c>
      <c r="H189" s="30" t="inlineStr">
        <is>
          <t>Government</t>
        </is>
      </c>
      <c r="I189" s="30" t="n">
        <v>200</v>
      </c>
      <c r="J189" s="30" t="n">
        <v>102.917</v>
      </c>
      <c r="K189" s="30" t="n">
        <v>5.390083</v>
      </c>
      <c r="L189" s="30" t="n">
        <v>-0.063426</v>
      </c>
      <c r="M189" s="30" t="n">
        <v>-0.35026</v>
      </c>
      <c r="N189" s="30" t="n">
        <v>118.71722</v>
      </c>
      <c r="O189" s="30" t="n">
        <v>6.370104829</v>
      </c>
      <c r="P189" s="30" t="n">
        <v>15</v>
      </c>
      <c r="Q189" s="30" t="inlineStr">
        <is>
          <t>Paraguay Government bond</t>
        </is>
      </c>
      <c r="R189" s="30" t="inlineStr">
        <is>
          <t>USD</t>
        </is>
      </c>
      <c r="S189" s="30" t="inlineStr">
        <is>
          <t>Latin America</t>
        </is>
      </c>
      <c r="T189" s="30" t="inlineStr">
        <is>
          <t>BB+</t>
        </is>
      </c>
      <c r="U189" s="30" t="inlineStr">
        <is>
          <t>BB+</t>
        </is>
      </c>
      <c r="V189" s="30" t="n"/>
    </row>
    <row r="190">
      <c r="A190" s="30" t="inlineStr">
        <is>
          <t>CH1357852800</t>
        </is>
      </c>
      <c r="B190" s="30" t="inlineStr">
        <is>
          <t>Top pick</t>
        </is>
      </c>
      <c r="C190" s="30" t="inlineStr">
        <is>
          <t>Vonovia Se</t>
        </is>
      </c>
      <c r="D190" s="30" t="n">
        <v>2</v>
      </c>
      <c r="E190" s="30" t="inlineStr">
        <is>
          <t>Sr Unsecured</t>
        </is>
      </c>
      <c r="F190" s="30" t="inlineStr">
        <is>
          <t>26.08.2031</t>
        </is>
      </c>
      <c r="G190" s="30" t="inlineStr">
        <is>
          <t>Germany</t>
        </is>
      </c>
      <c r="H190" s="30" t="inlineStr">
        <is>
          <t>Financial</t>
        </is>
      </c>
      <c r="I190" s="30" t="n">
        <v>5</v>
      </c>
      <c r="J190" s="30" t="n">
        <v>103.471</v>
      </c>
      <c r="K190" s="30" t="n">
        <v>1.396982</v>
      </c>
      <c r="L190" s="30" t="n">
        <v>-0.008729000000000001</v>
      </c>
      <c r="M190" s="30" t="n">
        <v>0.077225</v>
      </c>
      <c r="N190" s="30" t="n">
        <v>118.3981174</v>
      </c>
      <c r="O190" s="30" t="n">
        <v>5.950650186</v>
      </c>
      <c r="P190" s="30" t="n">
        <v>0</v>
      </c>
      <c r="Q190" s="30" t="inlineStr">
        <is>
          <t xml:space="preserve">Germany's largest residential real estate owner </t>
        </is>
      </c>
      <c r="R190" s="30" t="inlineStr">
        <is>
          <t>CHF</t>
        </is>
      </c>
      <c r="S190" s="30" t="inlineStr">
        <is>
          <t>Investment Grade</t>
        </is>
      </c>
      <c r="T190" s="30" t="inlineStr">
        <is>
          <t>BBB+</t>
        </is>
      </c>
      <c r="U190" s="30" t="inlineStr">
        <is>
          <t>BBB+</t>
        </is>
      </c>
      <c r="V190" s="30" t="n"/>
    </row>
    <row r="191">
      <c r="A191" s="30" t="inlineStr">
        <is>
          <t>US06051GKY43</t>
        </is>
      </c>
      <c r="B191" s="30" t="inlineStr">
        <is>
          <t>Hold</t>
        </is>
      </c>
      <c r="C191" s="30" t="inlineStr">
        <is>
          <t>Bank Of America Corp</t>
        </is>
      </c>
      <c r="D191" s="30" t="n">
        <v>5.015</v>
      </c>
      <c r="E191" s="30" t="inlineStr">
        <is>
          <t>Sr Unsecured</t>
        </is>
      </c>
      <c r="F191" s="30" t="inlineStr">
        <is>
          <t>22.07.2033</t>
        </is>
      </c>
      <c r="G191" s="30" t="inlineStr">
        <is>
          <t>United states</t>
        </is>
      </c>
      <c r="H191" s="30" t="inlineStr">
        <is>
          <t>Financial</t>
        </is>
      </c>
      <c r="I191" s="30" t="n">
        <v>2</v>
      </c>
      <c r="J191" s="30" t="n">
        <v>100.97</v>
      </c>
      <c r="K191" s="30" t="n">
        <v>4.850319</v>
      </c>
      <c r="L191" s="30" t="n">
        <v>-0.035267</v>
      </c>
      <c r="M191" s="30" t="n">
        <v>-0.179018</v>
      </c>
      <c r="N191" s="30" t="n">
        <v>118.2215535</v>
      </c>
      <c r="O191" s="30" t="n">
        <v>6.097070639</v>
      </c>
      <c r="P191" s="30" t="n">
        <v>80</v>
      </c>
      <c r="Q191" s="30" t="inlineStr">
        <is>
          <t>One of the largest US banks</t>
        </is>
      </c>
      <c r="R191" s="30" t="inlineStr">
        <is>
          <t>USD</t>
        </is>
      </c>
      <c r="S191" s="30" t="inlineStr">
        <is>
          <t>Investment Grade</t>
        </is>
      </c>
      <c r="T191" s="30" t="inlineStr">
        <is>
          <t>A</t>
        </is>
      </c>
      <c r="U191" s="30" t="inlineStr">
        <is>
          <t>A</t>
        </is>
      </c>
      <c r="V191" s="30" t="n"/>
    </row>
    <row r="192">
      <c r="A192" s="30" t="inlineStr">
        <is>
          <t>FR001400H1V0</t>
        </is>
      </c>
      <c r="B192" s="30" t="inlineStr">
        <is>
          <t>Hold</t>
        </is>
      </c>
      <c r="C192" s="30" t="inlineStr">
        <is>
          <t>Engie Sa</t>
        </is>
      </c>
      <c r="D192" s="30" t="n">
        <v>5.625</v>
      </c>
      <c r="E192" s="30" t="inlineStr">
        <is>
          <t>Sr Unsecured</t>
        </is>
      </c>
      <c r="F192" s="30" t="inlineStr">
        <is>
          <t>03.04.2053</t>
        </is>
      </c>
      <c r="G192" s="30" t="inlineStr">
        <is>
          <t>France</t>
        </is>
      </c>
      <c r="H192" s="30" t="inlineStr">
        <is>
          <t>Utilities</t>
        </is>
      </c>
      <c r="I192" s="30" t="n">
        <v>100</v>
      </c>
      <c r="J192" s="30" t="n">
        <v>89.456</v>
      </c>
      <c r="K192" s="30" t="n">
        <v>6.347876</v>
      </c>
      <c r="L192" s="30" t="n">
        <v>0.060048</v>
      </c>
      <c r="M192" s="30" t="n">
        <v>0.000392</v>
      </c>
      <c r="N192" s="30" t="n">
        <v>117.8692579</v>
      </c>
      <c r="O192" s="30" t="n">
        <v>12.71686947</v>
      </c>
      <c r="P192" s="30" t="n">
        <v>50</v>
      </c>
      <c r="Q192" s="30" t="inlineStr">
        <is>
          <t>French utility company specialised in renewables</t>
        </is>
      </c>
      <c r="R192" s="30" t="inlineStr">
        <is>
          <t>GBP</t>
        </is>
      </c>
      <c r="S192" s="30" t="inlineStr">
        <is>
          <t>Investment Grade</t>
        </is>
      </c>
      <c r="T192" s="30" t="inlineStr">
        <is>
          <t>BBB+</t>
        </is>
      </c>
      <c r="U192" s="30" t="inlineStr">
        <is>
          <t>BBB+</t>
        </is>
      </c>
      <c r="V192" s="30" t="n"/>
    </row>
    <row r="193">
      <c r="A193" s="30" t="inlineStr">
        <is>
          <t>US09659X2R20</t>
        </is>
      </c>
      <c r="B193" s="30" t="inlineStr">
        <is>
          <t xml:space="preserve">Hold </t>
        </is>
      </c>
      <c r="C193" s="30" t="inlineStr">
        <is>
          <t>Bnp Paribas</t>
        </is>
      </c>
      <c r="D193" s="30" t="n">
        <v>2.159</v>
      </c>
      <c r="E193" s="30" t="inlineStr">
        <is>
          <t>Sr Non Preferred</t>
        </is>
      </c>
      <c r="F193" s="30" t="inlineStr">
        <is>
          <t>15.09.2029</t>
        </is>
      </c>
      <c r="G193" s="30" t="inlineStr">
        <is>
          <t>France</t>
        </is>
      </c>
      <c r="H193" s="30" t="inlineStr">
        <is>
          <t>Financial</t>
        </is>
      </c>
      <c r="I193" s="30" t="n">
        <v>200</v>
      </c>
      <c r="J193" s="30" t="n">
        <v>92.509</v>
      </c>
      <c r="K193" s="30" t="n">
        <v>4.717661</v>
      </c>
      <c r="L193" s="30" t="n">
        <v>0.046863</v>
      </c>
      <c r="M193" s="30" t="n">
        <v>-0.169221</v>
      </c>
      <c r="N193" s="30" t="n">
        <v>117.6698948</v>
      </c>
      <c r="O193" s="30" t="n">
        <v>3.325296708</v>
      </c>
      <c r="P193" s="30" t="n">
        <v>75</v>
      </c>
      <c r="Q193" s="30" t="inlineStr">
        <is>
          <t>France's largest bank with a world leading position</t>
        </is>
      </c>
      <c r="R193" s="30" t="inlineStr">
        <is>
          <t>USD</t>
        </is>
      </c>
      <c r="S193" s="30" t="inlineStr">
        <is>
          <t>Investment Grade</t>
        </is>
      </c>
      <c r="T193" s="30" t="inlineStr">
        <is>
          <t>A-</t>
        </is>
      </c>
      <c r="U193" s="30" t="inlineStr">
        <is>
          <t>A-</t>
        </is>
      </c>
      <c r="V193" s="30" t="n"/>
    </row>
    <row r="194">
      <c r="A194" s="30" t="inlineStr">
        <is>
          <t>US46647PDH64</t>
        </is>
      </c>
      <c r="B194" s="30" t="inlineStr">
        <is>
          <t>Top Pick</t>
        </is>
      </c>
      <c r="C194" s="30" t="inlineStr">
        <is>
          <t>Jpmorgan Chase &amp; Co</t>
        </is>
      </c>
      <c r="D194" s="30" t="n">
        <v>4.912</v>
      </c>
      <c r="E194" s="30" t="inlineStr">
        <is>
          <t>Sr Unsecured</t>
        </is>
      </c>
      <c r="F194" s="30" t="inlineStr">
        <is>
          <t>25.07.2033</t>
        </is>
      </c>
      <c r="G194" s="30" t="inlineStr">
        <is>
          <t>United states</t>
        </is>
      </c>
      <c r="H194" s="30" t="inlineStr">
        <is>
          <t>Financial</t>
        </is>
      </c>
      <c r="I194" s="30" t="n">
        <v>2</v>
      </c>
      <c r="J194" s="30" t="n">
        <v>100.455</v>
      </c>
      <c r="K194" s="30" t="n">
        <v>4.834618</v>
      </c>
      <c r="L194" s="30" t="n">
        <v>-0.049559</v>
      </c>
      <c r="M194" s="30" t="n">
        <v>-0.19385</v>
      </c>
      <c r="N194" s="30" t="n">
        <v>116.5956083</v>
      </c>
      <c r="O194" s="30" t="n">
        <v>6.123702075</v>
      </c>
      <c r="P194" s="30" t="n">
        <v>80</v>
      </c>
      <c r="Q194" s="30" t="inlineStr">
        <is>
          <t>The largest US bank</t>
        </is>
      </c>
      <c r="R194" s="30" t="inlineStr">
        <is>
          <t>USD</t>
        </is>
      </c>
      <c r="S194" s="30" t="inlineStr">
        <is>
          <t>Investment Grade</t>
        </is>
      </c>
      <c r="T194" s="30" t="inlineStr">
        <is>
          <t>A+</t>
        </is>
      </c>
      <c r="U194" s="30" t="inlineStr">
        <is>
          <t>A+</t>
        </is>
      </c>
      <c r="V194" s="30" t="n"/>
    </row>
    <row r="195">
      <c r="A195" s="30" t="inlineStr">
        <is>
          <t>FR001400P3E2</t>
        </is>
      </c>
      <c r="B195" s="30" t="inlineStr">
        <is>
          <t>Hold</t>
        </is>
      </c>
      <c r="C195" s="30" t="inlineStr">
        <is>
          <t>Rci Banque Sa</t>
        </is>
      </c>
      <c r="D195" s="30" t="n">
        <v>4.125</v>
      </c>
      <c r="E195" s="30" t="inlineStr">
        <is>
          <t>Sr Unsecured</t>
        </is>
      </c>
      <c r="F195" s="30" t="inlineStr">
        <is>
          <t>04.04.2031</t>
        </is>
      </c>
      <c r="G195" s="30" t="inlineStr">
        <is>
          <t>France</t>
        </is>
      </c>
      <c r="H195" s="30" t="inlineStr">
        <is>
          <t>Consumer, Cyclical</t>
        </is>
      </c>
      <c r="I195" s="30" t="n">
        <v>1</v>
      </c>
      <c r="J195" s="30" t="n">
        <v>102.686</v>
      </c>
      <c r="K195" s="30" t="n">
        <v>3.576516</v>
      </c>
      <c r="L195" s="30" t="n">
        <v>-0.133648</v>
      </c>
      <c r="M195" s="30" t="n">
        <v>-0.103741</v>
      </c>
      <c r="N195" s="30" t="n">
        <v>116.3184218</v>
      </c>
      <c r="O195" s="30" t="n">
        <v>4.96651481</v>
      </c>
      <c r="P195" s="30" t="n">
        <v>60</v>
      </c>
      <c r="Q195" s="30" t="inlineStr">
        <is>
          <t>Provider of automobile financing services for Renault</t>
        </is>
      </c>
      <c r="R195" s="30" t="inlineStr">
        <is>
          <t>EUR</t>
        </is>
      </c>
      <c r="S195" s="30" t="inlineStr">
        <is>
          <t>Investment Grade</t>
        </is>
      </c>
      <c r="T195" s="30" t="inlineStr">
        <is>
          <t>BBB</t>
        </is>
      </c>
      <c r="U195" s="30" t="inlineStr">
        <is>
          <t>BBB</t>
        </is>
      </c>
      <c r="V195" s="30" t="n"/>
    </row>
    <row r="196">
      <c r="A196" s="30" t="inlineStr">
        <is>
          <t>DE000DL19VS4</t>
        </is>
      </c>
      <c r="B196" s="30" t="inlineStr">
        <is>
          <t>Hold</t>
        </is>
      </c>
      <c r="C196" s="30" t="inlineStr">
        <is>
          <t>Deutsche Bank Ag</t>
        </is>
      </c>
      <c r="D196" s="30" t="n">
        <v>1.75</v>
      </c>
      <c r="E196" s="30" t="inlineStr">
        <is>
          <t>Sr Non Preferred</t>
        </is>
      </c>
      <c r="F196" s="30" t="inlineStr">
        <is>
          <t>19.11.2030</t>
        </is>
      </c>
      <c r="G196" s="30" t="inlineStr">
        <is>
          <t>Germany</t>
        </is>
      </c>
      <c r="H196" s="30" t="inlineStr">
        <is>
          <t>Financial</t>
        </is>
      </c>
      <c r="I196" s="30" t="n">
        <v>100</v>
      </c>
      <c r="J196" s="30" t="n">
        <v>94.163</v>
      </c>
      <c r="K196" s="30" t="n">
        <v>3.202742</v>
      </c>
      <c r="L196" s="30" t="n">
        <v>-0.061367</v>
      </c>
      <c r="M196" s="30" t="n">
        <v>-0.177226</v>
      </c>
      <c r="N196" s="30" t="n">
        <v>116.271281</v>
      </c>
      <c r="O196" s="30" t="n">
        <v>4.408806506</v>
      </c>
      <c r="P196" s="30" t="n">
        <v>60</v>
      </c>
      <c r="Q196" s="30" t="inlineStr">
        <is>
          <t xml:space="preserve">German largest universal bank </t>
        </is>
      </c>
      <c r="R196" s="30" t="inlineStr">
        <is>
          <t>EUR</t>
        </is>
      </c>
      <c r="S196" s="30" t="inlineStr">
        <is>
          <t>Investment Grade</t>
        </is>
      </c>
      <c r="T196" s="30" t="inlineStr">
        <is>
          <t>BBB+</t>
        </is>
      </c>
      <c r="U196" s="30" t="inlineStr">
        <is>
          <t>BBB+</t>
        </is>
      </c>
      <c r="V196" s="30" t="n"/>
    </row>
    <row r="197">
      <c r="A197" s="30" t="inlineStr">
        <is>
          <t>XS2433140113</t>
        </is>
      </c>
      <c r="B197" s="30" t="inlineStr">
        <is>
          <t xml:space="preserve">Hold </t>
        </is>
      </c>
      <c r="C197" s="30" t="inlineStr">
        <is>
          <t>Volkswagen Fin Serv Nv</t>
        </is>
      </c>
      <c r="D197" s="30" t="n">
        <v>2.125</v>
      </c>
      <c r="E197" s="30" t="inlineStr">
        <is>
          <t>Sr Unsecured</t>
        </is>
      </c>
      <c r="F197" s="30" t="inlineStr">
        <is>
          <t>18.01.2028</t>
        </is>
      </c>
      <c r="G197" s="30" t="inlineStr">
        <is>
          <t>Germany</t>
        </is>
      </c>
      <c r="H197" s="30" t="inlineStr">
        <is>
          <t>Consumer, Cyclical</t>
        </is>
      </c>
      <c r="I197" s="30" t="n">
        <v>100</v>
      </c>
      <c r="J197" s="30" t="n">
        <v>93.435</v>
      </c>
      <c r="K197" s="30" t="n">
        <v>4.885916</v>
      </c>
      <c r="L197" s="30" t="n">
        <v>0.012409</v>
      </c>
      <c r="M197" s="30" t="n">
        <v>-0.215875</v>
      </c>
      <c r="N197" s="30" t="n">
        <v>115.9283948</v>
      </c>
      <c r="O197" s="30" t="n">
        <v>2.689489718</v>
      </c>
      <c r="P197" s="30" t="n">
        <v>75</v>
      </c>
      <c r="Q197" s="30" t="inlineStr">
        <is>
          <t>Financial arm of multinational auto manufacturing company</t>
        </is>
      </c>
      <c r="R197" s="30" t="inlineStr">
        <is>
          <t>GBP</t>
        </is>
      </c>
      <c r="S197" s="30" t="inlineStr">
        <is>
          <t>Investment Grade</t>
        </is>
      </c>
      <c r="T197" s="30" t="inlineStr">
        <is>
          <t>BBB+</t>
        </is>
      </c>
      <c r="U197" s="30" t="inlineStr">
        <is>
          <t>BBB+</t>
        </is>
      </c>
      <c r="V197" s="30" t="n"/>
    </row>
    <row r="198">
      <c r="A198" s="30" t="inlineStr">
        <is>
          <t>XS2630420268</t>
        </is>
      </c>
      <c r="B198" s="30" t="inlineStr">
        <is>
          <t>Hold</t>
        </is>
      </c>
      <c r="C198" s="30" t="inlineStr">
        <is>
          <t>Intesa Sanpaolo Spa</t>
        </is>
      </c>
      <c r="D198" s="30" t="n">
        <v>6.625</v>
      </c>
      <c r="E198" s="30" t="inlineStr">
        <is>
          <t>Sr Preferred</t>
        </is>
      </c>
      <c r="F198" s="30" t="inlineStr">
        <is>
          <t>31.05.2033</t>
        </is>
      </c>
      <c r="G198" s="30" t="inlineStr">
        <is>
          <t>Italy</t>
        </is>
      </c>
      <c r="H198" s="30" t="inlineStr">
        <is>
          <t>Financial</t>
        </is>
      </c>
      <c r="I198" s="30" t="n">
        <v>100</v>
      </c>
      <c r="J198" s="30" t="n">
        <v>107.705</v>
      </c>
      <c r="K198" s="30" t="n">
        <v>5.412085</v>
      </c>
      <c r="L198" s="30" t="n">
        <v>-0.019007</v>
      </c>
      <c r="M198" s="30" t="n">
        <v>-0.279672</v>
      </c>
      <c r="N198" s="30" t="n">
        <v>115.2917526</v>
      </c>
      <c r="O198" s="30" t="n">
        <v>6.29126822</v>
      </c>
      <c r="P198" s="30" t="n">
        <v>60</v>
      </c>
      <c r="Q198" s="30" t="inlineStr">
        <is>
          <t>One of the largest Italian banks</t>
        </is>
      </c>
      <c r="R198" s="30" t="inlineStr">
        <is>
          <t>GBP</t>
        </is>
      </c>
      <c r="S198" s="30" t="inlineStr">
        <is>
          <t>Investment Grade</t>
        </is>
      </c>
      <c r="T198" s="30" t="inlineStr">
        <is>
          <t>BBB</t>
        </is>
      </c>
      <c r="U198" s="30" t="inlineStr">
        <is>
          <t>BBB</t>
        </is>
      </c>
      <c r="V198" s="30" t="n"/>
    </row>
    <row r="199">
      <c r="A199" s="30" t="inlineStr">
        <is>
          <t>XS2787827190</t>
        </is>
      </c>
      <c r="B199" s="30" t="inlineStr">
        <is>
          <t xml:space="preserve">Hold </t>
        </is>
      </c>
      <c r="C199" s="30" t="inlineStr">
        <is>
          <t>Stellantis Nv</t>
        </is>
      </c>
      <c r="D199" s="30" t="n">
        <v>3.5</v>
      </c>
      <c r="E199" s="30" t="inlineStr">
        <is>
          <t>Sr Unsecured</t>
        </is>
      </c>
      <c r="F199" s="30" t="inlineStr">
        <is>
          <t>19.09.2030</t>
        </is>
      </c>
      <c r="G199" s="30" t="inlineStr">
        <is>
          <t>United states</t>
        </is>
      </c>
      <c r="H199" s="30" t="inlineStr">
        <is>
          <t>Consumer, Cyclical</t>
        </is>
      </c>
      <c r="I199" s="30" t="n">
        <v>100</v>
      </c>
      <c r="J199" s="30" t="n">
        <v>100.012</v>
      </c>
      <c r="K199" s="30" t="n">
        <v>3.4955</v>
      </c>
      <c r="L199" s="30" t="n">
        <v>-0.187047</v>
      </c>
      <c r="M199" s="30" t="n">
        <v>-0.166791</v>
      </c>
      <c r="N199" s="30" t="n">
        <v>115.0694219</v>
      </c>
      <c r="O199" s="30" t="n">
        <v>4.907506277</v>
      </c>
      <c r="P199" s="30" t="n">
        <v>80</v>
      </c>
      <c r="Q199" s="30" t="inlineStr">
        <is>
          <t>One of largest auto maker in the world</t>
        </is>
      </c>
      <c r="R199" s="30" t="inlineStr">
        <is>
          <t>EUR</t>
        </is>
      </c>
      <c r="S199" s="30" t="inlineStr">
        <is>
          <t>Investment Grade</t>
        </is>
      </c>
      <c r="T199" s="30" t="inlineStr">
        <is>
          <t>BBB</t>
        </is>
      </c>
      <c r="U199" s="30" t="inlineStr">
        <is>
          <t>BBB+</t>
        </is>
      </c>
      <c r="V199" s="30" t="n"/>
    </row>
    <row r="200">
      <c r="A200" s="30" t="inlineStr">
        <is>
          <t>XS2582814385</t>
        </is>
      </c>
      <c r="B200" s="30" t="inlineStr">
        <is>
          <t>Hold</t>
        </is>
      </c>
      <c r="C200" s="30" t="inlineStr">
        <is>
          <t>British Telecommunicatio</t>
        </is>
      </c>
      <c r="D200" s="30" t="n">
        <v>5.75</v>
      </c>
      <c r="E200" s="30" t="inlineStr">
        <is>
          <t>Sr Unsecured</t>
        </is>
      </c>
      <c r="F200" s="30" t="inlineStr">
        <is>
          <t>13.02.2041</t>
        </is>
      </c>
      <c r="G200" s="30" t="inlineStr">
        <is>
          <t>United Kingdom</t>
        </is>
      </c>
      <c r="H200" s="30" t="inlineStr">
        <is>
          <t>Communications</t>
        </is>
      </c>
      <c r="I200" s="30" t="n">
        <v>100</v>
      </c>
      <c r="J200" s="30" t="n">
        <v>95.75</v>
      </c>
      <c r="K200" s="30" t="n">
        <v>6.085695</v>
      </c>
      <c r="L200" s="30" t="n">
        <v>0.048794</v>
      </c>
      <c r="M200" s="30" t="n">
        <v>-0.02653</v>
      </c>
      <c r="N200" s="30" t="n">
        <v>114.5687048</v>
      </c>
      <c r="O200" s="30" t="n">
        <v>10.13494275</v>
      </c>
      <c r="P200" s="30" t="n">
        <v>50</v>
      </c>
      <c r="Q200" s="30" t="inlineStr">
        <is>
          <t>UK telecom company</t>
        </is>
      </c>
      <c r="R200" s="30" t="inlineStr">
        <is>
          <t>GBP</t>
        </is>
      </c>
      <c r="S200" s="30" t="inlineStr">
        <is>
          <t>Investment Grade</t>
        </is>
      </c>
      <c r="T200" s="30" t="inlineStr">
        <is>
          <t>BBB</t>
        </is>
      </c>
      <c r="U200" s="30" t="inlineStr">
        <is>
          <t>BBB</t>
        </is>
      </c>
      <c r="V200" s="30" t="n"/>
    </row>
    <row r="201">
      <c r="A201" s="30" t="inlineStr">
        <is>
          <t>USP93077AC28</t>
        </is>
      </c>
      <c r="B201" s="30" t="inlineStr">
        <is>
          <t xml:space="preserve">Hold </t>
        </is>
      </c>
      <c r="C201" s="30" t="inlineStr">
        <is>
          <t>Transprtdra De Gas Intl</t>
        </is>
      </c>
      <c r="D201" s="30" t="n">
        <v>5.55</v>
      </c>
      <c r="E201" s="30" t="inlineStr">
        <is>
          <t>Sr Unsecured</t>
        </is>
      </c>
      <c r="F201" s="30" t="inlineStr">
        <is>
          <t>01.11.2028</t>
        </is>
      </c>
      <c r="G201" s="30" t="inlineStr">
        <is>
          <t>Colombia</t>
        </is>
      </c>
      <c r="H201" s="30" t="inlineStr">
        <is>
          <t>Energy</t>
        </is>
      </c>
      <c r="I201" s="30" t="n">
        <v>200</v>
      </c>
      <c r="J201" s="30" t="n">
        <v>101.459</v>
      </c>
      <c r="K201" s="30" t="n">
        <v>5.030167</v>
      </c>
      <c r="L201" s="30" t="n">
        <v>0.006296</v>
      </c>
      <c r="M201" s="30" t="n">
        <v>-0.07036000000000001</v>
      </c>
      <c r="N201" s="30" t="n">
        <v>114.083991</v>
      </c>
      <c r="O201" s="30" t="n">
        <v>3.242917651</v>
      </c>
      <c r="P201" s="30" t="n">
        <v>0</v>
      </c>
      <c r="Q201" s="30" t="inlineStr">
        <is>
          <t xml:space="preserve">Gas midstream company </t>
        </is>
      </c>
      <c r="R201" s="30" t="inlineStr">
        <is>
          <t>USD</t>
        </is>
      </c>
      <c r="S201" s="30" t="inlineStr">
        <is>
          <t>Latin America</t>
        </is>
      </c>
      <c r="T201" s="30" t="inlineStr">
        <is>
          <t>BBB-</t>
        </is>
      </c>
      <c r="U201" s="30" t="inlineStr">
        <is>
          <t>BBB-</t>
        </is>
      </c>
      <c r="V201" s="30" t="n"/>
    </row>
    <row r="202">
      <c r="A202" s="30" t="inlineStr">
        <is>
          <t>US17327CAT09</t>
        </is>
      </c>
      <c r="B202" s="30" t="inlineStr">
        <is>
          <t>Top pick</t>
        </is>
      </c>
      <c r="C202" s="30" t="inlineStr">
        <is>
          <t>Citigroup Inc</t>
        </is>
      </c>
      <c r="D202" s="30" t="n">
        <v>4.542</v>
      </c>
      <c r="E202" s="30" t="inlineStr">
        <is>
          <t>Sr Unsecured</t>
        </is>
      </c>
      <c r="F202" s="30" t="inlineStr">
        <is>
          <t>19.09.2030</t>
        </is>
      </c>
      <c r="G202" s="30" t="inlineStr">
        <is>
          <t>United states</t>
        </is>
      </c>
      <c r="H202" s="30" t="inlineStr">
        <is>
          <t>Financial</t>
        </is>
      </c>
      <c r="I202" s="30" t="n">
        <v>1</v>
      </c>
      <c r="J202" s="30" t="n">
        <v>99.45</v>
      </c>
      <c r="K202" s="30" t="n">
        <v>4.686338</v>
      </c>
      <c r="L202" s="30" t="n">
        <v>-0.01578</v>
      </c>
      <c r="M202" s="30" t="n">
        <v>-0.171061</v>
      </c>
      <c r="N202" s="30" t="n">
        <v>113.8685487</v>
      </c>
      <c r="O202" s="30" t="n">
        <v>3.998156426</v>
      </c>
      <c r="P202" s="30" t="n">
        <v>0</v>
      </c>
      <c r="Q202" s="30" t="inlineStr">
        <is>
          <t>One of the largest US banks</t>
        </is>
      </c>
      <c r="R202" s="30" t="inlineStr">
        <is>
          <t>USD</t>
        </is>
      </c>
      <c r="S202" s="30" t="inlineStr">
        <is>
          <t>Investment Grade</t>
        </is>
      </c>
      <c r="T202" s="30" t="inlineStr">
        <is>
          <t>A-</t>
        </is>
      </c>
      <c r="U202" s="30" t="inlineStr">
        <is>
          <t>A-</t>
        </is>
      </c>
      <c r="V202" s="30" t="n"/>
    </row>
    <row r="203">
      <c r="A203" s="30" t="inlineStr">
        <is>
          <t>US38141GC365</t>
        </is>
      </c>
      <c r="B203" s="30" t="inlineStr">
        <is>
          <t>Top Pick</t>
        </is>
      </c>
      <c r="C203" s="30" t="inlineStr">
        <is>
          <t>Goldman Sachs Group Inc</t>
        </is>
      </c>
      <c r="D203" s="30" t="n">
        <v>5.207</v>
      </c>
      <c r="E203" s="30" t="inlineStr">
        <is>
          <t>Sr Unsecured</t>
        </is>
      </c>
      <c r="F203" s="30" t="inlineStr">
        <is>
          <t>28.01.2031</t>
        </is>
      </c>
      <c r="G203" s="30" t="inlineStr">
        <is>
          <t>United states</t>
        </is>
      </c>
      <c r="H203" s="30" t="inlineStr">
        <is>
          <t>Financial</t>
        </is>
      </c>
      <c r="I203" s="30" t="n">
        <v>1</v>
      </c>
      <c r="J203" s="30" t="n">
        <v>102.087</v>
      </c>
      <c r="K203" s="30" t="n">
        <v>4.691982</v>
      </c>
      <c r="L203" s="30" t="n">
        <v>0.01323</v>
      </c>
      <c r="M203" s="30" t="n">
        <v>-0.143259</v>
      </c>
      <c r="N203" s="30" t="n">
        <v>113.2727237</v>
      </c>
      <c r="O203" s="30" t="n">
        <v>4.293056421</v>
      </c>
      <c r="P203" s="30" t="n">
        <v>0</v>
      </c>
      <c r="Q203" s="30" t="inlineStr">
        <is>
          <t>One of the largest US investment banks</t>
        </is>
      </c>
      <c r="R203" s="30" t="inlineStr">
        <is>
          <t>USD</t>
        </is>
      </c>
      <c r="S203" s="30" t="inlineStr">
        <is>
          <t>Investment Grade</t>
        </is>
      </c>
      <c r="T203" s="30" t="inlineStr">
        <is>
          <t>A-</t>
        </is>
      </c>
      <c r="U203" s="30" t="inlineStr">
        <is>
          <t>A-</t>
        </is>
      </c>
      <c r="V203" s="30" t="n"/>
    </row>
    <row r="204">
      <c r="A204" s="30" t="inlineStr">
        <is>
          <t>FR001400KHX5</t>
        </is>
      </c>
      <c r="B204" s="30" t="inlineStr">
        <is>
          <t>Not accumulate</t>
        </is>
      </c>
      <c r="C204" s="30" t="inlineStr">
        <is>
          <t>Kering</t>
        </is>
      </c>
      <c r="D204" s="30" t="n">
        <v>3.875</v>
      </c>
      <c r="E204" s="30" t="inlineStr">
        <is>
          <t>Sr Unsecured</t>
        </is>
      </c>
      <c r="F204" s="30" t="inlineStr">
        <is>
          <t>05.09.2035</t>
        </is>
      </c>
      <c r="G204" s="30" t="inlineStr">
        <is>
          <t>France</t>
        </is>
      </c>
      <c r="H204" s="30" t="inlineStr">
        <is>
          <t>Consumer, Cyclical</t>
        </is>
      </c>
      <c r="I204" s="30" t="n">
        <v>100</v>
      </c>
      <c r="J204" s="30" t="n">
        <v>98.79600000000001</v>
      </c>
      <c r="K204" s="30" t="n">
        <v>4.02051</v>
      </c>
      <c r="L204" s="30" t="n">
        <v>-0.092263</v>
      </c>
      <c r="M204" s="30" t="n">
        <v>0.091184</v>
      </c>
      <c r="N204" s="30" t="n">
        <v>113.18562</v>
      </c>
      <c r="O204" s="30" t="n">
        <v>8.230255975</v>
      </c>
      <c r="P204" s="30" t="n">
        <v>85</v>
      </c>
      <c r="Q204" s="30" t="inlineStr">
        <is>
          <t>Designs, manufactures, and markets fashion and leather goods</t>
        </is>
      </c>
      <c r="R204" s="30" t="inlineStr">
        <is>
          <t>EUR</t>
        </is>
      </c>
      <c r="S204" s="30" t="inlineStr">
        <is>
          <t>Investment Grade</t>
        </is>
      </c>
      <c r="T204" s="30" t="inlineStr">
        <is>
          <t>NR</t>
        </is>
      </c>
      <c r="U204" s="30" t="inlineStr">
        <is>
          <t>NR</t>
        </is>
      </c>
      <c r="V204" s="30" t="n"/>
    </row>
    <row r="205">
      <c r="A205" s="30" t="inlineStr">
        <is>
          <t>US23636BBH15</t>
        </is>
      </c>
      <c r="B205" s="30" t="inlineStr">
        <is>
          <t>Top Pick</t>
        </is>
      </c>
      <c r="C205" s="30" t="inlineStr">
        <is>
          <t>Danske Bank A/S</t>
        </is>
      </c>
      <c r="D205" s="30" t="n">
        <v>5.705</v>
      </c>
      <c r="E205" s="30" t="inlineStr">
        <is>
          <t>Sr Non Preferred</t>
        </is>
      </c>
      <c r="F205" s="30" t="inlineStr">
        <is>
          <t>01.03.2030</t>
        </is>
      </c>
      <c r="G205" s="30" t="inlineStr">
        <is>
          <t>Denmark</t>
        </is>
      </c>
      <c r="H205" s="30" t="inlineStr">
        <is>
          <t>Financial</t>
        </is>
      </c>
      <c r="I205" s="30" t="n">
        <v>200</v>
      </c>
      <c r="J205" s="30" t="n">
        <v>103.439</v>
      </c>
      <c r="K205" s="30" t="n">
        <v>4.666579</v>
      </c>
      <c r="L205" s="30" t="n">
        <v>0.041806</v>
      </c>
      <c r="M205" s="30" t="n">
        <v>-0.115666</v>
      </c>
      <c r="N205" s="30" t="n">
        <v>112.5440941</v>
      </c>
      <c r="O205" s="30" t="n">
        <v>3.478021328</v>
      </c>
      <c r="P205" s="30" t="n">
        <v>0</v>
      </c>
      <c r="Q205" s="30" t="inlineStr">
        <is>
          <t>One of the largest banks in Danmark</t>
        </is>
      </c>
      <c r="R205" s="30" t="inlineStr">
        <is>
          <t>USD</t>
        </is>
      </c>
      <c r="S205" s="30" t="inlineStr">
        <is>
          <t>Investment Grade</t>
        </is>
      </c>
      <c r="T205" s="30" t="inlineStr">
        <is>
          <t>A-</t>
        </is>
      </c>
      <c r="U205" s="30" t="inlineStr">
        <is>
          <t>A-</t>
        </is>
      </c>
      <c r="V205" s="30" t="n"/>
    </row>
    <row r="206">
      <c r="A206" s="30" t="inlineStr">
        <is>
          <t>XS2898290916</t>
        </is>
      </c>
      <c r="B206" s="30" t="inlineStr">
        <is>
          <t>Top Pick</t>
        </is>
      </c>
      <c r="C206" s="30" t="inlineStr">
        <is>
          <t>Digital Dutch Finco Bv</t>
        </is>
      </c>
      <c r="D206" s="30" t="n">
        <v>3.875</v>
      </c>
      <c r="E206" s="30" t="inlineStr">
        <is>
          <t>Sr Unsecured</t>
        </is>
      </c>
      <c r="F206" s="30" t="inlineStr">
        <is>
          <t>13.09.2033</t>
        </is>
      </c>
      <c r="G206" s="30" t="inlineStr">
        <is>
          <t>United states</t>
        </is>
      </c>
      <c r="H206" s="30" t="inlineStr">
        <is>
          <t>Financial</t>
        </is>
      </c>
      <c r="I206" s="30" t="n">
        <v>100</v>
      </c>
      <c r="J206" s="30" t="n">
        <v>100.354</v>
      </c>
      <c r="K206" s="30" t="n">
        <v>3.822881</v>
      </c>
      <c r="L206" s="30" t="n">
        <v>-0.006669</v>
      </c>
      <c r="M206" s="30" t="n">
        <v>-0.009766</v>
      </c>
      <c r="N206" s="30" t="n">
        <v>112.2053439</v>
      </c>
      <c r="O206" s="30" t="n">
        <v>6.877537687</v>
      </c>
      <c r="P206" s="30" t="n">
        <v>0</v>
      </c>
      <c r="Q206" s="30" t="inlineStr">
        <is>
          <t>Owns and operates data centres</t>
        </is>
      </c>
      <c r="R206" s="30" t="inlineStr">
        <is>
          <t>EUR</t>
        </is>
      </c>
      <c r="S206" s="30" t="inlineStr">
        <is>
          <t>Investment Grade</t>
        </is>
      </c>
      <c r="T206" s="30" t="inlineStr">
        <is>
          <t>BBB</t>
        </is>
      </c>
      <c r="U206" s="30" t="inlineStr">
        <is>
          <t>BBB</t>
        </is>
      </c>
      <c r="V206" s="30" t="n"/>
    </row>
    <row r="207">
      <c r="A207" s="30" t="inlineStr">
        <is>
          <t>US731011AW25</t>
        </is>
      </c>
      <c r="B207" s="30" t="inlineStr">
        <is>
          <t>Hold</t>
        </is>
      </c>
      <c r="C207" s="30" t="inlineStr">
        <is>
          <t>Republic Of Poland</t>
        </is>
      </c>
      <c r="D207" s="30" t="n">
        <v>5.5</v>
      </c>
      <c r="E207" s="30" t="inlineStr">
        <is>
          <t>Sr Unsecured</t>
        </is>
      </c>
      <c r="F207" s="30" t="inlineStr">
        <is>
          <t>04.04.2053</t>
        </is>
      </c>
      <c r="G207" s="30" t="inlineStr">
        <is>
          <t>Poland</t>
        </is>
      </c>
      <c r="H207" s="30" t="inlineStr">
        <is>
          <t>Government</t>
        </is>
      </c>
      <c r="I207" s="30" t="n">
        <v>1</v>
      </c>
      <c r="J207" s="30" t="n">
        <v>93.54900000000001</v>
      </c>
      <c r="K207" s="30" t="n">
        <v>5.978422</v>
      </c>
      <c r="L207" s="30" t="n">
        <v>-0.031797</v>
      </c>
      <c r="M207" s="30" t="n">
        <v>-0.186436</v>
      </c>
      <c r="N207" s="30" t="n">
        <v>112.1488937</v>
      </c>
      <c r="O207" s="30" t="n">
        <v>13.47132839</v>
      </c>
      <c r="P207" s="30" t="n">
        <v>60</v>
      </c>
      <c r="Q207" s="30" t="inlineStr">
        <is>
          <t xml:space="preserve">Poland government bond </t>
        </is>
      </c>
      <c r="R207" s="30" t="inlineStr">
        <is>
          <t>USD</t>
        </is>
      </c>
      <c r="S207" s="30" t="inlineStr">
        <is>
          <t>Investment Grade</t>
        </is>
      </c>
      <c r="T207" s="30" t="inlineStr">
        <is>
          <t>A-</t>
        </is>
      </c>
      <c r="U207" s="30" t="inlineStr">
        <is>
          <t>A-</t>
        </is>
      </c>
      <c r="V207" s="30" t="n"/>
    </row>
    <row r="208">
      <c r="A208" s="30" t="inlineStr">
        <is>
          <t>US86964WAF95</t>
        </is>
      </c>
      <c r="B208" s="30" t="inlineStr">
        <is>
          <t>Top Pick</t>
        </is>
      </c>
      <c r="C208" s="30" t="inlineStr">
        <is>
          <t>Suzano Austria Gmbh</t>
        </is>
      </c>
      <c r="D208" s="30" t="n">
        <v>6</v>
      </c>
      <c r="E208" s="30" t="inlineStr">
        <is>
          <t>Sr Unsecured</t>
        </is>
      </c>
      <c r="F208" s="30" t="inlineStr">
        <is>
          <t>15.01.2029</t>
        </is>
      </c>
      <c r="G208" s="30" t="inlineStr">
        <is>
          <t>Brazil</t>
        </is>
      </c>
      <c r="H208" s="30" t="inlineStr">
        <is>
          <t>Basic Materials</t>
        </is>
      </c>
      <c r="I208" s="30" t="n">
        <v>200</v>
      </c>
      <c r="J208" s="30" t="n">
        <v>102.971</v>
      </c>
      <c r="K208" s="30" t="n">
        <v>5.005773</v>
      </c>
      <c r="L208" s="30" t="n">
        <v>-0.030406</v>
      </c>
      <c r="M208" s="30" t="n">
        <v>-0.30854</v>
      </c>
      <c r="N208" s="30" t="n">
        <v>111.5692401</v>
      </c>
      <c r="O208" s="30" t="n">
        <v>3.227936902</v>
      </c>
      <c r="P208" s="30" t="n">
        <v>0</v>
      </c>
      <c r="Q208" s="30" t="inlineStr">
        <is>
          <t>World's leading pulp producer</t>
        </is>
      </c>
      <c r="R208" s="30" t="inlineStr">
        <is>
          <t>USD</t>
        </is>
      </c>
      <c r="S208" s="30" t="inlineStr">
        <is>
          <t>Latin America</t>
        </is>
      </c>
      <c r="T208" s="30" t="inlineStr">
        <is>
          <t>BBB-</t>
        </is>
      </c>
      <c r="U208" s="30" t="inlineStr">
        <is>
          <t>BBB-</t>
        </is>
      </c>
      <c r="V208" s="30" t="n"/>
    </row>
    <row r="209">
      <c r="A209" s="30" t="inlineStr">
        <is>
          <t>XS2747270556</t>
        </is>
      </c>
      <c r="B209" s="30" t="inlineStr">
        <is>
          <t>Hold</t>
        </is>
      </c>
      <c r="C209" s="30" t="inlineStr">
        <is>
          <t>General Motors Finl Co</t>
        </is>
      </c>
      <c r="D209" s="30" t="n">
        <v>5.5</v>
      </c>
      <c r="E209" s="30" t="inlineStr">
        <is>
          <t>Sr Unsecured</t>
        </is>
      </c>
      <c r="F209" s="30" t="inlineStr">
        <is>
          <t>12.01.2030</t>
        </is>
      </c>
      <c r="G209" s="30" t="inlineStr">
        <is>
          <t>United states</t>
        </is>
      </c>
      <c r="H209" s="30" t="inlineStr">
        <is>
          <t>Consumer, Cyclical</t>
        </is>
      </c>
      <c r="I209" s="30" t="n">
        <v>100</v>
      </c>
      <c r="J209" s="30" t="n">
        <v>101.602</v>
      </c>
      <c r="K209" s="30" t="n">
        <v>5.012365</v>
      </c>
      <c r="L209" s="30" t="n">
        <v>-0.012304</v>
      </c>
      <c r="M209" s="30" t="n">
        <v>-0.269682</v>
      </c>
      <c r="N209" s="30" t="n">
        <v>111.2406601</v>
      </c>
      <c r="O209" s="30" t="n">
        <v>4.03920569</v>
      </c>
      <c r="P209" s="30" t="n">
        <v>0</v>
      </c>
      <c r="Q209" s="30" t="inlineStr">
        <is>
          <t>World's third largest automaker owning Chevrolet, Buick and Cadillac</t>
        </is>
      </c>
      <c r="R209" s="30" t="inlineStr">
        <is>
          <t>GBP</t>
        </is>
      </c>
      <c r="S209" s="30" t="inlineStr">
        <is>
          <t>Investment Grade</t>
        </is>
      </c>
      <c r="T209" s="30" t="inlineStr">
        <is>
          <t>BBB</t>
        </is>
      </c>
      <c r="U209" s="30" t="inlineStr">
        <is>
          <t>BBB</t>
        </is>
      </c>
      <c r="V209" s="30" t="n"/>
    </row>
    <row r="210">
      <c r="A210" s="30" t="inlineStr">
        <is>
          <t>XS2580269426</t>
        </is>
      </c>
      <c r="B210" s="30" t="inlineStr">
        <is>
          <t>Hold</t>
        </is>
      </c>
      <c r="C210" s="30" t="inlineStr">
        <is>
          <t>Republic Of Serbia</t>
        </is>
      </c>
      <c r="D210" s="30" t="n">
        <v>6.25</v>
      </c>
      <c r="E210" s="30" t="inlineStr">
        <is>
          <t>Sr Unsecured</t>
        </is>
      </c>
      <c r="F210" s="30" t="inlineStr">
        <is>
          <t>26.05.2028</t>
        </is>
      </c>
      <c r="G210" s="30" t="inlineStr">
        <is>
          <t>Serbia</t>
        </is>
      </c>
      <c r="H210" s="30" t="inlineStr">
        <is>
          <t>Government</t>
        </is>
      </c>
      <c r="I210" s="30" t="n">
        <v>200</v>
      </c>
      <c r="J210" s="30" t="n">
        <v>103.48</v>
      </c>
      <c r="K210" s="30" t="n">
        <v>4.936541</v>
      </c>
      <c r="L210" s="30" t="n">
        <v>-0.003313</v>
      </c>
      <c r="M210" s="30" t="n">
        <v>-0.219089</v>
      </c>
      <c r="N210" s="30" t="n">
        <v>111.0472518</v>
      </c>
      <c r="O210" s="30" t="n">
        <v>2.879387173</v>
      </c>
      <c r="P210" s="30" t="n">
        <v>10</v>
      </c>
      <c r="Q210" s="30" t="inlineStr">
        <is>
          <t>Serbian government bond</t>
        </is>
      </c>
      <c r="R210" s="30" t="inlineStr">
        <is>
          <t>USD</t>
        </is>
      </c>
      <c r="S210" s="30" t="inlineStr">
        <is>
          <t>High Yield</t>
        </is>
      </c>
      <c r="T210" s="30" t="inlineStr">
        <is>
          <t>BB+</t>
        </is>
      </c>
      <c r="U210" s="30" t="inlineStr">
        <is>
          <t>BB+</t>
        </is>
      </c>
      <c r="V210" s="30" t="n"/>
    </row>
    <row r="211">
      <c r="A211" s="30" t="inlineStr">
        <is>
          <t>FR001400EHG3</t>
        </is>
      </c>
      <c r="B211" s="30" t="inlineStr">
        <is>
          <t>Hold</t>
        </is>
      </c>
      <c r="C211" s="30" t="inlineStr">
        <is>
          <t>Societe Generale</t>
        </is>
      </c>
      <c r="D211" s="30" t="n">
        <v>4.25</v>
      </c>
      <c r="E211" s="30" t="inlineStr">
        <is>
          <t>Sr Non Preferred</t>
        </is>
      </c>
      <c r="F211" s="30" t="inlineStr">
        <is>
          <t>06.12.2030</t>
        </is>
      </c>
      <c r="G211" s="30" t="inlineStr">
        <is>
          <t>France</t>
        </is>
      </c>
      <c r="H211" s="30" t="inlineStr">
        <is>
          <t>Financial</t>
        </is>
      </c>
      <c r="I211" s="30" t="n">
        <v>100</v>
      </c>
      <c r="J211" s="30" t="n">
        <v>104.46</v>
      </c>
      <c r="K211" s="30" t="n">
        <v>3.147338</v>
      </c>
      <c r="L211" s="30" t="n">
        <v>-0.05436</v>
      </c>
      <c r="M211" s="30" t="n">
        <v>-0.141022</v>
      </c>
      <c r="N211" s="30" t="n">
        <v>111.0292039</v>
      </c>
      <c r="O211" s="30" t="n">
        <v>4.250944589</v>
      </c>
      <c r="P211" s="30" t="n">
        <v>60</v>
      </c>
      <c r="Q211" s="30" t="inlineStr">
        <is>
          <t>One of the largest banks in Europe</t>
        </is>
      </c>
      <c r="R211" s="30" t="inlineStr">
        <is>
          <t>EUR</t>
        </is>
      </c>
      <c r="S211" s="30" t="inlineStr">
        <is>
          <t>Investment Grade</t>
        </is>
      </c>
      <c r="T211" s="30" t="inlineStr">
        <is>
          <t>BBB</t>
        </is>
      </c>
      <c r="U211" s="30" t="inlineStr">
        <is>
          <t>BBB</t>
        </is>
      </c>
      <c r="V211" s="30" t="n"/>
    </row>
    <row r="212">
      <c r="A212" s="30" t="inlineStr">
        <is>
          <t>XS2689127467</t>
        </is>
      </c>
      <c r="B212" s="30" t="inlineStr">
        <is>
          <t>Top Pick</t>
        </is>
      </c>
      <c r="C212" s="30" t="inlineStr">
        <is>
          <t>Veralto Corp</t>
        </is>
      </c>
      <c r="D212" s="30" t="n">
        <v>4.15</v>
      </c>
      <c r="E212" s="30" t="inlineStr">
        <is>
          <t>Sr Unsecured</t>
        </is>
      </c>
      <c r="F212" s="30" t="inlineStr">
        <is>
          <t>19.09.2031</t>
        </is>
      </c>
      <c r="G212" s="30" t="inlineStr">
        <is>
          <t>United states</t>
        </is>
      </c>
      <c r="H212" s="30" t="inlineStr">
        <is>
          <t>Industrial</t>
        </is>
      </c>
      <c r="I212" s="30" t="n">
        <v>100</v>
      </c>
      <c r="J212" s="30" t="n">
        <v>102.998</v>
      </c>
      <c r="K212" s="30" t="n">
        <v>3.581124</v>
      </c>
      <c r="L212" s="30" t="n">
        <v>-0.031224</v>
      </c>
      <c r="M212" s="30" t="n">
        <v>-0.020289</v>
      </c>
      <c r="N212" s="30" t="n">
        <v>110.8725264</v>
      </c>
      <c r="O212" s="30" t="n">
        <v>5.41108019</v>
      </c>
      <c r="P212" s="30" t="n">
        <v>75</v>
      </c>
      <c r="Q212" s="30" t="inlineStr">
        <is>
          <t xml:space="preserve">Spinoff from Danaher, acting within the water treatment industry. </t>
        </is>
      </c>
      <c r="R212" s="30" t="inlineStr">
        <is>
          <t>EUR</t>
        </is>
      </c>
      <c r="S212" s="30" t="inlineStr">
        <is>
          <t>Investment Grade</t>
        </is>
      </c>
      <c r="T212" s="30" t="inlineStr">
        <is>
          <t>BBB</t>
        </is>
      </c>
      <c r="U212" s="30" t="inlineStr">
        <is>
          <t>BBB</t>
        </is>
      </c>
      <c r="V212" s="30" t="n"/>
    </row>
    <row r="213">
      <c r="A213" s="30" t="inlineStr">
        <is>
          <t>US86964WAJ18</t>
        </is>
      </c>
      <c r="B213" s="30" t="inlineStr">
        <is>
          <t>Top Pick</t>
        </is>
      </c>
      <c r="C213" s="30" t="inlineStr">
        <is>
          <t>Suzano Austria Gmbh</t>
        </is>
      </c>
      <c r="D213" s="30" t="n">
        <v>3.75</v>
      </c>
      <c r="E213" s="30" t="inlineStr">
        <is>
          <t>Sr Unsecured</t>
        </is>
      </c>
      <c r="F213" s="30" t="inlineStr">
        <is>
          <t>15.01.2031</t>
        </is>
      </c>
      <c r="G213" s="30" t="inlineStr">
        <is>
          <t>Brazil</t>
        </is>
      </c>
      <c r="H213" s="30" t="inlineStr">
        <is>
          <t>Basic Materials</t>
        </is>
      </c>
      <c r="I213" s="30" t="n">
        <v>1</v>
      </c>
      <c r="J213" s="30" t="n">
        <v>93.54600000000001</v>
      </c>
      <c r="K213" s="30" t="n">
        <v>5.106417</v>
      </c>
      <c r="L213" s="30" t="n">
        <v>-0.09815699999999999</v>
      </c>
      <c r="M213" s="30" t="n">
        <v>-0.478391</v>
      </c>
      <c r="N213" s="30" t="n">
        <v>110.771147</v>
      </c>
      <c r="O213" s="30" t="n">
        <v>5.140549004</v>
      </c>
      <c r="P213" s="30" t="n">
        <v>0</v>
      </c>
      <c r="Q213" s="30" t="inlineStr">
        <is>
          <t>World's leading pulp producer</t>
        </is>
      </c>
      <c r="R213" s="30" t="inlineStr">
        <is>
          <t>USD</t>
        </is>
      </c>
      <c r="S213" s="30" t="inlineStr">
        <is>
          <t>Latin America</t>
        </is>
      </c>
      <c r="T213" s="30" t="inlineStr">
        <is>
          <t>BBB-</t>
        </is>
      </c>
      <c r="U213" s="30" t="inlineStr">
        <is>
          <t>BBB-</t>
        </is>
      </c>
      <c r="V213" s="30" t="n"/>
    </row>
    <row r="214">
      <c r="A214" s="30" t="inlineStr">
        <is>
          <t>US29273VAY65</t>
        </is>
      </c>
      <c r="B214" s="30" t="inlineStr">
        <is>
          <t>Hold</t>
        </is>
      </c>
      <c r="C214" s="30" t="inlineStr">
        <is>
          <t>Energy Transfer Lp</t>
        </is>
      </c>
      <c r="D214" s="30" t="n">
        <v>5.55</v>
      </c>
      <c r="E214" s="30" t="inlineStr">
        <is>
          <t>Sr Unsecured</t>
        </is>
      </c>
      <c r="F214" s="30" t="inlineStr">
        <is>
          <t>15.05.2034</t>
        </is>
      </c>
      <c r="G214" s="30" t="inlineStr">
        <is>
          <t>United states</t>
        </is>
      </c>
      <c r="H214" s="30" t="inlineStr">
        <is>
          <t>Energy</t>
        </is>
      </c>
      <c r="I214" s="30" t="n">
        <v>2</v>
      </c>
      <c r="J214" s="30" t="n">
        <v>101.084</v>
      </c>
      <c r="K214" s="30" t="n">
        <v>5.3906</v>
      </c>
      <c r="L214" s="30" t="n">
        <v>-0.043527</v>
      </c>
      <c r="M214" s="30" t="n">
        <v>-0.208447</v>
      </c>
      <c r="N214" s="30" t="n">
        <v>110.4122426</v>
      </c>
      <c r="O214" s="30" t="n">
        <v>7.040478744</v>
      </c>
      <c r="P214" s="30" t="n">
        <v>0</v>
      </c>
      <c r="Q214" s="30" t="inlineStr">
        <is>
          <t xml:space="preserve">US midstream in pipeline and storage </t>
        </is>
      </c>
      <c r="R214" s="30" t="inlineStr">
        <is>
          <t>USD</t>
        </is>
      </c>
      <c r="S214" s="30" t="inlineStr">
        <is>
          <t>Investment Grade</t>
        </is>
      </c>
      <c r="T214" s="30" t="inlineStr">
        <is>
          <t>BBB</t>
        </is>
      </c>
      <c r="U214" s="30" t="inlineStr">
        <is>
          <t>BBB</t>
        </is>
      </c>
      <c r="V214" s="30" t="n"/>
    </row>
    <row r="215">
      <c r="A215" s="30" t="inlineStr">
        <is>
          <t>US86964WAH51</t>
        </is>
      </c>
      <c r="B215" s="30" t="inlineStr">
        <is>
          <t>Top Pick</t>
        </is>
      </c>
      <c r="C215" s="30" t="inlineStr">
        <is>
          <t>Suzano Austria Gmbh</t>
        </is>
      </c>
      <c r="D215" s="30" t="n">
        <v>5</v>
      </c>
      <c r="E215" s="30" t="inlineStr">
        <is>
          <t>Sr Unsecured</t>
        </is>
      </c>
      <c r="F215" s="30" t="inlineStr">
        <is>
          <t>15.01.2030</t>
        </is>
      </c>
      <c r="G215" s="30" t="inlineStr">
        <is>
          <t>Brazil</t>
        </is>
      </c>
      <c r="H215" s="30" t="inlineStr">
        <is>
          <t>Basic Materials</t>
        </is>
      </c>
      <c r="I215" s="30" t="n">
        <v>200</v>
      </c>
      <c r="J215" s="30" t="n">
        <v>99.84099999999999</v>
      </c>
      <c r="K215" s="30" t="n">
        <v>5.039362</v>
      </c>
      <c r="L215" s="30" t="n">
        <v>-0.045719</v>
      </c>
      <c r="M215" s="30" t="n">
        <v>-0.431138</v>
      </c>
      <c r="N215" s="30" t="n">
        <v>109.1666678</v>
      </c>
      <c r="O215" s="30" t="n">
        <v>4.255186627</v>
      </c>
      <c r="P215" s="30" t="n">
        <v>0</v>
      </c>
      <c r="Q215" s="30" t="inlineStr">
        <is>
          <t>World's leading pulp producer</t>
        </is>
      </c>
      <c r="R215" s="30" t="inlineStr">
        <is>
          <t>USD</t>
        </is>
      </c>
      <c r="S215" s="30" t="inlineStr">
        <is>
          <t>Latin America</t>
        </is>
      </c>
      <c r="T215" s="30" t="inlineStr">
        <is>
          <t>BBB-</t>
        </is>
      </c>
      <c r="U215" s="30" t="inlineStr">
        <is>
          <t>BBB-</t>
        </is>
      </c>
      <c r="V215" s="30" t="n"/>
    </row>
    <row r="216">
      <c r="A216" s="30" t="inlineStr">
        <is>
          <t>XS1221677120</t>
        </is>
      </c>
      <c r="B216" s="30" t="inlineStr">
        <is>
          <t xml:space="preserve">Hold </t>
        </is>
      </c>
      <c r="C216" s="30" t="inlineStr">
        <is>
          <t>Office Cherifien Des Pho</t>
        </is>
      </c>
      <c r="D216" s="30" t="n">
        <v>4.5</v>
      </c>
      <c r="E216" s="30" t="inlineStr">
        <is>
          <t>Sr Unsecured</t>
        </is>
      </c>
      <c r="F216" s="30" t="inlineStr">
        <is>
          <t>22.10.2025</t>
        </is>
      </c>
      <c r="G216" s="30" t="inlineStr">
        <is>
          <t>Morocco</t>
        </is>
      </c>
      <c r="H216" s="30" t="inlineStr">
        <is>
          <t>Basic Materials</t>
        </is>
      </c>
      <c r="I216" s="30" t="n">
        <v>200</v>
      </c>
      <c r="J216" s="30" t="n">
        <v>99.727</v>
      </c>
      <c r="K216" s="30" t="n">
        <v>5.418588</v>
      </c>
      <c r="L216" s="30" t="n">
        <v>-0.102334</v>
      </c>
      <c r="M216" s="30" t="n">
        <v>-0.253217</v>
      </c>
      <c r="N216" s="30" t="n">
        <v>109.0606448</v>
      </c>
      <c r="O216" s="30" t="n">
        <v>0.633483157</v>
      </c>
      <c r="P216" s="30" t="n">
        <v>25</v>
      </c>
      <c r="Q216" s="30" t="inlineStr">
        <is>
          <t xml:space="preserve">Moroccan state-owned fertiliser company </t>
        </is>
      </c>
      <c r="R216" s="30" t="inlineStr">
        <is>
          <t>USD</t>
        </is>
      </c>
      <c r="S216" s="30" t="inlineStr">
        <is>
          <t>High Yield</t>
        </is>
      </c>
      <c r="T216" s="30" t="inlineStr">
        <is>
          <t>BB+</t>
        </is>
      </c>
      <c r="U216" s="30" t="inlineStr">
        <is>
          <t>BB+</t>
        </is>
      </c>
      <c r="V216" s="30" t="n"/>
    </row>
    <row r="217">
      <c r="A217" s="30" t="inlineStr">
        <is>
          <t>FR0013535150</t>
        </is>
      </c>
      <c r="B217" s="30" t="inlineStr">
        <is>
          <t>Hold</t>
        </is>
      </c>
      <c r="C217" s="30" t="inlineStr">
        <is>
          <t>Praemia Healthcare Saca</t>
        </is>
      </c>
      <c r="D217" s="30" t="n">
        <v>1.375</v>
      </c>
      <c r="E217" s="30" t="inlineStr">
        <is>
          <t>Sr Unsecured</t>
        </is>
      </c>
      <c r="F217" s="30" t="inlineStr">
        <is>
          <t>17.09.2030</t>
        </is>
      </c>
      <c r="G217" s="30" t="inlineStr">
        <is>
          <t>France</t>
        </is>
      </c>
      <c r="H217" s="30" t="inlineStr">
        <is>
          <t>Financial</t>
        </is>
      </c>
      <c r="I217" s="30" t="n">
        <v>100</v>
      </c>
      <c r="J217" s="30" t="n">
        <v>90.38800000000001</v>
      </c>
      <c r="K217" s="30" t="n">
        <v>3.42653</v>
      </c>
      <c r="L217" s="30" t="n">
        <v>-0.058093</v>
      </c>
      <c r="M217" s="30" t="n">
        <v>-0.06597500000000001</v>
      </c>
      <c r="N217" s="30" t="n">
        <v>108.5589988</v>
      </c>
      <c r="O217" s="30" t="n">
        <v>5.163290005</v>
      </c>
      <c r="P217" s="30" t="n">
        <v>60</v>
      </c>
      <c r="Q217" s="30" t="inlineStr">
        <is>
          <t>Hospital operator</t>
        </is>
      </c>
      <c r="R217" s="30" t="inlineStr">
        <is>
          <t>EUR</t>
        </is>
      </c>
      <c r="S217" s="30" t="inlineStr">
        <is>
          <t>Investment Grade</t>
        </is>
      </c>
      <c r="T217" s="30" t="inlineStr">
        <is>
          <t>NR</t>
        </is>
      </c>
      <c r="U217" s="30" t="inlineStr">
        <is>
          <t>NR</t>
        </is>
      </c>
      <c r="V217" s="30" t="n"/>
    </row>
    <row r="218">
      <c r="A218" s="30" t="inlineStr">
        <is>
          <t>US42824CBV00</t>
        </is>
      </c>
      <c r="B218" s="30" t="inlineStr">
        <is>
          <t>Hold</t>
        </is>
      </c>
      <c r="C218" s="30" t="inlineStr">
        <is>
          <t>Hp Enterprise Co</t>
        </is>
      </c>
      <c r="D218" s="30" t="n">
        <v>5</v>
      </c>
      <c r="E218" s="30" t="inlineStr">
        <is>
          <t>Sr Unsecured</t>
        </is>
      </c>
      <c r="F218" s="30" t="inlineStr">
        <is>
          <t>15.10.2034</t>
        </is>
      </c>
      <c r="G218" s="30" t="inlineStr">
        <is>
          <t>United states</t>
        </is>
      </c>
      <c r="H218" s="30" t="inlineStr">
        <is>
          <t>Technology</t>
        </is>
      </c>
      <c r="I218" s="30" t="n">
        <v>2</v>
      </c>
      <c r="J218" s="30" t="n">
        <v>97.117</v>
      </c>
      <c r="K218" s="30" t="n">
        <v>5.398178</v>
      </c>
      <c r="L218" s="30" t="n">
        <v>0.16962</v>
      </c>
      <c r="M218" s="30" t="n">
        <v>-0.008706999999999999</v>
      </c>
      <c r="N218" s="30" t="n">
        <v>108.3226419</v>
      </c>
      <c r="O218" s="30" t="n">
        <v>7.385758543</v>
      </c>
      <c r="P218" s="30" t="n">
        <v>0</v>
      </c>
      <c r="Q218" s="30" t="inlineStr">
        <is>
          <t xml:space="preserve">Hewlett Packard Entreprises sells software </t>
        </is>
      </c>
      <c r="R218" s="30" t="inlineStr">
        <is>
          <t>USD</t>
        </is>
      </c>
      <c r="S218" s="30" t="inlineStr">
        <is>
          <t>Investment Grade</t>
        </is>
      </c>
      <c r="T218" s="30" t="inlineStr">
        <is>
          <t>BBB</t>
        </is>
      </c>
      <c r="U218" s="30" t="inlineStr">
        <is>
          <t>BBB</t>
        </is>
      </c>
      <c r="V218" s="30" t="n"/>
    </row>
    <row r="219">
      <c r="A219" s="30" t="inlineStr">
        <is>
          <t>XS1298711729</t>
        </is>
      </c>
      <c r="B219" s="30" t="inlineStr">
        <is>
          <t>Hold</t>
        </is>
      </c>
      <c r="C219" s="30" t="inlineStr">
        <is>
          <t>Turkcell Iletisim Hizmet</t>
        </is>
      </c>
      <c r="D219" s="30" t="n">
        <v>5.75</v>
      </c>
      <c r="E219" s="30" t="inlineStr">
        <is>
          <t>Sr Unsecured</t>
        </is>
      </c>
      <c r="F219" s="30" t="inlineStr">
        <is>
          <t>15.10.2025</t>
        </is>
      </c>
      <c r="G219" s="30" t="inlineStr">
        <is>
          <t>Turkey</t>
        </is>
      </c>
      <c r="H219" s="30" t="inlineStr">
        <is>
          <t>Communications</t>
        </is>
      </c>
      <c r="I219" s="30" t="n">
        <v>200</v>
      </c>
      <c r="J219" s="30" t="n">
        <v>100.069</v>
      </c>
      <c r="K219" s="30" t="n">
        <v>5.414864</v>
      </c>
      <c r="L219" s="30" t="n">
        <v>0.28003</v>
      </c>
      <c r="M219" s="30" t="n">
        <v>0.131099</v>
      </c>
      <c r="N219" s="30" t="n">
        <v>108.1658085</v>
      </c>
      <c r="O219" s="30" t="n">
        <v>0.611043183</v>
      </c>
      <c r="P219" s="30" t="n">
        <v>10</v>
      </c>
      <c r="Q219" s="30" t="inlineStr">
        <is>
          <t>Turkish telecom company</t>
        </is>
      </c>
      <c r="R219" s="30" t="inlineStr">
        <is>
          <t>USD</t>
        </is>
      </c>
      <c r="S219" s="30" t="inlineStr">
        <is>
          <t>High Yield</t>
        </is>
      </c>
      <c r="T219" s="30" t="inlineStr">
        <is>
          <t>BB-</t>
        </is>
      </c>
      <c r="U219" s="30" t="inlineStr">
        <is>
          <t>BB-</t>
        </is>
      </c>
      <c r="V219" s="30" t="n"/>
    </row>
    <row r="220">
      <c r="A220" s="30" t="inlineStr">
        <is>
          <t>US91911TAE38</t>
        </is>
      </c>
      <c r="B220" s="30" t="inlineStr">
        <is>
          <t xml:space="preserve">Hold </t>
        </is>
      </c>
      <c r="C220" s="30" t="inlineStr">
        <is>
          <t>Vale Overseas Limited</t>
        </is>
      </c>
      <c r="D220" s="30" t="n">
        <v>8.25</v>
      </c>
      <c r="E220" s="30" t="inlineStr">
        <is>
          <t>Sr Unsecured</t>
        </is>
      </c>
      <c r="F220" s="30" t="inlineStr">
        <is>
          <t>17.01.2034</t>
        </is>
      </c>
      <c r="G220" s="30" t="inlineStr">
        <is>
          <t>Brazil</t>
        </is>
      </c>
      <c r="H220" s="30" t="inlineStr">
        <is>
          <t>Basic Materials</t>
        </is>
      </c>
      <c r="I220" s="30" t="n">
        <v>2</v>
      </c>
      <c r="J220" s="30" t="n">
        <v>119.979</v>
      </c>
      <c r="K220" s="30" t="n">
        <v>5.305636</v>
      </c>
      <c r="L220" s="30" t="n">
        <v>-0.037504</v>
      </c>
      <c r="M220" s="30" t="n">
        <v>-0.155823</v>
      </c>
      <c r="N220" s="30" t="n">
        <v>107.562545</v>
      </c>
      <c r="O220" s="30" t="n">
        <v>6.450530196</v>
      </c>
      <c r="P220" s="30" t="n">
        <v>30</v>
      </c>
      <c r="Q220" s="30" t="inlineStr">
        <is>
          <t>leader in iron ore and second largest producer in nickel</t>
        </is>
      </c>
      <c r="R220" s="30" t="inlineStr">
        <is>
          <t>USD</t>
        </is>
      </c>
      <c r="S220" s="30" t="inlineStr">
        <is>
          <t>Latin America</t>
        </is>
      </c>
      <c r="T220" s="30" t="inlineStr">
        <is>
          <t>BBB-</t>
        </is>
      </c>
      <c r="U220" s="30" t="inlineStr">
        <is>
          <t>BBB-</t>
        </is>
      </c>
      <c r="V220" s="30" t="n"/>
    </row>
    <row r="221">
      <c r="A221" s="30" t="inlineStr">
        <is>
          <t>US06406RBZ91</t>
        </is>
      </c>
      <c r="B221" s="30" t="inlineStr">
        <is>
          <t>Top Pick</t>
        </is>
      </c>
      <c r="C221" s="30" t="inlineStr">
        <is>
          <t>Bank Of Ny Mellon Corp</t>
        </is>
      </c>
      <c r="D221" s="30" t="n">
        <v>5.06</v>
      </c>
      <c r="E221" s="30" t="inlineStr">
        <is>
          <t>Sr Unsecured</t>
        </is>
      </c>
      <c r="F221" s="30" t="inlineStr">
        <is>
          <t>22.07.2032</t>
        </is>
      </c>
      <c r="G221" s="30" t="inlineStr">
        <is>
          <t>United states</t>
        </is>
      </c>
      <c r="H221" s="30" t="inlineStr">
        <is>
          <t>Financial</t>
        </is>
      </c>
      <c r="I221" s="30" t="n">
        <v>2</v>
      </c>
      <c r="J221" s="30" t="n">
        <v>101.936</v>
      </c>
      <c r="K221" s="30" t="n">
        <v>4.687677</v>
      </c>
      <c r="L221" s="30" t="n">
        <v>0.021989</v>
      </c>
      <c r="M221" s="30" t="n">
        <v>-0.172701</v>
      </c>
      <c r="N221" s="30" t="n">
        <v>107.2256398</v>
      </c>
      <c r="O221" s="30" t="n">
        <v>5.407116384</v>
      </c>
      <c r="P221" s="30" t="n">
        <v>0</v>
      </c>
      <c r="Q221" s="30" t="inlineStr">
        <is>
          <t xml:space="preserve">The largest custodian bank globally </t>
        </is>
      </c>
      <c r="R221" s="30" t="inlineStr">
        <is>
          <t>USD</t>
        </is>
      </c>
      <c r="S221" s="30" t="inlineStr">
        <is>
          <t>Investment Grade</t>
        </is>
      </c>
      <c r="T221" s="30" t="inlineStr">
        <is>
          <t>A+</t>
        </is>
      </c>
      <c r="U221" s="30" t="inlineStr">
        <is>
          <t>A+</t>
        </is>
      </c>
      <c r="V221" s="30" t="n"/>
    </row>
    <row r="222">
      <c r="A222" s="30" t="inlineStr">
        <is>
          <t>USP6629MAC66</t>
        </is>
      </c>
      <c r="B222" s="30" t="inlineStr">
        <is>
          <t xml:space="preserve">Hold </t>
        </is>
      </c>
      <c r="C222" s="30" t="inlineStr">
        <is>
          <t>Mexico City Arpt Trust</t>
        </is>
      </c>
      <c r="D222" s="30" t="n">
        <v>3.875</v>
      </c>
      <c r="E222" s="30" t="inlineStr">
        <is>
          <t>1St Lien</t>
        </is>
      </c>
      <c r="F222" s="30" t="inlineStr">
        <is>
          <t>30.04.2028</t>
        </is>
      </c>
      <c r="G222" s="30" t="inlineStr">
        <is>
          <t>Mexico</t>
        </is>
      </c>
      <c r="H222" s="30" t="inlineStr">
        <is>
          <t>Industrial</t>
        </is>
      </c>
      <c r="I222" s="30" t="n">
        <v>200</v>
      </c>
      <c r="J222" s="30" t="n">
        <v>97.283</v>
      </c>
      <c r="K222" s="30" t="n">
        <v>4.919193</v>
      </c>
      <c r="L222" s="30" t="n">
        <v>-0.058534</v>
      </c>
      <c r="M222" s="30" t="n">
        <v>-0.298505</v>
      </c>
      <c r="N222" s="30" t="n">
        <v>107.1489696</v>
      </c>
      <c r="O222" s="30" t="n">
        <v>2.911125577</v>
      </c>
      <c r="P222" s="30" t="n">
        <v>85</v>
      </c>
      <c r="Q222" s="30" t="inlineStr">
        <is>
          <t>Airport operator</t>
        </is>
      </c>
      <c r="R222" s="30" t="inlineStr">
        <is>
          <t>USD</t>
        </is>
      </c>
      <c r="S222" s="30" t="inlineStr">
        <is>
          <t>Latin America</t>
        </is>
      </c>
      <c r="T222" s="30" t="inlineStr">
        <is>
          <t>BBB-</t>
        </is>
      </c>
      <c r="U222" s="30" t="inlineStr">
        <is>
          <t>BBB-</t>
        </is>
      </c>
      <c r="V222" s="30" t="n"/>
    </row>
    <row r="223">
      <c r="A223" s="30" t="inlineStr">
        <is>
          <t>XS2010026305</t>
        </is>
      </c>
      <c r="B223" s="30" t="inlineStr">
        <is>
          <t xml:space="preserve">Hold </t>
        </is>
      </c>
      <c r="C223" s="30" t="inlineStr">
        <is>
          <t>Hungary</t>
        </is>
      </c>
      <c r="D223" s="30" t="n">
        <v>5.25</v>
      </c>
      <c r="E223" s="30" t="inlineStr">
        <is>
          <t>Sr Unsecured</t>
        </is>
      </c>
      <c r="F223" s="30" t="inlineStr">
        <is>
          <t>16.06.2029</t>
        </is>
      </c>
      <c r="G223" s="30" t="inlineStr">
        <is>
          <t>Hungary</t>
        </is>
      </c>
      <c r="H223" s="30" t="inlineStr">
        <is>
          <t>Government</t>
        </is>
      </c>
      <c r="I223" s="30" t="n">
        <v>200</v>
      </c>
      <c r="J223" s="30" t="n">
        <v>101.041</v>
      </c>
      <c r="K223" s="30" t="n">
        <v>4.954497</v>
      </c>
      <c r="L223" s="30" t="n">
        <v>-0.09289799999999999</v>
      </c>
      <c r="M223" s="30" t="n">
        <v>-0.044368</v>
      </c>
      <c r="N223" s="30" t="n">
        <v>106.7983873</v>
      </c>
      <c r="O223" s="30" t="n">
        <v>3.772064543</v>
      </c>
      <c r="P223" s="30" t="n">
        <v>80</v>
      </c>
      <c r="Q223" s="30" t="inlineStr">
        <is>
          <t>Hungary government bnnd</t>
        </is>
      </c>
      <c r="R223" s="30" t="inlineStr">
        <is>
          <t>USD</t>
        </is>
      </c>
      <c r="S223" s="30" t="inlineStr">
        <is>
          <t>Investment Grade</t>
        </is>
      </c>
      <c r="T223" s="30" t="inlineStr">
        <is>
          <t>BBB-</t>
        </is>
      </c>
      <c r="U223" s="30" t="inlineStr">
        <is>
          <t>BBB-</t>
        </is>
      </c>
      <c r="V223" s="30" t="n"/>
    </row>
    <row r="224">
      <c r="A224" s="30" t="inlineStr">
        <is>
          <t>US65535HBA68</t>
        </is>
      </c>
      <c r="B224" s="30" t="inlineStr">
        <is>
          <t>Hold</t>
        </is>
      </c>
      <c r="C224" s="30" t="inlineStr">
        <is>
          <t>Nomura Holdings Inc</t>
        </is>
      </c>
      <c r="D224" s="30" t="n">
        <v>2.999</v>
      </c>
      <c r="E224" s="30" t="inlineStr">
        <is>
          <t>Sr Unsecured</t>
        </is>
      </c>
      <c r="F224" s="30" t="inlineStr">
        <is>
          <t>22.01.2032</t>
        </is>
      </c>
      <c r="G224" s="30" t="inlineStr">
        <is>
          <t>Japan</t>
        </is>
      </c>
      <c r="H224" s="30" t="inlineStr">
        <is>
          <t>Financial</t>
        </is>
      </c>
      <c r="I224" s="30" t="n">
        <v>200</v>
      </c>
      <c r="J224" s="30" t="n">
        <v>88.155</v>
      </c>
      <c r="K224" s="30" t="n">
        <v>5.155725</v>
      </c>
      <c r="L224" s="30" t="n">
        <v>0.025811</v>
      </c>
      <c r="M224" s="30" t="n">
        <v>-0.132971</v>
      </c>
      <c r="N224" s="30" t="n">
        <v>106.5867545</v>
      </c>
      <c r="O224" s="30" t="n">
        <v>6.061888291</v>
      </c>
      <c r="P224" s="30" t="n">
        <v>0</v>
      </c>
      <c r="Q224" s="30" t="inlineStr">
        <is>
          <t>Japanese financial holding company</t>
        </is>
      </c>
      <c r="R224" s="30" t="inlineStr">
        <is>
          <t>USD</t>
        </is>
      </c>
      <c r="S224" s="30" t="inlineStr">
        <is>
          <t>Investment Grade</t>
        </is>
      </c>
      <c r="T224" s="30" t="inlineStr">
        <is>
          <t>BBB+</t>
        </is>
      </c>
      <c r="U224" s="30" t="inlineStr">
        <is>
          <t>BBB+</t>
        </is>
      </c>
      <c r="V224" s="30" t="n"/>
    </row>
    <row r="225">
      <c r="A225" s="30" t="inlineStr">
        <is>
          <t>XS2791972248</t>
        </is>
      </c>
      <c r="B225" s="30" t="inlineStr">
        <is>
          <t>Hold</t>
        </is>
      </c>
      <c r="C225" s="30" t="inlineStr">
        <is>
          <t>Jpmorgan Chase &amp; Co</t>
        </is>
      </c>
      <c r="D225" s="30" t="n">
        <v>3.761</v>
      </c>
      <c r="E225" s="30" t="inlineStr">
        <is>
          <t>Sr Unsecured</t>
        </is>
      </c>
      <c r="F225" s="30" t="inlineStr">
        <is>
          <t>21.03.2034</t>
        </is>
      </c>
      <c r="G225" s="30" t="inlineStr">
        <is>
          <t>United states</t>
        </is>
      </c>
      <c r="H225" s="30" t="inlineStr">
        <is>
          <t>Financial</t>
        </is>
      </c>
      <c r="I225" s="30" t="n">
        <v>100</v>
      </c>
      <c r="J225" s="30" t="n">
        <v>102.509</v>
      </c>
      <c r="K225" s="30" t="n">
        <v>3.344889</v>
      </c>
      <c r="L225" s="30" t="n">
        <v>-0.054727</v>
      </c>
      <c r="M225" s="30" t="n">
        <v>-0.066757</v>
      </c>
      <c r="N225" s="30" t="n">
        <v>106.4994585</v>
      </c>
      <c r="O225" s="30" t="n">
        <v>6.658631455</v>
      </c>
      <c r="P225" s="30" t="n">
        <v>0</v>
      </c>
      <c r="Q225" s="30" t="inlineStr">
        <is>
          <t xml:space="preserve">The largest US bank </t>
        </is>
      </c>
      <c r="R225" s="30" t="inlineStr">
        <is>
          <t>EUR</t>
        </is>
      </c>
      <c r="S225" s="30" t="inlineStr">
        <is>
          <t>Investment Grade</t>
        </is>
      </c>
      <c r="T225" s="30" t="inlineStr">
        <is>
          <t>A+</t>
        </is>
      </c>
      <c r="U225" s="30" t="inlineStr">
        <is>
          <t>A+</t>
        </is>
      </c>
      <c r="V225" s="30" t="n"/>
    </row>
    <row r="226">
      <c r="A226" s="30" t="inlineStr">
        <is>
          <t>XS2892321501</t>
        </is>
      </c>
      <c r="B226" s="30" t="inlineStr">
        <is>
          <t>Top Pick</t>
        </is>
      </c>
      <c r="C226" s="30" t="inlineStr">
        <is>
          <t>Equinix Eu 2 Financing C</t>
        </is>
      </c>
      <c r="D226" s="30" t="n">
        <v>3.65</v>
      </c>
      <c r="E226" s="30" t="inlineStr">
        <is>
          <t>Sr Unsecured</t>
        </is>
      </c>
      <c r="F226" s="30" t="inlineStr">
        <is>
          <t>03.09.2033</t>
        </is>
      </c>
      <c r="G226" s="30" t="inlineStr">
        <is>
          <t>United states</t>
        </is>
      </c>
      <c r="H226" s="30" t="inlineStr">
        <is>
          <t>Financial</t>
        </is>
      </c>
      <c r="I226" s="30" t="n">
        <v>100</v>
      </c>
      <c r="J226" s="30" t="n">
        <v>99.246</v>
      </c>
      <c r="K226" s="30" t="n">
        <v>3.757882</v>
      </c>
      <c r="L226" s="30" t="n">
        <v>0.052994</v>
      </c>
      <c r="M226" s="30" t="n">
        <v>0.087898</v>
      </c>
      <c r="N226" s="30" t="n">
        <v>106.0783073</v>
      </c>
      <c r="O226" s="30" t="n">
        <v>7.096785826</v>
      </c>
      <c r="P226" s="30" t="n">
        <v>0</v>
      </c>
      <c r="Q226" s="30" t="inlineStr">
        <is>
          <t xml:space="preserve">Owns and operate data centres </t>
        </is>
      </c>
      <c r="R226" s="30" t="inlineStr">
        <is>
          <t>EUR</t>
        </is>
      </c>
      <c r="S226" s="30" t="inlineStr">
        <is>
          <t>Investment Grade</t>
        </is>
      </c>
      <c r="T226" s="30" t="inlineStr">
        <is>
          <t>BBB</t>
        </is>
      </c>
      <c r="U226" s="30" t="inlineStr">
        <is>
          <t>BBB</t>
        </is>
      </c>
      <c r="V226" s="30" t="n"/>
    </row>
    <row r="227">
      <c r="A227" s="30" t="inlineStr">
        <is>
          <t>USU9094LAC29</t>
        </is>
      </c>
      <c r="B227" s="30" t="inlineStr">
        <is>
          <t xml:space="preserve">Hold </t>
        </is>
      </c>
      <c r="C227" s="30" t="inlineStr">
        <is>
          <t>United Airlines Inc</t>
        </is>
      </c>
      <c r="D227" s="30" t="n">
        <v>4.375</v>
      </c>
      <c r="E227" s="30" t="inlineStr">
        <is>
          <t>1St Lien</t>
        </is>
      </c>
      <c r="F227" s="30" t="inlineStr">
        <is>
          <t>15.04.2026</t>
        </is>
      </c>
      <c r="G227" s="30" t="inlineStr">
        <is>
          <t>United states</t>
        </is>
      </c>
      <c r="H227" s="30" t="inlineStr">
        <is>
          <t>Consumer, Cyclical</t>
        </is>
      </c>
      <c r="I227" s="30" t="n">
        <v>2</v>
      </c>
      <c r="J227" s="30" t="n">
        <v>99.381</v>
      </c>
      <c r="K227" s="30" t="n">
        <v>5.196043</v>
      </c>
      <c r="L227" s="30" t="n">
        <v>0.015237</v>
      </c>
      <c r="M227" s="30" t="n">
        <v>-0.262811</v>
      </c>
      <c r="N227" s="30" t="n">
        <v>105.9149303</v>
      </c>
      <c r="O227" s="30" t="n">
        <v>1.088489665</v>
      </c>
      <c r="P227" s="30" t="n">
        <v>0</v>
      </c>
      <c r="Q227" s="30" t="inlineStr">
        <is>
          <t xml:space="preserve">US airline </t>
        </is>
      </c>
      <c r="R227" s="30" t="inlineStr">
        <is>
          <t>USD</t>
        </is>
      </c>
      <c r="S227" s="30" t="inlineStr">
        <is>
          <t>High Yield</t>
        </is>
      </c>
      <c r="T227" s="30" t="inlineStr">
        <is>
          <t>BB+</t>
        </is>
      </c>
      <c r="U227" s="30" t="inlineStr">
        <is>
          <t>BB+</t>
        </is>
      </c>
      <c r="V227" s="30" t="n"/>
    </row>
    <row r="228">
      <c r="A228" s="30" t="inlineStr">
        <is>
          <t>XS2662538425</t>
        </is>
      </c>
      <c r="B228" s="30" t="inlineStr">
        <is>
          <t>Top Pick</t>
        </is>
      </c>
      <c r="C228" s="30" t="inlineStr">
        <is>
          <t>Barclays Plc</t>
        </is>
      </c>
      <c r="D228" s="30" t="n">
        <v>4.918</v>
      </c>
      <c r="E228" s="30" t="inlineStr">
        <is>
          <t>Sr Unsecured</t>
        </is>
      </c>
      <c r="F228" s="30" t="inlineStr">
        <is>
          <t>08.08.2030</t>
        </is>
      </c>
      <c r="G228" s="30" t="inlineStr">
        <is>
          <t>United Kingdom</t>
        </is>
      </c>
      <c r="H228" s="30" t="inlineStr">
        <is>
          <t>Financial</t>
        </is>
      </c>
      <c r="I228" s="30" t="n">
        <v>100</v>
      </c>
      <c r="J228" s="30" t="n">
        <v>107.034</v>
      </c>
      <c r="K228" s="30" t="n">
        <v>3.05748</v>
      </c>
      <c r="L228" s="30" t="n">
        <v>-0.079915</v>
      </c>
      <c r="M228" s="30" t="n">
        <v>-0.089546</v>
      </c>
      <c r="N228" s="30" t="n">
        <v>105.9098108</v>
      </c>
      <c r="O228" s="30" t="n">
        <v>3.898072968</v>
      </c>
      <c r="P228" s="30" t="n">
        <v>60</v>
      </c>
      <c r="Q228" s="30" t="inlineStr">
        <is>
          <t>One of the largest UK banks</t>
        </is>
      </c>
      <c r="R228" s="30" t="inlineStr">
        <is>
          <t>EUR</t>
        </is>
      </c>
      <c r="S228" s="30" t="inlineStr">
        <is>
          <t>Investment Grade</t>
        </is>
      </c>
      <c r="T228" s="30" t="inlineStr">
        <is>
          <t>BBB+</t>
        </is>
      </c>
      <c r="U228" s="30" t="inlineStr">
        <is>
          <t>BBB+</t>
        </is>
      </c>
      <c r="V228" s="30" t="n"/>
    </row>
    <row r="229">
      <c r="A229" s="30" t="inlineStr">
        <is>
          <t>XS2592302330</t>
        </is>
      </c>
      <c r="B229" s="30" t="inlineStr">
        <is>
          <t>Hold</t>
        </is>
      </c>
      <c r="C229" s="30" t="inlineStr">
        <is>
          <t>Tesco Corp Treasury Serv</t>
        </is>
      </c>
      <c r="D229" s="30" t="n">
        <v>5.5</v>
      </c>
      <c r="E229" s="30" t="inlineStr">
        <is>
          <t>Sr Unsecured</t>
        </is>
      </c>
      <c r="F229" s="30" t="inlineStr">
        <is>
          <t>27.02.2035</t>
        </is>
      </c>
      <c r="G229" s="30" t="inlineStr">
        <is>
          <t>United Kingdom</t>
        </is>
      </c>
      <c r="H229" s="30" t="inlineStr">
        <is>
          <t>Consumer, Non-cyclical</t>
        </is>
      </c>
      <c r="I229" s="30" t="n">
        <v>100</v>
      </c>
      <c r="J229" s="30" t="n">
        <v>99.13800000000001</v>
      </c>
      <c r="K229" s="30" t="n">
        <v>5.537179</v>
      </c>
      <c r="L229" s="30" t="n">
        <v>0.047531</v>
      </c>
      <c r="M229" s="30" t="n">
        <v>-0.264518</v>
      </c>
      <c r="N229" s="30" t="n">
        <v>105.6846693</v>
      </c>
      <c r="O229" s="30" t="n">
        <v>7.110476266</v>
      </c>
      <c r="P229" s="30" t="n">
        <v>30</v>
      </c>
      <c r="Q229" s="30" t="inlineStr">
        <is>
          <t>Largest player in the UK grocery industry</t>
        </is>
      </c>
      <c r="R229" s="30" t="inlineStr">
        <is>
          <t>GBP</t>
        </is>
      </c>
      <c r="S229" s="30" t="inlineStr">
        <is>
          <t>Investment Grade</t>
        </is>
      </c>
      <c r="T229" s="30" t="inlineStr">
        <is>
          <t>BBB-</t>
        </is>
      </c>
      <c r="U229" s="30" t="inlineStr">
        <is>
          <t>BBB-</t>
        </is>
      </c>
      <c r="V229" s="30" t="n"/>
    </row>
    <row r="230">
      <c r="A230" s="30" t="inlineStr">
        <is>
          <t>US03938LBG86</t>
        </is>
      </c>
      <c r="B230" s="30" t="inlineStr">
        <is>
          <t xml:space="preserve">Hold </t>
        </is>
      </c>
      <c r="C230" s="30" t="inlineStr">
        <is>
          <t>Arcelormittal Sa</t>
        </is>
      </c>
      <c r="D230" s="30" t="n">
        <v>6</v>
      </c>
      <c r="E230" s="30" t="inlineStr">
        <is>
          <t>Sr Unsecured</t>
        </is>
      </c>
      <c r="F230" s="30" t="inlineStr">
        <is>
          <t>17.06.2034</t>
        </is>
      </c>
      <c r="G230" s="30" t="inlineStr">
        <is>
          <t>Luxembourg</t>
        </is>
      </c>
      <c r="H230" s="30" t="inlineStr">
        <is>
          <t>Basic Materials</t>
        </is>
      </c>
      <c r="I230" s="30" t="n">
        <v>2</v>
      </c>
      <c r="J230" s="30" t="n">
        <v>104.559</v>
      </c>
      <c r="K230" s="30" t="n">
        <v>5.337894</v>
      </c>
      <c r="L230" s="30" t="n">
        <v>-0.010051</v>
      </c>
      <c r="M230" s="30" t="n">
        <v>-0.199788</v>
      </c>
      <c r="N230" s="30" t="n">
        <v>105.5154706</v>
      </c>
      <c r="O230" s="30" t="n">
        <v>6.887025465</v>
      </c>
      <c r="P230" s="30" t="n">
        <v>60</v>
      </c>
      <c r="Q230" s="30" t="inlineStr">
        <is>
          <t>World's largest producer of steel</t>
        </is>
      </c>
      <c r="R230" s="30" t="inlineStr">
        <is>
          <t>USD</t>
        </is>
      </c>
      <c r="S230" s="30" t="inlineStr">
        <is>
          <t>Investment Grade</t>
        </is>
      </c>
      <c r="T230" s="30" t="inlineStr">
        <is>
          <t>BBB-</t>
        </is>
      </c>
      <c r="U230" s="30" t="inlineStr">
        <is>
          <t>BBB-</t>
        </is>
      </c>
      <c r="V230" s="30" t="n"/>
    </row>
    <row r="231">
      <c r="A231" s="30" t="inlineStr">
        <is>
          <t>XS2286303495</t>
        </is>
      </c>
      <c r="B231" s="30" t="inlineStr">
        <is>
          <t xml:space="preserve">Hold </t>
        </is>
      </c>
      <c r="C231" s="30" t="inlineStr">
        <is>
          <t>Dae Funding Llc</t>
        </is>
      </c>
      <c r="D231" s="30" t="n">
        <v>3.375</v>
      </c>
      <c r="E231" s="30" t="inlineStr">
        <is>
          <t>Sr Unsecured</t>
        </is>
      </c>
      <c r="F231" s="30" t="inlineStr">
        <is>
          <t>20.03.2028</t>
        </is>
      </c>
      <c r="G231" s="30" t="inlineStr">
        <is>
          <t>U.A.E</t>
        </is>
      </c>
      <c r="H231" s="30" t="inlineStr">
        <is>
          <t>Industrial</t>
        </is>
      </c>
      <c r="I231" s="30" t="n">
        <v>200</v>
      </c>
      <c r="J231" s="30" t="n">
        <v>96.211</v>
      </c>
      <c r="K231" s="30" t="n">
        <v>4.889371</v>
      </c>
      <c r="L231" s="30" t="n">
        <v>0.086398</v>
      </c>
      <c r="M231" s="30" t="n">
        <v>-4.4e-05</v>
      </c>
      <c r="N231" s="30" t="n">
        <v>105.4347214</v>
      </c>
      <c r="O231" s="30" t="n">
        <v>2.820723321</v>
      </c>
      <c r="P231" s="30" t="n">
        <v>85</v>
      </c>
      <c r="Q231" s="30" t="inlineStr">
        <is>
          <t>Dubai fully state-owned aircraft leasing</t>
        </is>
      </c>
      <c r="R231" s="30" t="inlineStr">
        <is>
          <t>USD</t>
        </is>
      </c>
      <c r="S231" s="30" t="inlineStr">
        <is>
          <t>Investment Grade</t>
        </is>
      </c>
      <c r="T231" s="30" t="inlineStr">
        <is>
          <t>BBB</t>
        </is>
      </c>
      <c r="U231" s="30" t="inlineStr">
        <is>
          <t>BBB</t>
        </is>
      </c>
      <c r="V231" s="30" t="n"/>
    </row>
    <row r="232">
      <c r="A232" s="30" t="inlineStr">
        <is>
          <t>USU37818BD92</t>
        </is>
      </c>
      <c r="B232" s="30" t="inlineStr">
        <is>
          <t>Hold</t>
        </is>
      </c>
      <c r="C232" s="30" t="inlineStr">
        <is>
          <t>Glencore Funding Llc</t>
        </is>
      </c>
      <c r="D232" s="30" t="n">
        <v>3.375</v>
      </c>
      <c r="E232" s="30" t="inlineStr">
        <is>
          <t>Sr Unsecured</t>
        </is>
      </c>
      <c r="F232" s="30" t="inlineStr">
        <is>
          <t>23.09.2051</t>
        </is>
      </c>
      <c r="G232" s="30" t="inlineStr">
        <is>
          <t>Australia</t>
        </is>
      </c>
      <c r="H232" s="30" t="inlineStr">
        <is>
          <t>Basic Materials</t>
        </is>
      </c>
      <c r="I232" s="30" t="n">
        <v>2</v>
      </c>
      <c r="J232" s="30" t="n">
        <v>66.11799999999999</v>
      </c>
      <c r="K232" s="30" t="n">
        <v>5.940585</v>
      </c>
      <c r="L232" s="30" t="n">
        <v>-0.055217</v>
      </c>
      <c r="M232" s="30" t="n">
        <v>-0.106239</v>
      </c>
      <c r="N232" s="30" t="n">
        <v>105.0803186</v>
      </c>
      <c r="O232" s="30" t="n">
        <v>14.73959082</v>
      </c>
      <c r="P232" s="30" t="n">
        <v>45</v>
      </c>
      <c r="Q232" s="30" t="inlineStr">
        <is>
          <t>Diversified natural resources company</t>
        </is>
      </c>
      <c r="R232" s="30" t="inlineStr">
        <is>
          <t>USD</t>
        </is>
      </c>
      <c r="S232" s="30" t="inlineStr">
        <is>
          <t>Investment Grade</t>
        </is>
      </c>
      <c r="T232" s="30" t="inlineStr">
        <is>
          <t>BBB+</t>
        </is>
      </c>
      <c r="U232" s="30" t="inlineStr">
        <is>
          <t>BBB+</t>
        </is>
      </c>
      <c r="V232" s="30" t="n"/>
    </row>
    <row r="233">
      <c r="A233" s="30" t="inlineStr">
        <is>
          <t>USU5521TAG77</t>
        </is>
      </c>
      <c r="B233" s="30" t="inlineStr">
        <is>
          <t>Top Pick</t>
        </is>
      </c>
      <c r="C233" s="30" t="inlineStr">
        <is>
          <t>Msci Inc</t>
        </is>
      </c>
      <c r="D233" s="30" t="n">
        <v>3.625</v>
      </c>
      <c r="E233" s="30" t="inlineStr">
        <is>
          <t>Sr Unsecured</t>
        </is>
      </c>
      <c r="F233" s="30" t="inlineStr">
        <is>
          <t>01.09.2030</t>
        </is>
      </c>
      <c r="G233" s="30" t="inlineStr">
        <is>
          <t>United states</t>
        </is>
      </c>
      <c r="H233" s="30" t="inlineStr">
        <is>
          <t>Technology</t>
        </is>
      </c>
      <c r="I233" s="30" t="n">
        <v>2</v>
      </c>
      <c r="J233" s="30" t="n">
        <v>93.599</v>
      </c>
      <c r="K233" s="30" t="n">
        <v>5.051884</v>
      </c>
      <c r="L233" s="30" t="n">
        <v>0.055291</v>
      </c>
      <c r="M233" s="30" t="n">
        <v>-0.180473</v>
      </c>
      <c r="N233" s="30" t="n">
        <v>105.0698688</v>
      </c>
      <c r="O233" s="30" t="n">
        <v>4.815157084</v>
      </c>
      <c r="P233" s="30" t="n">
        <v>60</v>
      </c>
      <c r="Q233" s="30" t="inlineStr">
        <is>
          <t>Global provider of financial indices, data and analytics</t>
        </is>
      </c>
      <c r="R233" s="30" t="inlineStr">
        <is>
          <t>USD</t>
        </is>
      </c>
      <c r="S233" s="30" t="inlineStr">
        <is>
          <t>Investment Grade</t>
        </is>
      </c>
      <c r="T233" s="30" t="inlineStr">
        <is>
          <t>BBB-</t>
        </is>
      </c>
      <c r="U233" s="30" t="inlineStr">
        <is>
          <t>BBB-</t>
        </is>
      </c>
      <c r="V233" s="30" t="n"/>
    </row>
    <row r="234">
      <c r="A234" s="30" t="inlineStr">
        <is>
          <t>XS2384288747</t>
        </is>
      </c>
      <c r="B234" s="30" t="inlineStr">
        <is>
          <t>Hold</t>
        </is>
      </c>
      <c r="C234" s="30" t="inlineStr">
        <is>
          <t>General Motors Finl Co</t>
        </is>
      </c>
      <c r="D234" s="30" t="n">
        <v>1.55</v>
      </c>
      <c r="E234" s="30" t="inlineStr">
        <is>
          <t>Sr Unsecured</t>
        </is>
      </c>
      <c r="F234" s="30" t="inlineStr">
        <is>
          <t>30.07.2027</t>
        </is>
      </c>
      <c r="G234" s="30" t="inlineStr">
        <is>
          <t>United states</t>
        </is>
      </c>
      <c r="H234" s="30" t="inlineStr">
        <is>
          <t>Consumer, Cyclical</t>
        </is>
      </c>
      <c r="I234" s="30" t="n">
        <v>100</v>
      </c>
      <c r="J234" s="30" t="n">
        <v>93.742</v>
      </c>
      <c r="K234" s="30" t="n">
        <v>4.760166</v>
      </c>
      <c r="L234" s="30" t="n">
        <v>-0.042285</v>
      </c>
      <c r="M234" s="30" t="n">
        <v>-0.30137</v>
      </c>
      <c r="N234" s="30" t="n">
        <v>104.9668947</v>
      </c>
      <c r="O234" s="30" t="n">
        <v>2.268599128</v>
      </c>
      <c r="P234" s="30" t="n">
        <v>75</v>
      </c>
      <c r="Q234" s="30" t="inlineStr">
        <is>
          <t>World's third largest automaker owning Chevrolet, Buick and Cadillac</t>
        </is>
      </c>
      <c r="R234" s="30" t="inlineStr">
        <is>
          <t>GBP</t>
        </is>
      </c>
      <c r="S234" s="30" t="inlineStr">
        <is>
          <t>Investment Grade</t>
        </is>
      </c>
      <c r="T234" s="30" t="inlineStr">
        <is>
          <t>BBB</t>
        </is>
      </c>
      <c r="U234" s="30" t="inlineStr">
        <is>
          <t>BBB</t>
        </is>
      </c>
      <c r="V234" s="30" t="n"/>
    </row>
    <row r="235">
      <c r="A235" s="30" t="inlineStr">
        <is>
          <t>XS2894908768</t>
        </is>
      </c>
      <c r="B235" s="30" t="inlineStr">
        <is>
          <t>Hold</t>
        </is>
      </c>
      <c r="C235" s="30" t="inlineStr">
        <is>
          <t>Cez As</t>
        </is>
      </c>
      <c r="D235" s="30" t="n">
        <v>4.125</v>
      </c>
      <c r="E235" s="30" t="inlineStr">
        <is>
          <t>Sr Unsecured</t>
        </is>
      </c>
      <c r="F235" s="30" t="inlineStr">
        <is>
          <t>05.09.2031</t>
        </is>
      </c>
      <c r="G235" s="30" t="inlineStr">
        <is>
          <t>Czech Republic</t>
        </is>
      </c>
      <c r="H235" s="30" t="inlineStr">
        <is>
          <t>Utilities</t>
        </is>
      </c>
      <c r="I235" s="30" t="n">
        <v>100</v>
      </c>
      <c r="J235" s="30" t="n">
        <v>103.351</v>
      </c>
      <c r="K235" s="30" t="n">
        <v>3.508889</v>
      </c>
      <c r="L235" s="30" t="n">
        <v>-0.118257</v>
      </c>
      <c r="M235" s="30" t="n">
        <v>-0.150279</v>
      </c>
      <c r="N235" s="30" t="n">
        <v>104.8985379</v>
      </c>
      <c r="O235" s="30" t="n">
        <v>5.552928524</v>
      </c>
      <c r="P235" s="30" t="n">
        <v>0</v>
      </c>
      <c r="Q235" s="30" t="inlineStr">
        <is>
          <t>70% state-owned utility company in Czech Republic</t>
        </is>
      </c>
      <c r="R235" s="30" t="inlineStr">
        <is>
          <t>EUR</t>
        </is>
      </c>
      <c r="S235" s="30" t="inlineStr">
        <is>
          <t>Investment Grade</t>
        </is>
      </c>
      <c r="T235" s="30" t="inlineStr">
        <is>
          <t>BBB+</t>
        </is>
      </c>
      <c r="U235" s="30" t="inlineStr">
        <is>
          <t>BBB+</t>
        </is>
      </c>
      <c r="V235" s="30" t="n"/>
    </row>
    <row r="236">
      <c r="A236" s="30" t="inlineStr">
        <is>
          <t>XS2983840518</t>
        </is>
      </c>
      <c r="B236" s="30" t="inlineStr">
        <is>
          <t xml:space="preserve">Top Pick </t>
        </is>
      </c>
      <c r="C236" s="30" t="inlineStr">
        <is>
          <t>Goldman Sachs Group Inc</t>
        </is>
      </c>
      <c r="D236" s="30" t="n">
        <v>3.5</v>
      </c>
      <c r="E236" s="30" t="inlineStr">
        <is>
          <t>Sr Unsecured</t>
        </is>
      </c>
      <c r="F236" s="30" t="inlineStr">
        <is>
          <t>23.01.2033</t>
        </is>
      </c>
      <c r="G236" s="30" t="inlineStr">
        <is>
          <t>United states</t>
        </is>
      </c>
      <c r="H236" s="30" t="inlineStr">
        <is>
          <t>Financial</t>
        </is>
      </c>
      <c r="I236" s="30" t="n">
        <v>1</v>
      </c>
      <c r="J236" s="30" t="n">
        <v>101.277</v>
      </c>
      <c r="K236" s="30" t="n">
        <v>3.264649</v>
      </c>
      <c r="L236" s="30" t="n">
        <v>-0.075376</v>
      </c>
      <c r="M236" s="30" t="n">
        <v>-0.125086</v>
      </c>
      <c r="N236" s="30" t="n">
        <v>104.8305557</v>
      </c>
      <c r="O236" s="30" t="n">
        <v>6.039738412</v>
      </c>
      <c r="P236" s="30" t="n">
        <v>0</v>
      </c>
      <c r="Q236" s="30" t="inlineStr">
        <is>
          <t>One of the largest US investment banks</t>
        </is>
      </c>
      <c r="R236" s="30" t="inlineStr">
        <is>
          <t>EUR</t>
        </is>
      </c>
      <c r="S236" s="30" t="inlineStr">
        <is>
          <t>Investment Grade</t>
        </is>
      </c>
      <c r="T236" s="30" t="inlineStr">
        <is>
          <t>A-</t>
        </is>
      </c>
      <c r="U236" s="30" t="inlineStr">
        <is>
          <t>A-</t>
        </is>
      </c>
      <c r="V236" s="30" t="n"/>
    </row>
    <row r="237">
      <c r="A237" s="30" t="inlineStr">
        <is>
          <t>US47233JGT97</t>
        </is>
      </c>
      <c r="B237" s="30" t="inlineStr">
        <is>
          <t xml:space="preserve">Hold </t>
        </is>
      </c>
      <c r="C237" s="30" t="inlineStr">
        <is>
          <t>Jefferies Fin Group Inc</t>
        </is>
      </c>
      <c r="D237" s="30" t="n">
        <v>2.625</v>
      </c>
      <c r="E237" s="30" t="inlineStr">
        <is>
          <t>Sr Unsecured</t>
        </is>
      </c>
      <c r="F237" s="30" t="inlineStr">
        <is>
          <t>15.10.2031</t>
        </is>
      </c>
      <c r="G237" s="30" t="inlineStr">
        <is>
          <t>United states</t>
        </is>
      </c>
      <c r="H237" s="30" t="inlineStr">
        <is>
          <t>Financial</t>
        </is>
      </c>
      <c r="I237" s="30" t="n">
        <v>5</v>
      </c>
      <c r="J237" s="30" t="n">
        <v>86.791</v>
      </c>
      <c r="K237" s="30" t="n">
        <v>5.113435</v>
      </c>
      <c r="L237" s="30" t="n">
        <v>0.016995</v>
      </c>
      <c r="M237" s="30" t="n">
        <v>-0.297023</v>
      </c>
      <c r="N237" s="30" t="n">
        <v>104.5027326</v>
      </c>
      <c r="O237" s="30" t="n">
        <v>5.870662717</v>
      </c>
      <c r="P237" s="30" t="n">
        <v>60</v>
      </c>
      <c r="Q237" s="30" t="inlineStr">
        <is>
          <t xml:space="preserve">US investment bank </t>
        </is>
      </c>
      <c r="R237" s="30" t="inlineStr">
        <is>
          <t>USD</t>
        </is>
      </c>
      <c r="S237" s="30" t="inlineStr">
        <is>
          <t>Investment Grade</t>
        </is>
      </c>
      <c r="T237" s="30" t="inlineStr">
        <is>
          <t>BBB</t>
        </is>
      </c>
      <c r="U237" s="30" t="inlineStr">
        <is>
          <t>BBB</t>
        </is>
      </c>
      <c r="V237" s="30" t="n"/>
    </row>
    <row r="238">
      <c r="A238" s="30" t="inlineStr">
        <is>
          <t>XS2595028452</t>
        </is>
      </c>
      <c r="B238" s="30" t="inlineStr">
        <is>
          <t>Top pick</t>
        </is>
      </c>
      <c r="C238" s="30" t="inlineStr">
        <is>
          <t>Kingdom Of Morocco</t>
        </is>
      </c>
      <c r="D238" s="30" t="n">
        <v>5.95</v>
      </c>
      <c r="E238" s="30" t="inlineStr">
        <is>
          <t>Sr Unsecured</t>
        </is>
      </c>
      <c r="F238" s="30" t="inlineStr">
        <is>
          <t>08.03.2028</t>
        </is>
      </c>
      <c r="G238" s="30" t="inlineStr">
        <is>
          <t>Morocco</t>
        </is>
      </c>
      <c r="H238" s="30" t="inlineStr">
        <is>
          <t>Government</t>
        </is>
      </c>
      <c r="I238" s="30" t="n">
        <v>200</v>
      </c>
      <c r="J238" s="30" t="n">
        <v>102.641</v>
      </c>
      <c r="K238" s="30" t="n">
        <v>4.877564</v>
      </c>
      <c r="L238" s="30" t="n">
        <v>-0.059779</v>
      </c>
      <c r="M238" s="30" t="n">
        <v>-0.240104</v>
      </c>
      <c r="N238" s="30" t="n">
        <v>104.3745605</v>
      </c>
      <c r="O238" s="30" t="n">
        <v>2.679224787</v>
      </c>
      <c r="P238" s="30" t="n">
        <v>25</v>
      </c>
      <c r="Q238" s="30" t="inlineStr">
        <is>
          <t>Kingdom Of Morocco</t>
        </is>
      </c>
      <c r="R238" s="30" t="inlineStr">
        <is>
          <t>USD</t>
        </is>
      </c>
      <c r="S238" s="30" t="inlineStr">
        <is>
          <t>High Yield</t>
        </is>
      </c>
      <c r="T238" s="30" t="inlineStr">
        <is>
          <t>NR</t>
        </is>
      </c>
      <c r="U238" s="30" t="inlineStr">
        <is>
          <t>NR</t>
        </is>
      </c>
      <c r="V238" s="30" t="n"/>
    </row>
    <row r="239">
      <c r="A239" s="30" t="inlineStr">
        <is>
          <t>XS2811096267</t>
        </is>
      </c>
      <c r="B239" s="30" t="inlineStr">
        <is>
          <t>Hold</t>
        </is>
      </c>
      <c r="C239" s="30" t="inlineStr">
        <is>
          <t>Glencore Cap Fin Dac</t>
        </is>
      </c>
      <c r="D239" s="30" t="n">
        <v>4.154</v>
      </c>
      <c r="E239" s="30" t="inlineStr">
        <is>
          <t>Sr Unsecured</t>
        </is>
      </c>
      <c r="F239" s="30" t="inlineStr">
        <is>
          <t>29.04.2031</t>
        </is>
      </c>
      <c r="G239" s="30" t="inlineStr">
        <is>
          <t>Australia</t>
        </is>
      </c>
      <c r="H239" s="30" t="inlineStr">
        <is>
          <t>Basic Materials</t>
        </is>
      </c>
      <c r="I239" s="30" t="n">
        <v>100</v>
      </c>
      <c r="J239" s="30" t="n">
        <v>103.452</v>
      </c>
      <c r="K239" s="30" t="n">
        <v>3.460001</v>
      </c>
      <c r="L239" s="30" t="n">
        <v>-0.017929</v>
      </c>
      <c r="M239" s="30" t="n">
        <v>-0.00741</v>
      </c>
      <c r="N239" s="30" t="n">
        <v>104.2083233</v>
      </c>
      <c r="O239" s="30" t="n">
        <v>5.034904003</v>
      </c>
      <c r="P239" s="30" t="n">
        <v>60</v>
      </c>
      <c r="Q239" s="30" t="inlineStr">
        <is>
          <t>Diversified natural resources company</t>
        </is>
      </c>
      <c r="R239" s="30" t="inlineStr">
        <is>
          <t>EUR</t>
        </is>
      </c>
      <c r="S239" s="30" t="inlineStr">
        <is>
          <t>Investment Grade</t>
        </is>
      </c>
      <c r="T239" s="30" t="inlineStr">
        <is>
          <t>BBB+</t>
        </is>
      </c>
      <c r="U239" s="30" t="inlineStr">
        <is>
          <t>BBB+</t>
        </is>
      </c>
      <c r="V239" s="30" t="n"/>
    </row>
    <row r="240">
      <c r="A240" s="30" t="inlineStr">
        <is>
          <t>XS2049548527</t>
        </is>
      </c>
      <c r="B240" s="30" t="inlineStr">
        <is>
          <t>Hold</t>
        </is>
      </c>
      <c r="C240" s="30" t="inlineStr">
        <is>
          <t>General Motors Finl Co</t>
        </is>
      </c>
      <c r="D240" s="30" t="n">
        <v>2.35</v>
      </c>
      <c r="E240" s="30" t="inlineStr">
        <is>
          <t>Sr Unsecured</t>
        </is>
      </c>
      <c r="F240" s="30" t="inlineStr">
        <is>
          <t>03.09.2025</t>
        </is>
      </c>
      <c r="G240" s="30" t="inlineStr">
        <is>
          <t>United states</t>
        </is>
      </c>
      <c r="H240" s="30" t="inlineStr">
        <is>
          <t>Consumer, Cyclical</t>
        </is>
      </c>
      <c r="I240" s="30" t="n">
        <v>100</v>
      </c>
      <c r="J240" s="30" t="n">
        <v>99.604</v>
      </c>
      <c r="K240" s="30" t="n">
        <v>4.897968</v>
      </c>
      <c r="L240" s="30" t="n">
        <v>-0.013041</v>
      </c>
      <c r="M240" s="30" t="n">
        <v>-0.216263</v>
      </c>
      <c r="N240" s="30" t="n">
        <v>103.9002531</v>
      </c>
      <c r="O240" s="30" t="n">
        <v>0.510343647</v>
      </c>
      <c r="P240" s="30" t="n">
        <v>80</v>
      </c>
      <c r="Q240" s="30" t="inlineStr">
        <is>
          <t>World's third largest automaker owning Chevrolet, Buick and Cadillac</t>
        </is>
      </c>
      <c r="R240" s="30" t="inlineStr">
        <is>
          <t>GBP</t>
        </is>
      </c>
      <c r="S240" s="30" t="inlineStr">
        <is>
          <t>Investment Grade</t>
        </is>
      </c>
      <c r="T240" s="30" t="inlineStr">
        <is>
          <t>BBB</t>
        </is>
      </c>
      <c r="U240" s="30" t="inlineStr">
        <is>
          <t>BBB</t>
        </is>
      </c>
      <c r="V240" s="30" t="n"/>
    </row>
    <row r="241">
      <c r="A241" s="30" t="inlineStr">
        <is>
          <t>XS2191362859</t>
        </is>
      </c>
      <c r="B241" s="30" t="inlineStr">
        <is>
          <t>Top Pick</t>
        </is>
      </c>
      <c r="C241" s="30" t="inlineStr">
        <is>
          <t>Digital Dutch Finco Bv</t>
        </is>
      </c>
      <c r="D241" s="30" t="n">
        <v>1.25</v>
      </c>
      <c r="E241" s="30" t="inlineStr">
        <is>
          <t>Sr Unsecured</t>
        </is>
      </c>
      <c r="F241" s="30" t="inlineStr">
        <is>
          <t>01.02.2031</t>
        </is>
      </c>
      <c r="G241" s="30" t="inlineStr">
        <is>
          <t>United states</t>
        </is>
      </c>
      <c r="H241" s="30" t="inlineStr">
        <is>
          <t>Financial</t>
        </is>
      </c>
      <c r="I241" s="30" t="n">
        <v>100</v>
      </c>
      <c r="J241" s="30" t="n">
        <v>89.077</v>
      </c>
      <c r="K241" s="30" t="n">
        <v>3.438328</v>
      </c>
      <c r="L241" s="30" t="n">
        <v>-0.021136</v>
      </c>
      <c r="M241" s="30" t="n">
        <v>0.019949</v>
      </c>
      <c r="N241" s="30" t="n">
        <v>103.5715716</v>
      </c>
      <c r="O241" s="30" t="n">
        <v>5.545434071</v>
      </c>
      <c r="P241" s="30" t="n">
        <v>60</v>
      </c>
      <c r="Q241" s="30" t="inlineStr">
        <is>
          <t>Owns and operates data centres</t>
        </is>
      </c>
      <c r="R241" s="30" t="inlineStr">
        <is>
          <t>EUR</t>
        </is>
      </c>
      <c r="S241" s="30" t="inlineStr">
        <is>
          <t>Investment Grade</t>
        </is>
      </c>
      <c r="T241" s="30" t="inlineStr">
        <is>
          <t>BBB</t>
        </is>
      </c>
      <c r="U241" s="30" t="inlineStr">
        <is>
          <t>BBB</t>
        </is>
      </c>
      <c r="V241" s="30" t="n"/>
    </row>
    <row r="242">
      <c r="A242" s="30" t="inlineStr">
        <is>
          <t>FR0013523602</t>
        </is>
      </c>
      <c r="B242" s="30" t="inlineStr">
        <is>
          <t>Hold</t>
        </is>
      </c>
      <c r="C242" s="30" t="inlineStr">
        <is>
          <t>Credit Agricole Assrnces</t>
        </is>
      </c>
      <c r="D242" s="30" t="n">
        <v>2</v>
      </c>
      <c r="E242" s="30" t="inlineStr">
        <is>
          <t>Subordinated</t>
        </is>
      </c>
      <c r="F242" s="30" t="inlineStr">
        <is>
          <t>17.07.2030</t>
        </is>
      </c>
      <c r="G242" s="30" t="inlineStr">
        <is>
          <t>France</t>
        </is>
      </c>
      <c r="H242" s="30" t="inlineStr">
        <is>
          <t>Financial</t>
        </is>
      </c>
      <c r="I242" s="30" t="n">
        <v>100</v>
      </c>
      <c r="J242" s="30" t="n">
        <v>93.90900000000001</v>
      </c>
      <c r="K242" s="30" t="n">
        <v>3.337513</v>
      </c>
      <c r="L242" s="30" t="n">
        <v>-0.083092</v>
      </c>
      <c r="M242" s="30" t="n">
        <v>-0.123566</v>
      </c>
      <c r="N242" s="30" t="n">
        <v>103.1689156</v>
      </c>
      <c r="O242" s="30" t="n">
        <v>4.917841596</v>
      </c>
      <c r="P242" s="30" t="n">
        <v>60</v>
      </c>
      <c r="Q242" s="30" t="inlineStr">
        <is>
          <t>Credit Agricole's insurance arm</t>
        </is>
      </c>
      <c r="R242" s="30" t="inlineStr">
        <is>
          <t>EUR</t>
        </is>
      </c>
      <c r="S242" s="30" t="inlineStr">
        <is>
          <t>Investment Grade</t>
        </is>
      </c>
      <c r="T242" s="30" t="inlineStr">
        <is>
          <t>NR</t>
        </is>
      </c>
      <c r="U242" s="30" t="inlineStr">
        <is>
          <t>NR</t>
        </is>
      </c>
      <c r="V242" s="30" t="n"/>
    </row>
    <row r="243">
      <c r="A243" s="30" t="inlineStr">
        <is>
          <t>CH1244319450</t>
        </is>
      </c>
      <c r="B243" s="30" t="inlineStr">
        <is>
          <t>Hold</t>
        </is>
      </c>
      <c r="C243" s="30" t="inlineStr">
        <is>
          <t>Deutsche Bank Ag</t>
        </is>
      </c>
      <c r="D243" s="30" t="n">
        <v>3.645</v>
      </c>
      <c r="E243" s="30" t="inlineStr">
        <is>
          <t>Sr Non Preferred</t>
        </is>
      </c>
      <c r="F243" s="30" t="inlineStr">
        <is>
          <t>27.01.2029</t>
        </is>
      </c>
      <c r="G243" s="30" t="inlineStr">
        <is>
          <t>Germany</t>
        </is>
      </c>
      <c r="H243" s="30" t="inlineStr">
        <is>
          <t>Financial</t>
        </is>
      </c>
      <c r="I243" s="30" t="n">
        <v>200</v>
      </c>
      <c r="J243" s="30" t="n">
        <v>106.438</v>
      </c>
      <c r="K243" s="30" t="n">
        <v>1.07028</v>
      </c>
      <c r="L243" s="30" t="n">
        <v>0.044051</v>
      </c>
      <c r="M243" s="30" t="n">
        <v>0.185669</v>
      </c>
      <c r="N243" s="30" t="n">
        <v>103.0648748</v>
      </c>
      <c r="O243" s="30" t="n">
        <v>2.793096567</v>
      </c>
      <c r="P243" s="30" t="n">
        <v>85</v>
      </c>
      <c r="Q243" s="30" t="inlineStr">
        <is>
          <t xml:space="preserve">Germany's largest universal bank </t>
        </is>
      </c>
      <c r="R243" s="30" t="inlineStr">
        <is>
          <t>CHF</t>
        </is>
      </c>
      <c r="S243" s="30" t="inlineStr">
        <is>
          <t>Investment Grade</t>
        </is>
      </c>
      <c r="T243" s="30" t="inlineStr">
        <is>
          <t>BBB+</t>
        </is>
      </c>
      <c r="U243" s="30" t="inlineStr">
        <is>
          <t>BBB+</t>
        </is>
      </c>
      <c r="V243" s="30" t="n"/>
    </row>
    <row r="244">
      <c r="A244" s="30" t="inlineStr">
        <is>
          <t>US65535HBK41</t>
        </is>
      </c>
      <c r="B244" s="30" t="inlineStr">
        <is>
          <t>Hold</t>
        </is>
      </c>
      <c r="C244" s="30" t="inlineStr">
        <is>
          <t>Nomura Holdings Inc</t>
        </is>
      </c>
      <c r="D244" s="30" t="n">
        <v>6.181</v>
      </c>
      <c r="E244" s="30" t="inlineStr">
        <is>
          <t>Sr Unsecured</t>
        </is>
      </c>
      <c r="F244" s="30" t="inlineStr">
        <is>
          <t>18.01.2033</t>
        </is>
      </c>
      <c r="G244" s="30" t="inlineStr">
        <is>
          <t>Japan</t>
        </is>
      </c>
      <c r="H244" s="30" t="inlineStr">
        <is>
          <t>Financial</t>
        </is>
      </c>
      <c r="I244" s="30" t="n">
        <v>200</v>
      </c>
      <c r="J244" s="30" t="n">
        <v>106.124</v>
      </c>
      <c r="K244" s="30" t="n">
        <v>5.187688</v>
      </c>
      <c r="L244" s="30" t="n">
        <v>0.006953</v>
      </c>
      <c r="M244" s="30" t="n">
        <v>-0.168589</v>
      </c>
      <c r="N244" s="30" t="n">
        <v>102.4231373</v>
      </c>
      <c r="O244" s="30" t="n">
        <v>6.21086395</v>
      </c>
      <c r="P244" s="30" t="n">
        <v>60</v>
      </c>
      <c r="Q244" s="30" t="inlineStr">
        <is>
          <t>Japanese financial holding company</t>
        </is>
      </c>
      <c r="R244" s="30" t="inlineStr">
        <is>
          <t>USD</t>
        </is>
      </c>
      <c r="S244" s="30" t="inlineStr">
        <is>
          <t>Investment Grade</t>
        </is>
      </c>
      <c r="T244" s="30" t="inlineStr">
        <is>
          <t>BBB+</t>
        </is>
      </c>
      <c r="U244" s="30" t="inlineStr">
        <is>
          <t>BBB+</t>
        </is>
      </c>
      <c r="V244" s="30" t="n"/>
    </row>
    <row r="245">
      <c r="A245" s="30" t="inlineStr">
        <is>
          <t>USY5257YAJ65</t>
        </is>
      </c>
      <c r="B245" s="30" t="inlineStr">
        <is>
          <t>Top pick</t>
        </is>
      </c>
      <c r="C245" s="30" t="inlineStr">
        <is>
          <t>Lenovo Group Ltd</t>
        </is>
      </c>
      <c r="D245" s="30" t="n">
        <v>3.421</v>
      </c>
      <c r="E245" s="30" t="inlineStr">
        <is>
          <t>Sr Unsecured</t>
        </is>
      </c>
      <c r="F245" s="30" t="inlineStr">
        <is>
          <t>02.11.2030</t>
        </is>
      </c>
      <c r="G245" s="30" t="inlineStr">
        <is>
          <t>China</t>
        </is>
      </c>
      <c r="H245" s="30" t="inlineStr">
        <is>
          <t>Technology</t>
        </is>
      </c>
      <c r="I245" s="30" t="n">
        <v>200</v>
      </c>
      <c r="J245" s="30" t="n">
        <v>92.72</v>
      </c>
      <c r="K245" s="30" t="n">
        <v>4.99605</v>
      </c>
      <c r="L245" s="30" t="n">
        <v>0.057749</v>
      </c>
      <c r="M245" s="30" t="n">
        <v>-0.04397</v>
      </c>
      <c r="N245" s="30" t="n">
        <v>102.1279717</v>
      </c>
      <c r="O245" s="30" t="n">
        <v>5.006266227</v>
      </c>
      <c r="P245" s="30" t="n">
        <v>60</v>
      </c>
      <c r="Q245" s="30" t="inlineStr">
        <is>
          <t>Largest manufacturer of personal computers.</t>
        </is>
      </c>
      <c r="R245" s="30" t="inlineStr">
        <is>
          <t>USD</t>
        </is>
      </c>
      <c r="S245" s="30" t="inlineStr">
        <is>
          <t>Investment Grade</t>
        </is>
      </c>
      <c r="T245" s="30" t="inlineStr">
        <is>
          <t>BBB</t>
        </is>
      </c>
      <c r="U245" s="30" t="inlineStr">
        <is>
          <t>BBB</t>
        </is>
      </c>
      <c r="V245" s="30" t="n"/>
    </row>
    <row r="246">
      <c r="A246" s="30" t="inlineStr">
        <is>
          <t>US74736KAH41</t>
        </is>
      </c>
      <c r="B246" s="30" t="inlineStr">
        <is>
          <t>Hold</t>
        </is>
      </c>
      <c r="C246" s="30" t="inlineStr">
        <is>
          <t>Qorvo Inc</t>
        </is>
      </c>
      <c r="D246" s="30" t="n">
        <v>4.375</v>
      </c>
      <c r="E246" s="30" t="inlineStr">
        <is>
          <t>Sr Unsecured</t>
        </is>
      </c>
      <c r="F246" s="30" t="inlineStr">
        <is>
          <t>15.10.2029</t>
        </is>
      </c>
      <c r="G246" s="30" t="inlineStr">
        <is>
          <t>United states</t>
        </is>
      </c>
      <c r="H246" s="30" t="inlineStr">
        <is>
          <t>Technology</t>
        </is>
      </c>
      <c r="I246" s="30" t="n">
        <v>2</v>
      </c>
      <c r="J246" s="30" t="n">
        <v>97.324</v>
      </c>
      <c r="K246" s="30" t="n">
        <v>5.078279</v>
      </c>
      <c r="L246" s="30" t="n">
        <v>-0.044425</v>
      </c>
      <c r="M246" s="30" t="n">
        <v>-0.246071</v>
      </c>
      <c r="N246" s="30" t="n">
        <v>101.8824242</v>
      </c>
      <c r="O246" s="30" t="n">
        <v>4.064334174</v>
      </c>
      <c r="P246" s="30" t="n">
        <v>25</v>
      </c>
      <c r="Q246" s="30" t="inlineStr">
        <is>
          <t>Designs semiconductor solutions for connectivity and power applications</t>
        </is>
      </c>
      <c r="R246" s="30" t="inlineStr">
        <is>
          <t>USD</t>
        </is>
      </c>
      <c r="S246" s="30" t="inlineStr">
        <is>
          <t>Investment Grade</t>
        </is>
      </c>
      <c r="T246" s="30" t="inlineStr">
        <is>
          <t>BBB-</t>
        </is>
      </c>
      <c r="U246" s="30" t="inlineStr">
        <is>
          <t>BBB-</t>
        </is>
      </c>
      <c r="V246" s="30" t="n"/>
    </row>
    <row r="247">
      <c r="A247" s="30" t="inlineStr">
        <is>
          <t>FR0013447125</t>
        </is>
      </c>
      <c r="B247" s="30" t="inlineStr">
        <is>
          <t>Hold</t>
        </is>
      </c>
      <c r="C247" s="30" t="inlineStr">
        <is>
          <t>Caisse Nat Reassurance</t>
        </is>
      </c>
      <c r="D247" s="30" t="n">
        <v>2.125</v>
      </c>
      <c r="E247" s="30" t="inlineStr">
        <is>
          <t>Subordinated</t>
        </is>
      </c>
      <c r="F247" s="30" t="inlineStr">
        <is>
          <t>16.09.2029</t>
        </is>
      </c>
      <c r="G247" s="30" t="inlineStr">
        <is>
          <t>France</t>
        </is>
      </c>
      <c r="H247" s="30" t="inlineStr">
        <is>
          <t>Financial</t>
        </is>
      </c>
      <c r="I247" s="30" t="n">
        <v>100</v>
      </c>
      <c r="J247" s="30" t="n">
        <v>95.833</v>
      </c>
      <c r="K247" s="30" t="n">
        <v>3.202573</v>
      </c>
      <c r="L247" s="30" t="n">
        <v>-0.118308</v>
      </c>
      <c r="M247" s="30" t="n">
        <v>-0.206768</v>
      </c>
      <c r="N247" s="30" t="n">
        <v>101.7914967</v>
      </c>
      <c r="O247" s="30" t="n">
        <v>4.207684788</v>
      </c>
      <c r="P247" s="30" t="n">
        <v>75</v>
      </c>
      <c r="Q247" s="30" t="inlineStr">
        <is>
          <t>French Global Insurer</t>
        </is>
      </c>
      <c r="R247" s="30" t="inlineStr">
        <is>
          <t>EUR</t>
        </is>
      </c>
      <c r="S247" s="30" t="inlineStr">
        <is>
          <t>Investment Grade</t>
        </is>
      </c>
      <c r="T247" s="30" t="inlineStr">
        <is>
          <t>NR</t>
        </is>
      </c>
      <c r="U247" s="30" t="inlineStr">
        <is>
          <t>NR</t>
        </is>
      </c>
      <c r="V247" s="30" t="n"/>
    </row>
    <row r="248">
      <c r="A248" s="30" t="inlineStr">
        <is>
          <t>XS2403428472</t>
        </is>
      </c>
      <c r="B248" s="30" t="inlineStr">
        <is>
          <t xml:space="preserve">Hold </t>
        </is>
      </c>
      <c r="C248" s="30" t="inlineStr">
        <is>
          <t>Rexel Sa</t>
        </is>
      </c>
      <c r="D248" s="30" t="n">
        <v>2.125</v>
      </c>
      <c r="E248" s="30" t="inlineStr">
        <is>
          <t>Sr Unsecured</t>
        </is>
      </c>
      <c r="F248" s="30" t="inlineStr">
        <is>
          <t>15.12.2028</t>
        </is>
      </c>
      <c r="G248" s="30" t="inlineStr">
        <is>
          <t>France</t>
        </is>
      </c>
      <c r="H248" s="30" t="inlineStr">
        <is>
          <t>Consumer, Cyclical</t>
        </is>
      </c>
      <c r="I248" s="30" t="n">
        <v>100</v>
      </c>
      <c r="J248" s="30" t="n">
        <v>96.943</v>
      </c>
      <c r="K248" s="30" t="n">
        <v>3.09337</v>
      </c>
      <c r="L248" s="30" t="n">
        <v>0.035618</v>
      </c>
      <c r="M248" s="30" t="n">
        <v>-0.051589</v>
      </c>
      <c r="N248" s="30" t="n">
        <v>101.4475204</v>
      </c>
      <c r="O248" s="30" t="n">
        <v>3.603448353</v>
      </c>
      <c r="P248" s="30" t="n">
        <v>25</v>
      </c>
      <c r="Q248" s="30" t="inlineStr">
        <is>
          <t xml:space="preserve">Provides a wide range of electrical supplies </t>
        </is>
      </c>
      <c r="R248" s="30" t="inlineStr">
        <is>
          <t>EUR</t>
        </is>
      </c>
      <c r="S248" s="30" t="inlineStr">
        <is>
          <t>High Yield</t>
        </is>
      </c>
      <c r="T248" s="30" t="inlineStr">
        <is>
          <t>BB+</t>
        </is>
      </c>
      <c r="U248" s="30" t="inlineStr">
        <is>
          <t>BB+</t>
        </is>
      </c>
      <c r="V248" s="30" t="n"/>
    </row>
    <row r="249">
      <c r="A249" s="30" t="inlineStr">
        <is>
          <t>XS2304340693</t>
        </is>
      </c>
      <c r="B249" s="30" t="inlineStr">
        <is>
          <t>Top Pick</t>
        </is>
      </c>
      <c r="C249" s="30" t="inlineStr">
        <is>
          <t>Equinix Inc</t>
        </is>
      </c>
      <c r="D249" s="30" t="n">
        <v>1</v>
      </c>
      <c r="E249" s="30" t="inlineStr">
        <is>
          <t>Sr Unsecured</t>
        </is>
      </c>
      <c r="F249" s="30" t="inlineStr">
        <is>
          <t>15.03.2033</t>
        </is>
      </c>
      <c r="G249" s="30" t="inlineStr">
        <is>
          <t>United states</t>
        </is>
      </c>
      <c r="H249" s="30" t="inlineStr">
        <is>
          <t>Financial</t>
        </is>
      </c>
      <c r="I249" s="30" t="n">
        <v>100</v>
      </c>
      <c r="J249" s="30" t="n">
        <v>82.33199999999999</v>
      </c>
      <c r="K249" s="30" t="n">
        <v>3.681708</v>
      </c>
      <c r="L249" s="30" t="n">
        <v>0.058489</v>
      </c>
      <c r="M249" s="30" t="n">
        <v>0.092636</v>
      </c>
      <c r="N249" s="30" t="n">
        <v>101.4227115</v>
      </c>
      <c r="O249" s="30" t="n">
        <v>7.393658378</v>
      </c>
      <c r="P249" s="30" t="n">
        <v>60</v>
      </c>
      <c r="Q249" s="30" t="inlineStr">
        <is>
          <t xml:space="preserve">Owns and operate data centres </t>
        </is>
      </c>
      <c r="R249" s="30" t="inlineStr">
        <is>
          <t>EUR</t>
        </is>
      </c>
      <c r="S249" s="30" t="inlineStr">
        <is>
          <t>Investment Grade</t>
        </is>
      </c>
      <c r="T249" s="30" t="inlineStr">
        <is>
          <t>BBB</t>
        </is>
      </c>
      <c r="U249" s="30" t="inlineStr">
        <is>
          <t>BBB</t>
        </is>
      </c>
      <c r="V249" s="30" t="n"/>
    </row>
    <row r="250">
      <c r="A250" s="30" t="inlineStr">
        <is>
          <t>US74947MAE21</t>
        </is>
      </c>
      <c r="B250" s="30" t="inlineStr">
        <is>
          <t xml:space="preserve">Hold </t>
        </is>
      </c>
      <c r="C250" s="30" t="inlineStr">
        <is>
          <t>Rec Ltd</t>
        </is>
      </c>
      <c r="D250" s="30" t="n">
        <v>4.75</v>
      </c>
      <c r="E250" s="30" t="inlineStr">
        <is>
          <t>Sr Unsecured</t>
        </is>
      </c>
      <c r="F250" s="30" t="inlineStr">
        <is>
          <t>27.09.2029</t>
        </is>
      </c>
      <c r="G250" s="30" t="inlineStr">
        <is>
          <t>India</t>
        </is>
      </c>
      <c r="H250" s="30" t="inlineStr">
        <is>
          <t>Financial</t>
        </is>
      </c>
      <c r="I250" s="30" t="n">
        <v>200</v>
      </c>
      <c r="J250" s="30" t="n">
        <v>99.374</v>
      </c>
      <c r="K250" s="30" t="n">
        <v>4.914331</v>
      </c>
      <c r="L250" s="30" t="n">
        <v>0.017016</v>
      </c>
      <c r="M250" s="30" t="n">
        <v>-0.180706</v>
      </c>
      <c r="N250" s="30" t="n">
        <v>101.4045967</v>
      </c>
      <c r="O250" s="30" t="n">
        <v>3.999557779</v>
      </c>
      <c r="P250" s="30" t="n">
        <v>0</v>
      </c>
      <c r="Q250" s="30" t="inlineStr">
        <is>
          <t>Partially state-owned financial institution in India</t>
        </is>
      </c>
      <c r="R250" s="30" t="inlineStr">
        <is>
          <t>USD</t>
        </is>
      </c>
      <c r="S250" s="30" t="inlineStr">
        <is>
          <t>Investment Grade</t>
        </is>
      </c>
      <c r="T250" s="30" t="inlineStr">
        <is>
          <t>BBB-</t>
        </is>
      </c>
      <c r="U250" s="30" t="inlineStr">
        <is>
          <t>BBB-</t>
        </is>
      </c>
      <c r="V250" s="30" t="n"/>
    </row>
    <row r="251">
      <c r="A251" s="30" t="inlineStr">
        <is>
          <t>CH1159841340</t>
        </is>
      </c>
      <c r="B251" s="30" t="inlineStr">
        <is>
          <t>Hold</t>
        </is>
      </c>
      <c r="C251" s="30" t="inlineStr">
        <is>
          <t>Societe Generale</t>
        </is>
      </c>
      <c r="D251" s="30" t="n">
        <v>0.745</v>
      </c>
      <c r="E251" s="30" t="inlineStr">
        <is>
          <t>Sr Non Preferred</t>
        </is>
      </c>
      <c r="F251" s="30" t="inlineStr">
        <is>
          <t>26.01.2029</t>
        </is>
      </c>
      <c r="G251" s="30" t="inlineStr">
        <is>
          <t>France</t>
        </is>
      </c>
      <c r="H251" s="30" t="inlineStr">
        <is>
          <t>Financial</t>
        </is>
      </c>
      <c r="I251" s="30" t="n">
        <v>200</v>
      </c>
      <c r="J251" s="30" t="n">
        <v>98.911</v>
      </c>
      <c r="K251" s="30" t="n">
        <v>1.059291</v>
      </c>
      <c r="L251" s="30" t="n">
        <v>0.022513</v>
      </c>
      <c r="M251" s="30" t="n">
        <v>0.123994</v>
      </c>
      <c r="N251" s="30" t="n">
        <v>101.3221668</v>
      </c>
      <c r="O251" s="30" t="n">
        <v>3.832513979</v>
      </c>
      <c r="P251" s="30" t="n">
        <v>85</v>
      </c>
      <c r="Q251" s="30" t="inlineStr">
        <is>
          <t xml:space="preserve">One of the largest banks in Europe </t>
        </is>
      </c>
      <c r="R251" s="30" t="inlineStr">
        <is>
          <t>CHF</t>
        </is>
      </c>
      <c r="S251" s="30" t="inlineStr">
        <is>
          <t>Investment Grade</t>
        </is>
      </c>
      <c r="T251" s="30" t="inlineStr">
        <is>
          <t>BBB</t>
        </is>
      </c>
      <c r="U251" s="30" t="inlineStr">
        <is>
          <t>BBB</t>
        </is>
      </c>
      <c r="V251" s="30" t="n"/>
    </row>
    <row r="252">
      <c r="A252" s="30" t="inlineStr">
        <is>
          <t>USU57619AG08</t>
        </is>
      </c>
      <c r="B252" s="30" t="inlineStr">
        <is>
          <t>Top Pick</t>
        </is>
      </c>
      <c r="C252" s="30" t="inlineStr">
        <is>
          <t>Mattel Inc</t>
        </is>
      </c>
      <c r="D252" s="30" t="n">
        <v>3.75</v>
      </c>
      <c r="E252" s="30" t="inlineStr">
        <is>
          <t>Sr Unsecured</t>
        </is>
      </c>
      <c r="F252" s="30" t="inlineStr">
        <is>
          <t>01.04.2029</t>
        </is>
      </c>
      <c r="G252" s="30" t="inlineStr">
        <is>
          <t>United states</t>
        </is>
      </c>
      <c r="H252" s="30" t="inlineStr">
        <is>
          <t>Consumer, Cyclical</t>
        </is>
      </c>
      <c r="I252" s="30" t="n">
        <v>2</v>
      </c>
      <c r="J252" s="30" t="n">
        <v>95.943</v>
      </c>
      <c r="K252" s="30" t="n">
        <v>4.952745</v>
      </c>
      <c r="L252" s="30" t="n">
        <v>-0.069079</v>
      </c>
      <c r="M252" s="30" t="n">
        <v>-0.385948</v>
      </c>
      <c r="N252" s="30" t="n">
        <v>100.8826726</v>
      </c>
      <c r="O252" s="30" t="n">
        <v>3.689121394</v>
      </c>
      <c r="P252" s="30" t="n">
        <v>60</v>
      </c>
      <c r="Q252" s="30" t="inlineStr">
        <is>
          <t>Leading global toy company</t>
        </is>
      </c>
      <c r="R252" s="30" t="inlineStr">
        <is>
          <t>USD</t>
        </is>
      </c>
      <c r="S252" s="30" t="inlineStr">
        <is>
          <t>Investment Grade</t>
        </is>
      </c>
      <c r="T252" s="30" t="inlineStr">
        <is>
          <t>BBB-</t>
        </is>
      </c>
      <c r="U252" s="30" t="inlineStr">
        <is>
          <t>BBB-</t>
        </is>
      </c>
      <c r="V252" s="30" t="n"/>
    </row>
    <row r="253">
      <c r="A253" s="30" t="inlineStr">
        <is>
          <t>US46647PEV40</t>
        </is>
      </c>
      <c r="B253" s="30" t="inlineStr">
        <is>
          <t>Top Pick</t>
        </is>
      </c>
      <c r="C253" s="30" t="inlineStr">
        <is>
          <t>Jpmorgan Chase &amp; Co</t>
        </is>
      </c>
      <c r="D253" s="30" t="n">
        <v>5.14</v>
      </c>
      <c r="E253" s="30" t="inlineStr">
        <is>
          <t>Sr Unsecured</t>
        </is>
      </c>
      <c r="F253" s="30" t="inlineStr">
        <is>
          <t>24.01.2031</t>
        </is>
      </c>
      <c r="G253" s="30" t="inlineStr">
        <is>
          <t>United states</t>
        </is>
      </c>
      <c r="H253" s="30" t="inlineStr">
        <is>
          <t>Financial</t>
        </is>
      </c>
      <c r="I253" s="30" t="n">
        <v>2</v>
      </c>
      <c r="J253" s="30" t="n">
        <v>102.332</v>
      </c>
      <c r="K253" s="30" t="n">
        <v>4.565501</v>
      </c>
      <c r="L253" s="30" t="n">
        <v>-0.008165</v>
      </c>
      <c r="M253" s="30" t="n">
        <v>-0.194737</v>
      </c>
      <c r="N253" s="30" t="n">
        <v>100.6601257</v>
      </c>
      <c r="O253" s="30" t="n">
        <v>4.291203917</v>
      </c>
      <c r="P253" s="30" t="n">
        <v>0</v>
      </c>
      <c r="Q253" s="30" t="inlineStr">
        <is>
          <t>The largest US bank</t>
        </is>
      </c>
      <c r="R253" s="30" t="inlineStr">
        <is>
          <t>USD</t>
        </is>
      </c>
      <c r="S253" s="30" t="inlineStr">
        <is>
          <t>Investment Grade</t>
        </is>
      </c>
      <c r="T253" s="30" t="inlineStr">
        <is>
          <t>A+</t>
        </is>
      </c>
      <c r="U253" s="30" t="inlineStr">
        <is>
          <t>A+</t>
        </is>
      </c>
      <c r="V253" s="30" t="n"/>
    </row>
    <row r="254">
      <c r="A254" s="30" t="inlineStr">
        <is>
          <t>XS2597110027</t>
        </is>
      </c>
      <c r="B254" s="30" t="inlineStr">
        <is>
          <t>Hold</t>
        </is>
      </c>
      <c r="C254" s="30" t="inlineStr">
        <is>
          <t>Stellantis Nv</t>
        </is>
      </c>
      <c r="D254" s="30" t="n">
        <v>4.375</v>
      </c>
      <c r="E254" s="30" t="inlineStr">
        <is>
          <t>Sr Unsecured</t>
        </is>
      </c>
      <c r="F254" s="30" t="inlineStr">
        <is>
          <t>14.03.2030</t>
        </is>
      </c>
      <c r="G254" s="30" t="inlineStr">
        <is>
          <t>United states</t>
        </is>
      </c>
      <c r="H254" s="30" t="inlineStr">
        <is>
          <t>Consumer, Cyclical</t>
        </is>
      </c>
      <c r="I254" s="30" t="n">
        <v>100</v>
      </c>
      <c r="J254" s="30" t="n">
        <v>104.586</v>
      </c>
      <c r="K254" s="30" t="n">
        <v>3.246714</v>
      </c>
      <c r="L254" s="30" t="n">
        <v>-0.229609</v>
      </c>
      <c r="M254" s="30" t="n">
        <v>-0.185284</v>
      </c>
      <c r="N254" s="30" t="n">
        <v>100.2924084</v>
      </c>
      <c r="O254" s="30" t="n">
        <v>4.130415519</v>
      </c>
      <c r="P254" s="30" t="n">
        <v>80</v>
      </c>
      <c r="Q254" s="30" t="inlineStr">
        <is>
          <t>One of largest auto maker in the world</t>
        </is>
      </c>
      <c r="R254" s="30" t="inlineStr">
        <is>
          <t>EUR</t>
        </is>
      </c>
      <c r="S254" s="30" t="inlineStr">
        <is>
          <t>Investment Grade</t>
        </is>
      </c>
      <c r="T254" s="30" t="inlineStr">
        <is>
          <t>BBB</t>
        </is>
      </c>
      <c r="U254" s="30" t="inlineStr">
        <is>
          <t>BBB+</t>
        </is>
      </c>
      <c r="V254" s="30" t="n"/>
    </row>
    <row r="255">
      <c r="A255" s="30" t="inlineStr">
        <is>
          <t>XS1732146938</t>
        </is>
      </c>
      <c r="B255" s="30" t="inlineStr">
        <is>
          <t>Hold</t>
        </is>
      </c>
      <c r="C255" s="30" t="inlineStr">
        <is>
          <t>Tritax Big Box Reit Plc</t>
        </is>
      </c>
      <c r="D255" s="30" t="n">
        <v>3.125</v>
      </c>
      <c r="E255" s="30" t="inlineStr">
        <is>
          <t>Sr Unsecured</t>
        </is>
      </c>
      <c r="F255" s="30" t="inlineStr">
        <is>
          <t>14.12.2031</t>
        </is>
      </c>
      <c r="G255" s="30" t="inlineStr">
        <is>
          <t>United Kingdom</t>
        </is>
      </c>
      <c r="H255" s="30" t="inlineStr">
        <is>
          <t>Financial</t>
        </is>
      </c>
      <c r="I255" s="30" t="n">
        <v>100</v>
      </c>
      <c r="J255" s="30" t="n">
        <v>89.116</v>
      </c>
      <c r="K255" s="30" t="n">
        <v>5.133316</v>
      </c>
      <c r="L255" s="30" t="n">
        <v>-0.000507</v>
      </c>
      <c r="M255" s="30" t="n">
        <v>-0.219293</v>
      </c>
      <c r="N255" s="30" t="n">
        <v>100.2628189</v>
      </c>
      <c r="O255" s="30" t="n">
        <v>5.930141118</v>
      </c>
      <c r="P255" s="30" t="n">
        <v>0</v>
      </c>
      <c r="Q255" s="30" t="inlineStr">
        <is>
          <t xml:space="preserve">UK logistic real estate </t>
        </is>
      </c>
      <c r="R255" s="30" t="inlineStr">
        <is>
          <t>GBP</t>
        </is>
      </c>
      <c r="S255" s="30" t="inlineStr">
        <is>
          <t>Investment Grade</t>
        </is>
      </c>
      <c r="T255" s="30" t="inlineStr">
        <is>
          <t>NR</t>
        </is>
      </c>
      <c r="U255" s="30" t="inlineStr">
        <is>
          <t>NR</t>
        </is>
      </c>
      <c r="V255" s="30" t="n"/>
    </row>
    <row r="256">
      <c r="A256" s="30" t="inlineStr">
        <is>
          <t>XS1047788523</t>
        </is>
      </c>
      <c r="B256" s="30" t="inlineStr">
        <is>
          <t>Top Pick</t>
        </is>
      </c>
      <c r="C256" s="30" t="inlineStr">
        <is>
          <t>Gatwick Funding Limited</t>
        </is>
      </c>
      <c r="D256" s="30" t="n">
        <v>4.625</v>
      </c>
      <c r="E256" s="30" t="inlineStr">
        <is>
          <t>1St Lien</t>
        </is>
      </c>
      <c r="F256" s="30" t="inlineStr">
        <is>
          <t>27.03.2034</t>
        </is>
      </c>
      <c r="G256" s="30" t="inlineStr">
        <is>
          <t>United Kingdom</t>
        </is>
      </c>
      <c r="H256" s="30" t="inlineStr">
        <is>
          <t>Industrial</t>
        </is>
      </c>
      <c r="I256" s="30" t="n">
        <v>100</v>
      </c>
      <c r="J256" s="30" t="n">
        <v>94.352</v>
      </c>
      <c r="K256" s="30" t="n">
        <v>5.380587</v>
      </c>
      <c r="L256" s="30" t="n">
        <v>0.043441</v>
      </c>
      <c r="M256" s="30" t="n">
        <v>-0.144437</v>
      </c>
      <c r="N256" s="30" t="n">
        <v>100.2472994</v>
      </c>
      <c r="O256" s="30" t="n">
        <v>6.861793365</v>
      </c>
      <c r="P256" s="30" t="n">
        <v>50</v>
      </c>
      <c r="Q256" s="30" t="inlineStr">
        <is>
          <t>Second largest airport in the UK</t>
        </is>
      </c>
      <c r="R256" s="30" t="inlineStr">
        <is>
          <t>GBP</t>
        </is>
      </c>
      <c r="S256" s="30" t="inlineStr">
        <is>
          <t>Investment Grade</t>
        </is>
      </c>
      <c r="T256" s="30" t="inlineStr">
        <is>
          <t>BBB+</t>
        </is>
      </c>
      <c r="U256" s="30" t="inlineStr">
        <is>
          <t>BBB</t>
        </is>
      </c>
      <c r="V256" s="30" t="n"/>
    </row>
    <row r="257">
      <c r="A257" s="30" t="inlineStr">
        <is>
          <t>US46514BRA79</t>
        </is>
      </c>
      <c r="B257" s="30" t="inlineStr">
        <is>
          <t xml:space="preserve">Not accumulate </t>
        </is>
      </c>
      <c r="C257" s="30" t="inlineStr">
        <is>
          <t>State Of Israel</t>
        </is>
      </c>
      <c r="D257" s="30" t="n">
        <v>4.5</v>
      </c>
      <c r="E257" s="30" t="inlineStr">
        <is>
          <t>Sr Unsecured</t>
        </is>
      </c>
      <c r="F257" s="30" t="inlineStr">
        <is>
          <t>17.01.2033</t>
        </is>
      </c>
      <c r="G257" s="30" t="inlineStr">
        <is>
          <t>Israel</t>
        </is>
      </c>
      <c r="H257" s="30" t="inlineStr">
        <is>
          <t>Government</t>
        </is>
      </c>
      <c r="I257" s="30" t="n">
        <v>200</v>
      </c>
      <c r="J257" s="30" t="n">
        <v>95.852</v>
      </c>
      <c r="K257" s="30" t="n">
        <v>5.172313</v>
      </c>
      <c r="L257" s="30" t="n">
        <v>-0.09993</v>
      </c>
      <c r="M257" s="30" t="n">
        <v>-0.304313</v>
      </c>
      <c r="N257" s="30" t="n">
        <v>99.88819083999999</v>
      </c>
      <c r="O257" s="30" t="n">
        <v>6.481348728</v>
      </c>
      <c r="P257" s="30" t="n">
        <v>85</v>
      </c>
      <c r="Q257" s="30" t="inlineStr">
        <is>
          <t>State of Israel</t>
        </is>
      </c>
      <c r="R257" s="30" t="inlineStr">
        <is>
          <t>USD</t>
        </is>
      </c>
      <c r="S257" s="30" t="inlineStr">
        <is>
          <t>Investment Grade</t>
        </is>
      </c>
      <c r="T257" s="30" t="inlineStr">
        <is>
          <t>A-</t>
        </is>
      </c>
      <c r="U257" s="30" t="inlineStr">
        <is>
          <t>A-</t>
        </is>
      </c>
      <c r="V257" s="30" t="n"/>
    </row>
    <row r="258">
      <c r="A258" s="30" t="inlineStr">
        <is>
          <t>XS2793255162</t>
        </is>
      </c>
      <c r="B258" s="30" t="inlineStr">
        <is>
          <t>Top Pick</t>
        </is>
      </c>
      <c r="C258" s="30" t="inlineStr">
        <is>
          <t>Jt Intl Fin Services Bv</t>
        </is>
      </c>
      <c r="D258" s="30" t="n">
        <v>3.625</v>
      </c>
      <c r="E258" s="30" t="inlineStr">
        <is>
          <t>Sr Unsecured</t>
        </is>
      </c>
      <c r="F258" s="30" t="inlineStr">
        <is>
          <t>11.04.2034</t>
        </is>
      </c>
      <c r="G258" s="30" t="inlineStr">
        <is>
          <t>Japan</t>
        </is>
      </c>
      <c r="H258" s="30" t="inlineStr">
        <is>
          <t>Consumer, Non-cyclical</t>
        </is>
      </c>
      <c r="I258" s="30" t="n">
        <v>100</v>
      </c>
      <c r="J258" s="30" t="n">
        <v>99.10599999999999</v>
      </c>
      <c r="K258" s="30" t="n">
        <v>3.74497</v>
      </c>
      <c r="L258" s="30" t="n">
        <v>-0.009932</v>
      </c>
      <c r="M258" s="30" t="n">
        <v>0.018965</v>
      </c>
      <c r="N258" s="30" t="n">
        <v>99.39520549</v>
      </c>
      <c r="O258" s="30" t="n">
        <v>7.425275079</v>
      </c>
      <c r="P258" s="30" t="n">
        <v>80</v>
      </c>
      <c r="Q258" s="30" t="inlineStr">
        <is>
          <t>One of the largest tobacco producers</t>
        </is>
      </c>
      <c r="R258" s="30" t="inlineStr">
        <is>
          <t>EUR</t>
        </is>
      </c>
      <c r="S258" s="30" t="inlineStr">
        <is>
          <t>Investment Grade</t>
        </is>
      </c>
      <c r="T258" s="30" t="inlineStr">
        <is>
          <t>A</t>
        </is>
      </c>
      <c r="U258" s="30" t="inlineStr">
        <is>
          <t>A</t>
        </is>
      </c>
      <c r="V258" s="30" t="n"/>
    </row>
    <row r="259">
      <c r="A259" s="30" t="inlineStr">
        <is>
          <t>XS2024535036</t>
        </is>
      </c>
      <c r="B259" s="30" t="inlineStr">
        <is>
          <t>Hold</t>
        </is>
      </c>
      <c r="C259" s="30" t="inlineStr">
        <is>
          <t>Marks &amp; Spencer Plc</t>
        </is>
      </c>
      <c r="D259" s="30" t="n">
        <v>3.25</v>
      </c>
      <c r="E259" s="30" t="inlineStr">
        <is>
          <t>Sr Unsecured</t>
        </is>
      </c>
      <c r="F259" s="30" t="inlineStr">
        <is>
          <t>10.07.2027</t>
        </is>
      </c>
      <c r="G259" s="30" t="inlineStr">
        <is>
          <t>United Kingdom</t>
        </is>
      </c>
      <c r="H259" s="30" t="inlineStr">
        <is>
          <t>Consumer, Cyclical</t>
        </is>
      </c>
      <c r="I259" s="30" t="n">
        <v>100</v>
      </c>
      <c r="J259" s="30" t="n">
        <v>97.182</v>
      </c>
      <c r="K259" s="30" t="n">
        <v>4.70498</v>
      </c>
      <c r="L259" s="30" t="n">
        <v>-0.012646</v>
      </c>
      <c r="M259" s="30" t="n">
        <v>-0.240871</v>
      </c>
      <c r="N259" s="30" t="n">
        <v>99.14675182000001</v>
      </c>
      <c r="O259" s="30" t="n">
        <v>2.173857939</v>
      </c>
      <c r="P259" s="30" t="n">
        <v>20</v>
      </c>
      <c r="Q259" s="30" t="inlineStr">
        <is>
          <t>Leading United Kingdom clothing and food retailer</t>
        </is>
      </c>
      <c r="R259" s="30" t="inlineStr">
        <is>
          <t>GBP</t>
        </is>
      </c>
      <c r="S259" s="30" t="inlineStr">
        <is>
          <t>High Yield</t>
        </is>
      </c>
      <c r="T259" s="30" t="inlineStr">
        <is>
          <t>BBB-</t>
        </is>
      </c>
      <c r="U259" s="30" t="inlineStr">
        <is>
          <t>BBB-</t>
        </is>
      </c>
      <c r="V259" s="30" t="n"/>
    </row>
    <row r="260">
      <c r="A260" s="30" t="inlineStr">
        <is>
          <t>CH1291809916</t>
        </is>
      </c>
      <c r="B260" s="30" t="inlineStr">
        <is>
          <t>Hold</t>
        </is>
      </c>
      <c r="C260" s="30" t="inlineStr">
        <is>
          <t>Electricite De France Sa</t>
        </is>
      </c>
      <c r="D260" s="30" t="n">
        <v>2.55</v>
      </c>
      <c r="E260" s="30" t="inlineStr">
        <is>
          <t>Sr Unsecured</t>
        </is>
      </c>
      <c r="F260" s="30" t="inlineStr">
        <is>
          <t>12.09.2031</t>
        </is>
      </c>
      <c r="G260" s="30" t="inlineStr">
        <is>
          <t>France</t>
        </is>
      </c>
      <c r="H260" s="30" t="inlineStr">
        <is>
          <t>Utilities</t>
        </is>
      </c>
      <c r="I260" s="30" t="n">
        <v>5</v>
      </c>
      <c r="J260" s="30" t="n">
        <v>107.988</v>
      </c>
      <c r="K260" s="30" t="n">
        <v>1.199773</v>
      </c>
      <c r="L260" s="30" t="n">
        <v>0.01751</v>
      </c>
      <c r="M260" s="30" t="n">
        <v>0.145989</v>
      </c>
      <c r="N260" s="30" t="n">
        <v>98.68780525</v>
      </c>
      <c r="O260" s="30" t="n">
        <v>5.992745867</v>
      </c>
      <c r="P260" s="30" t="n">
        <v>60</v>
      </c>
      <c r="Q260" s="30" t="inlineStr">
        <is>
          <t>French utility company fully owned by the State</t>
        </is>
      </c>
      <c r="R260" s="30" t="inlineStr">
        <is>
          <t>CHF</t>
        </is>
      </c>
      <c r="S260" s="30" t="inlineStr">
        <is>
          <t>Investment Grade</t>
        </is>
      </c>
      <c r="T260" s="30" t="inlineStr">
        <is>
          <t>BBB</t>
        </is>
      </c>
      <c r="U260" s="30" t="inlineStr">
        <is>
          <t>BBB</t>
        </is>
      </c>
      <c r="V260" s="30" t="n"/>
    </row>
    <row r="261">
      <c r="A261" s="30" t="inlineStr">
        <is>
          <t>FR001400KHI6</t>
        </is>
      </c>
      <c r="B261" s="30" t="inlineStr">
        <is>
          <t>Hold</t>
        </is>
      </c>
      <c r="C261" s="30" t="inlineStr">
        <is>
          <t>Engie Sa</t>
        </is>
      </c>
      <c r="D261" s="30" t="n">
        <v>4.5</v>
      </c>
      <c r="E261" s="30" t="inlineStr">
        <is>
          <t>Sr Unsecured</t>
        </is>
      </c>
      <c r="F261" s="30" t="inlineStr">
        <is>
          <t>06.09.2042</t>
        </is>
      </c>
      <c r="G261" s="30" t="inlineStr">
        <is>
          <t>France</t>
        </is>
      </c>
      <c r="H261" s="30" t="inlineStr">
        <is>
          <t>Utilities</t>
        </is>
      </c>
      <c r="I261" s="30" t="n">
        <v>100</v>
      </c>
      <c r="J261" s="30" t="n">
        <v>103.255</v>
      </c>
      <c r="K261" s="30" t="n">
        <v>4.226433</v>
      </c>
      <c r="L261" s="30" t="n">
        <v>-0.035764</v>
      </c>
      <c r="M261" s="30" t="n">
        <v>0.0006310000000000001</v>
      </c>
      <c r="N261" s="30" t="n">
        <v>98.46281197</v>
      </c>
      <c r="O261" s="30" t="n">
        <v>11.80643142</v>
      </c>
      <c r="P261" s="30" t="n">
        <v>60</v>
      </c>
      <c r="Q261" s="30" t="inlineStr">
        <is>
          <t xml:space="preserve">French utility company specialised in renewables </t>
        </is>
      </c>
      <c r="R261" s="30" t="inlineStr">
        <is>
          <t>EUR</t>
        </is>
      </c>
      <c r="S261" s="30" t="inlineStr">
        <is>
          <t>Investment Grade</t>
        </is>
      </c>
      <c r="T261" s="30" t="inlineStr">
        <is>
          <t>BBB+</t>
        </is>
      </c>
      <c r="U261" s="30" t="inlineStr">
        <is>
          <t>BBB+</t>
        </is>
      </c>
      <c r="V261" s="30" t="n"/>
    </row>
    <row r="262">
      <c r="A262" s="30" t="inlineStr">
        <is>
          <t>XS2288109676</t>
        </is>
      </c>
      <c r="B262" s="30" t="inlineStr">
        <is>
          <t>Hold</t>
        </is>
      </c>
      <c r="C262" s="30" t="inlineStr">
        <is>
          <t>Telecom Italia Spa</t>
        </is>
      </c>
      <c r="D262" s="30" t="n">
        <v>1.625</v>
      </c>
      <c r="E262" s="30" t="inlineStr">
        <is>
          <t>Sr Unsecured</t>
        </is>
      </c>
      <c r="F262" s="30" t="inlineStr">
        <is>
          <t>18.01.2029</t>
        </is>
      </c>
      <c r="G262" s="30" t="inlineStr">
        <is>
          <t>Italy</t>
        </is>
      </c>
      <c r="H262" s="30" t="inlineStr">
        <is>
          <t>Communications</t>
        </is>
      </c>
      <c r="I262" s="30" t="n">
        <v>100</v>
      </c>
      <c r="J262" s="30" t="n">
        <v>95.221</v>
      </c>
      <c r="K262" s="30" t="n">
        <v>3.072719</v>
      </c>
      <c r="L262" s="30" t="n">
        <v>-0.046374</v>
      </c>
      <c r="M262" s="30" t="n">
        <v>0.045971</v>
      </c>
      <c r="N262" s="30" t="n">
        <v>98.43739076999999</v>
      </c>
      <c r="O262" s="30" t="n">
        <v>3.67576865</v>
      </c>
      <c r="P262" s="30" t="n">
        <v>25</v>
      </c>
      <c r="Q262" s="30" t="inlineStr">
        <is>
          <t>Italy's largest telecom company</t>
        </is>
      </c>
      <c r="R262" s="30" t="inlineStr">
        <is>
          <t>EUR</t>
        </is>
      </c>
      <c r="S262" s="30" t="inlineStr">
        <is>
          <t>High Yield</t>
        </is>
      </c>
      <c r="T262" s="30" t="inlineStr">
        <is>
          <t>BB</t>
        </is>
      </c>
      <c r="U262" s="30" t="inlineStr">
        <is>
          <t>BB-</t>
        </is>
      </c>
      <c r="V262" s="30" t="n"/>
    </row>
    <row r="263">
      <c r="A263" s="30" t="inlineStr">
        <is>
          <t>FR001400KHW7</t>
        </is>
      </c>
      <c r="B263" s="30" t="inlineStr">
        <is>
          <t>Not accumulate</t>
        </is>
      </c>
      <c r="C263" s="30" t="inlineStr">
        <is>
          <t>Kering</t>
        </is>
      </c>
      <c r="D263" s="30" t="n">
        <v>3.625</v>
      </c>
      <c r="E263" s="30" t="inlineStr">
        <is>
          <t>Sr Unsecured</t>
        </is>
      </c>
      <c r="F263" s="30" t="inlineStr">
        <is>
          <t>05.09.2031</t>
        </is>
      </c>
      <c r="G263" s="30" t="inlineStr">
        <is>
          <t>France</t>
        </is>
      </c>
      <c r="H263" s="30" t="inlineStr">
        <is>
          <t>Consumer, Cyclical</t>
        </is>
      </c>
      <c r="I263" s="30" t="n">
        <v>100</v>
      </c>
      <c r="J263" s="30" t="n">
        <v>100.875</v>
      </c>
      <c r="K263" s="30" t="n">
        <v>3.459299</v>
      </c>
      <c r="L263" s="30" t="n">
        <v>-0.106262</v>
      </c>
      <c r="M263" s="30" t="n">
        <v>0.08381</v>
      </c>
      <c r="N263" s="30" t="n">
        <v>98.2175689</v>
      </c>
      <c r="O263" s="30" t="n">
        <v>5.459515488</v>
      </c>
      <c r="P263" s="30" t="n">
        <v>85</v>
      </c>
      <c r="Q263" s="30" t="inlineStr">
        <is>
          <t>Designs, manufactures, and markets fashion and leather goods</t>
        </is>
      </c>
      <c r="R263" s="30" t="inlineStr">
        <is>
          <t>EUR</t>
        </is>
      </c>
      <c r="S263" s="30" t="inlineStr">
        <is>
          <t>Investment Grade</t>
        </is>
      </c>
      <c r="T263" s="30" t="inlineStr">
        <is>
          <t>NR</t>
        </is>
      </c>
      <c r="U263" s="30" t="inlineStr">
        <is>
          <t>NR</t>
        </is>
      </c>
      <c r="V263" s="30" t="n"/>
    </row>
    <row r="264">
      <c r="A264" s="30" t="inlineStr">
        <is>
          <t>XS2386886803</t>
        </is>
      </c>
      <c r="B264" s="30" t="inlineStr">
        <is>
          <t xml:space="preserve">Hold </t>
        </is>
      </c>
      <c r="C264" s="30" t="inlineStr">
        <is>
          <t>Volkswagen Fin Serv Nv</t>
        </is>
      </c>
      <c r="D264" s="30" t="n">
        <v>1.375</v>
      </c>
      <c r="E264" s="30" t="inlineStr">
        <is>
          <t>Sr Unsecured</t>
        </is>
      </c>
      <c r="F264" s="30" t="inlineStr">
        <is>
          <t>14.09.2028</t>
        </is>
      </c>
      <c r="G264" s="30" t="inlineStr">
        <is>
          <t>Germany</t>
        </is>
      </c>
      <c r="H264" s="30" t="inlineStr">
        <is>
          <t>Consumer, Cyclical</t>
        </is>
      </c>
      <c r="I264" s="30" t="n">
        <v>100</v>
      </c>
      <c r="J264" s="30" t="n">
        <v>90.105</v>
      </c>
      <c r="K264" s="30" t="n">
        <v>4.743105</v>
      </c>
      <c r="L264" s="30" t="n">
        <v>-0.007206</v>
      </c>
      <c r="M264" s="30" t="n">
        <v>-0.258081</v>
      </c>
      <c r="N264" s="30" t="n">
        <v>98.18015114000001</v>
      </c>
      <c r="O264" s="30" t="n">
        <v>3.290809428</v>
      </c>
      <c r="P264" s="30" t="n">
        <v>75</v>
      </c>
      <c r="Q264" s="30" t="inlineStr">
        <is>
          <t>Financial arm of multinational auto manufacturing company</t>
        </is>
      </c>
      <c r="R264" s="30" t="inlineStr">
        <is>
          <t>GBP</t>
        </is>
      </c>
      <c r="S264" s="30" t="inlineStr">
        <is>
          <t>Investment Grade</t>
        </is>
      </c>
      <c r="T264" s="30" t="inlineStr">
        <is>
          <t>BBB+</t>
        </is>
      </c>
      <c r="U264" s="30" t="inlineStr">
        <is>
          <t>BBB+</t>
        </is>
      </c>
      <c r="V264" s="30" t="n"/>
    </row>
    <row r="265">
      <c r="A265" s="30" t="inlineStr">
        <is>
          <t>FR001400I7U8</t>
        </is>
      </c>
      <c r="B265" s="30" t="inlineStr">
        <is>
          <t xml:space="preserve">Hold </t>
        </is>
      </c>
      <c r="C265" s="30" t="inlineStr">
        <is>
          <t>Bnp Paribas</t>
        </is>
      </c>
      <c r="D265" s="30" t="n">
        <v>6</v>
      </c>
      <c r="E265" s="30" t="inlineStr">
        <is>
          <t>Sr Preferred</t>
        </is>
      </c>
      <c r="F265" s="30" t="inlineStr">
        <is>
          <t>18.08.2029</t>
        </is>
      </c>
      <c r="G265" s="30" t="inlineStr">
        <is>
          <t>France</t>
        </is>
      </c>
      <c r="H265" s="30" t="inlineStr">
        <is>
          <t>Financial</t>
        </is>
      </c>
      <c r="I265" s="30" t="n">
        <v>100</v>
      </c>
      <c r="J265" s="30" t="n">
        <v>104.146</v>
      </c>
      <c r="K265" s="30" t="n">
        <v>4.553525</v>
      </c>
      <c r="L265" s="30" t="n">
        <v>-0.057225</v>
      </c>
      <c r="M265" s="30" t="n">
        <v>-0.346431</v>
      </c>
      <c r="N265" s="30" t="n">
        <v>97.78388362</v>
      </c>
      <c r="O265" s="30" t="n">
        <v>3.119170337</v>
      </c>
      <c r="P265" s="30" t="n">
        <v>85</v>
      </c>
      <c r="Q265" s="30" t="inlineStr">
        <is>
          <t>France's largest bank with a world leading position</t>
        </is>
      </c>
      <c r="R265" s="30" t="inlineStr">
        <is>
          <t>GBP</t>
        </is>
      </c>
      <c r="S265" s="30" t="inlineStr">
        <is>
          <t>Investment Grade</t>
        </is>
      </c>
      <c r="T265" s="30" t="inlineStr">
        <is>
          <t>A+</t>
        </is>
      </c>
      <c r="U265" s="30" t="inlineStr">
        <is>
          <t>A+</t>
        </is>
      </c>
      <c r="V265" s="30" t="n"/>
    </row>
    <row r="266">
      <c r="A266" s="30" t="inlineStr">
        <is>
          <t>USU5521TAH50</t>
        </is>
      </c>
      <c r="B266" s="30" t="inlineStr">
        <is>
          <t>Top Pick</t>
        </is>
      </c>
      <c r="C266" s="30" t="inlineStr">
        <is>
          <t>Msci Inc</t>
        </is>
      </c>
      <c r="D266" s="30" t="n">
        <v>3.875</v>
      </c>
      <c r="E266" s="30" t="inlineStr">
        <is>
          <t>Sr Unsecured</t>
        </is>
      </c>
      <c r="F266" s="30" t="inlineStr">
        <is>
          <t>15.02.2031</t>
        </is>
      </c>
      <c r="G266" s="30" t="inlineStr">
        <is>
          <t>United states</t>
        </is>
      </c>
      <c r="H266" s="30" t="inlineStr">
        <is>
          <t>Technology</t>
        </is>
      </c>
      <c r="I266" s="30" t="n">
        <v>2</v>
      </c>
      <c r="J266" s="30" t="n">
        <v>94.255</v>
      </c>
      <c r="K266" s="30" t="n">
        <v>5.06561</v>
      </c>
      <c r="L266" s="30" t="n">
        <v>-0.009846000000000001</v>
      </c>
      <c r="M266" s="30" t="n">
        <v>-0.172764</v>
      </c>
      <c r="N266" s="30" t="n">
        <v>97.77335428000001</v>
      </c>
      <c r="O266" s="30" t="n">
        <v>5.179824861</v>
      </c>
      <c r="P266" s="30" t="n">
        <v>60</v>
      </c>
      <c r="Q266" s="30" t="inlineStr">
        <is>
          <t>Global provider of financial indices, data and analytics</t>
        </is>
      </c>
      <c r="R266" s="30" t="inlineStr">
        <is>
          <t>USD</t>
        </is>
      </c>
      <c r="S266" s="30" t="inlineStr">
        <is>
          <t>Investment Grade</t>
        </is>
      </c>
      <c r="T266" s="30" t="inlineStr">
        <is>
          <t>BBB-</t>
        </is>
      </c>
      <c r="U266" s="30" t="inlineStr">
        <is>
          <t>BBB-</t>
        </is>
      </c>
      <c r="V266" s="30" t="n"/>
    </row>
    <row r="267">
      <c r="A267" s="30" t="inlineStr">
        <is>
          <t>XS2562941927</t>
        </is>
      </c>
      <c r="B267" s="30" t="inlineStr">
        <is>
          <t xml:space="preserve">Hold </t>
        </is>
      </c>
      <c r="C267" s="30" t="inlineStr">
        <is>
          <t>Volkswagen Fin Serv Nv</t>
        </is>
      </c>
      <c r="D267" s="30" t="n">
        <v>5.5</v>
      </c>
      <c r="E267" s="30" t="inlineStr">
        <is>
          <t>Sr Unsecured</t>
        </is>
      </c>
      <c r="F267" s="30" t="inlineStr">
        <is>
          <t>07.12.2026</t>
        </is>
      </c>
      <c r="G267" s="30" t="inlineStr">
        <is>
          <t>Germany</t>
        </is>
      </c>
      <c r="H267" s="30" t="inlineStr">
        <is>
          <t>Consumer, Cyclical</t>
        </is>
      </c>
      <c r="I267" s="30" t="n">
        <v>100</v>
      </c>
      <c r="J267" s="30" t="n">
        <v>100.928</v>
      </c>
      <c r="K267" s="30" t="n">
        <v>4.726365</v>
      </c>
      <c r="L267" s="30" t="n">
        <v>-0.06938900000000001</v>
      </c>
      <c r="M267" s="30" t="n">
        <v>-0.246701</v>
      </c>
      <c r="N267" s="30" t="n">
        <v>97.21381744</v>
      </c>
      <c r="O267" s="30" t="n">
        <v>1.645274543</v>
      </c>
      <c r="P267" s="30" t="n">
        <v>75</v>
      </c>
      <c r="Q267" s="30" t="inlineStr">
        <is>
          <t>Financial arm of multinational auto manufacturing company</t>
        </is>
      </c>
      <c r="R267" s="30" t="inlineStr">
        <is>
          <t>GBP</t>
        </is>
      </c>
      <c r="S267" s="30" t="inlineStr">
        <is>
          <t>Investment Grade</t>
        </is>
      </c>
      <c r="T267" s="30" t="inlineStr">
        <is>
          <t>BBB+</t>
        </is>
      </c>
      <c r="U267" s="30" t="inlineStr">
        <is>
          <t>BBB+</t>
        </is>
      </c>
      <c r="V267" s="30" t="n"/>
    </row>
    <row r="268">
      <c r="A268" s="30" t="inlineStr">
        <is>
          <t>US88167AAQ40</t>
        </is>
      </c>
      <c r="B268" s="30" t="inlineStr">
        <is>
          <t>Hold</t>
        </is>
      </c>
      <c r="C268" s="30" t="inlineStr">
        <is>
          <t>Teva Pharmaceuticals Ne</t>
        </is>
      </c>
      <c r="D268" s="30" t="n">
        <v>5.125</v>
      </c>
      <c r="E268" s="30" t="inlineStr">
        <is>
          <t>Sr Unsecured</t>
        </is>
      </c>
      <c r="F268" s="30" t="inlineStr">
        <is>
          <t>09.05.2029</t>
        </is>
      </c>
      <c r="G268" s="30" t="inlineStr">
        <is>
          <t>Israel</t>
        </is>
      </c>
      <c r="H268" s="30" t="inlineStr">
        <is>
          <t>Consumer, Non-cyclical</t>
        </is>
      </c>
      <c r="I268" s="30" t="n">
        <v>200</v>
      </c>
      <c r="J268" s="30" t="n">
        <v>100.775</v>
      </c>
      <c r="K268" s="30" t="n">
        <v>4.886684</v>
      </c>
      <c r="L268" s="30" t="n">
        <v>-0.130239</v>
      </c>
      <c r="M268" s="30" t="n">
        <v>-0.422718</v>
      </c>
      <c r="N268" s="30" t="n">
        <v>96.55033220999999</v>
      </c>
      <c r="O268" s="30" t="n">
        <v>3.685556574</v>
      </c>
      <c r="P268" s="30" t="n">
        <v>0</v>
      </c>
      <c r="Q268" s="30" t="inlineStr">
        <is>
          <t>Largest manufacturer of pharmaceutical generics</t>
        </is>
      </c>
      <c r="R268" s="30" t="inlineStr">
        <is>
          <t>USD</t>
        </is>
      </c>
      <c r="S268" s="30" t="inlineStr">
        <is>
          <t>High Yield</t>
        </is>
      </c>
      <c r="T268" s="30" t="inlineStr">
        <is>
          <t>BB</t>
        </is>
      </c>
      <c r="U268" s="30" t="inlineStr">
        <is>
          <t>BB</t>
        </is>
      </c>
      <c r="V268" s="30" t="n"/>
    </row>
    <row r="269">
      <c r="A269" s="30" t="inlineStr">
        <is>
          <t>US05526DBZ78</t>
        </is>
      </c>
      <c r="B269" s="30" t="inlineStr">
        <is>
          <t xml:space="preserve">Hold </t>
        </is>
      </c>
      <c r="C269" s="30" t="inlineStr">
        <is>
          <t>Bat Capital Corp</t>
        </is>
      </c>
      <c r="D269" s="30" t="n">
        <v>6</v>
      </c>
      <c r="E269" s="30" t="inlineStr">
        <is>
          <t>Sr Unsecured</t>
        </is>
      </c>
      <c r="F269" s="30" t="inlineStr">
        <is>
          <t>20.02.2034</t>
        </is>
      </c>
      <c r="G269" s="30" t="inlineStr">
        <is>
          <t>United Kingdom</t>
        </is>
      </c>
      <c r="H269" s="30" t="inlineStr">
        <is>
          <t>Consumer, Non-cyclical</t>
        </is>
      </c>
      <c r="I269" s="30" t="n">
        <v>2</v>
      </c>
      <c r="J269" s="30" t="n">
        <v>105.195</v>
      </c>
      <c r="K269" s="30" t="n">
        <v>5.225446</v>
      </c>
      <c r="L269" s="30" t="n">
        <v>-0.026723</v>
      </c>
      <c r="M269" s="30" t="n">
        <v>-0.145196</v>
      </c>
      <c r="N269" s="30" t="n">
        <v>96.25979559</v>
      </c>
      <c r="O269" s="30" t="n">
        <v>6.775106969</v>
      </c>
      <c r="P269" s="30" t="n">
        <v>60</v>
      </c>
      <c r="Q269" s="30" t="inlineStr">
        <is>
          <t>Manufactures, markets and sells cigarettes and other tobacco products</t>
        </is>
      </c>
      <c r="R269" s="30" t="inlineStr">
        <is>
          <t>USD</t>
        </is>
      </c>
      <c r="S269" s="30" t="inlineStr">
        <is>
          <t>Investment Grade</t>
        </is>
      </c>
      <c r="T269" s="30" t="inlineStr">
        <is>
          <t>BBB+</t>
        </is>
      </c>
      <c r="U269" s="30" t="inlineStr">
        <is>
          <t>BBB+</t>
        </is>
      </c>
      <c r="V269" s="30" t="n"/>
    </row>
    <row r="270">
      <c r="A270" s="30" t="inlineStr">
        <is>
          <t>US88167AAP66</t>
        </is>
      </c>
      <c r="B270" s="30" t="inlineStr">
        <is>
          <t>Hold</t>
        </is>
      </c>
      <c r="C270" s="30" t="inlineStr">
        <is>
          <t>Teva Pharmaceutical Indu</t>
        </is>
      </c>
      <c r="D270" s="30" t="n">
        <v>4.75</v>
      </c>
      <c r="E270" s="30" t="inlineStr">
        <is>
          <t>Sr Unsecured</t>
        </is>
      </c>
      <c r="F270" s="30" t="inlineStr">
        <is>
          <t>09.05.2027</t>
        </is>
      </c>
      <c r="G270" s="30" t="inlineStr">
        <is>
          <t>Israel</t>
        </is>
      </c>
      <c r="H270" s="30" t="inlineStr">
        <is>
          <t>Consumer, Non-cyclical</t>
        </is>
      </c>
      <c r="I270" s="30" t="n">
        <v>200</v>
      </c>
      <c r="J270" s="30" t="n">
        <v>99.70099999999999</v>
      </c>
      <c r="K270" s="30" t="n">
        <v>4.918643</v>
      </c>
      <c r="L270" s="30" t="n">
        <v>-0.031631</v>
      </c>
      <c r="M270" s="30" t="n">
        <v>-0.257593</v>
      </c>
      <c r="N270" s="30" t="n">
        <v>95.9260304</v>
      </c>
      <c r="O270" s="30" t="n">
        <v>2.046781065</v>
      </c>
      <c r="P270" s="30" t="n">
        <v>25</v>
      </c>
      <c r="Q270" s="30" t="inlineStr">
        <is>
          <t>Largest manufacturer of pharmaceutical generics</t>
        </is>
      </c>
      <c r="R270" s="30" t="inlineStr">
        <is>
          <t>USD</t>
        </is>
      </c>
      <c r="S270" s="30" t="inlineStr">
        <is>
          <t>High Yield</t>
        </is>
      </c>
      <c r="T270" s="30" t="inlineStr">
        <is>
          <t>BB</t>
        </is>
      </c>
      <c r="U270" s="30" t="inlineStr">
        <is>
          <t>BB</t>
        </is>
      </c>
      <c r="V270" s="30" t="n"/>
    </row>
    <row r="271">
      <c r="A271" s="30" t="inlineStr">
        <is>
          <t>US05971BAG41</t>
        </is>
      </c>
      <c r="B271" s="30" t="inlineStr">
        <is>
          <t xml:space="preserve">Hold </t>
        </is>
      </c>
      <c r="C271" s="30" t="inlineStr">
        <is>
          <t>Banco Btg Pactual/Cayman</t>
        </is>
      </c>
      <c r="D271" s="30" t="n">
        <v>2.75</v>
      </c>
      <c r="E271" s="30" t="inlineStr">
        <is>
          <t>Sr Unsecured</t>
        </is>
      </c>
      <c r="F271" s="30" t="inlineStr">
        <is>
          <t>11.01.2026</t>
        </is>
      </c>
      <c r="G271" s="30" t="inlineStr">
        <is>
          <t>Brazil</t>
        </is>
      </c>
      <c r="H271" s="30" t="inlineStr">
        <is>
          <t>Financial</t>
        </is>
      </c>
      <c r="I271" s="30" t="n">
        <v>200</v>
      </c>
      <c r="J271" s="30" t="n">
        <v>98.76300000000001</v>
      </c>
      <c r="K271" s="30" t="n">
        <v>5.247232</v>
      </c>
      <c r="L271" s="30" t="n">
        <v>0.233151</v>
      </c>
      <c r="M271" s="30" t="n">
        <v>-0.038379</v>
      </c>
      <c r="N271" s="30" t="n">
        <v>95.70357721000001</v>
      </c>
      <c r="O271" s="30" t="n">
        <v>0.860822716</v>
      </c>
      <c r="P271" s="30" t="n">
        <v>25</v>
      </c>
      <c r="Q271" s="30" t="inlineStr">
        <is>
          <t>Provides banking and investment services in Brazil</t>
        </is>
      </c>
      <c r="R271" s="30" t="inlineStr">
        <is>
          <t>USD</t>
        </is>
      </c>
      <c r="S271" s="30" t="inlineStr">
        <is>
          <t>Latin America</t>
        </is>
      </c>
      <c r="T271" s="30" t="inlineStr">
        <is>
          <t>BB</t>
        </is>
      </c>
      <c r="U271" s="30" t="inlineStr">
        <is>
          <t>BB</t>
        </is>
      </c>
      <c r="V271" s="30" t="n"/>
    </row>
    <row r="272">
      <c r="A272" s="30" t="inlineStr">
        <is>
          <t>FR001400F083</t>
        </is>
      </c>
      <c r="B272" s="30" t="inlineStr">
        <is>
          <t>Hold</t>
        </is>
      </c>
      <c r="C272" s="30" t="inlineStr">
        <is>
          <t>Bpce Sa</t>
        </is>
      </c>
      <c r="D272" s="30" t="n">
        <v>4.5</v>
      </c>
      <c r="E272" s="30" t="inlineStr">
        <is>
          <t>Sr Non Preferred</t>
        </is>
      </c>
      <c r="F272" s="30" t="inlineStr">
        <is>
          <t>13.01.2033</t>
        </is>
      </c>
      <c r="G272" s="30" t="inlineStr">
        <is>
          <t>France</t>
        </is>
      </c>
      <c r="H272" s="30" t="inlineStr">
        <is>
          <t>Financial</t>
        </is>
      </c>
      <c r="I272" s="30" t="n">
        <v>100</v>
      </c>
      <c r="J272" s="30" t="n">
        <v>106.088</v>
      </c>
      <c r="K272" s="30" t="n">
        <v>3.560037</v>
      </c>
      <c r="L272" s="30" t="n">
        <v>-0.059547</v>
      </c>
      <c r="M272" s="30" t="n">
        <v>-0.09535</v>
      </c>
      <c r="N272" s="30" t="n">
        <v>95.334941</v>
      </c>
      <c r="O272" s="30" t="n">
        <v>6.577802306</v>
      </c>
      <c r="P272" s="30" t="n">
        <v>60</v>
      </c>
      <c r="Q272" s="30" t="inlineStr">
        <is>
          <t>One of the largest French retail banks</t>
        </is>
      </c>
      <c r="R272" s="30" t="inlineStr">
        <is>
          <t>EUR</t>
        </is>
      </c>
      <c r="S272" s="30" t="inlineStr">
        <is>
          <t>Investment Grade</t>
        </is>
      </c>
      <c r="T272" s="30" t="inlineStr">
        <is>
          <t>BBB+</t>
        </is>
      </c>
      <c r="U272" s="30" t="inlineStr">
        <is>
          <t>BBB+</t>
        </is>
      </c>
      <c r="V272" s="30" t="n"/>
    </row>
    <row r="273">
      <c r="A273" s="30" t="inlineStr">
        <is>
          <t>US45434M2H45</t>
        </is>
      </c>
      <c r="B273" s="30" t="inlineStr">
        <is>
          <t xml:space="preserve">Hold </t>
        </is>
      </c>
      <c r="C273" s="30" t="inlineStr">
        <is>
          <t>Indian Railway Finance</t>
        </is>
      </c>
      <c r="D273" s="30" t="n">
        <v>3.57</v>
      </c>
      <c r="E273" s="30" t="inlineStr">
        <is>
          <t>Sr Unsecured</t>
        </is>
      </c>
      <c r="F273" s="30" t="inlineStr">
        <is>
          <t>21.01.2032</t>
        </is>
      </c>
      <c r="G273" s="30" t="inlineStr">
        <is>
          <t>India</t>
        </is>
      </c>
      <c r="H273" s="30" t="inlineStr">
        <is>
          <t>Industrial</t>
        </is>
      </c>
      <c r="I273" s="30" t="n">
        <v>200</v>
      </c>
      <c r="J273" s="30" t="n">
        <v>91.901</v>
      </c>
      <c r="K273" s="30" t="n">
        <v>5.039607</v>
      </c>
      <c r="L273" s="30" t="n">
        <v>0.059366</v>
      </c>
      <c r="M273" s="30" t="n">
        <v>-0.125426</v>
      </c>
      <c r="N273" s="30" t="n">
        <v>95.25419311</v>
      </c>
      <c r="O273" s="30" t="n">
        <v>5.964680409</v>
      </c>
      <c r="P273" s="30" t="n">
        <v>85</v>
      </c>
      <c r="Q273" s="30" t="inlineStr">
        <is>
          <t xml:space="preserve">Provides rail transportation, catering and tourism services </t>
        </is>
      </c>
      <c r="R273" s="30" t="inlineStr">
        <is>
          <t>USD</t>
        </is>
      </c>
      <c r="S273" s="30" t="inlineStr">
        <is>
          <t>Investment Grade</t>
        </is>
      </c>
      <c r="T273" s="30" t="inlineStr">
        <is>
          <t>BBB-</t>
        </is>
      </c>
      <c r="U273" s="30" t="inlineStr">
        <is>
          <t>BBB-</t>
        </is>
      </c>
      <c r="V273" s="30" t="n"/>
    </row>
    <row r="274">
      <c r="A274" s="30" t="inlineStr">
        <is>
          <t>XS1962515372</t>
        </is>
      </c>
      <c r="B274" s="30" t="inlineStr">
        <is>
          <t xml:space="preserve">Hold </t>
        </is>
      </c>
      <c r="C274" s="30" t="inlineStr">
        <is>
          <t>Anglo American Capital</t>
        </is>
      </c>
      <c r="D274" s="30" t="n">
        <v>3.375</v>
      </c>
      <c r="E274" s="30" t="inlineStr">
        <is>
          <t>Sr Unsecured</t>
        </is>
      </c>
      <c r="F274" s="30" t="inlineStr">
        <is>
          <t>11.03.2029</t>
        </is>
      </c>
      <c r="G274" s="30" t="inlineStr">
        <is>
          <t>South africa</t>
        </is>
      </c>
      <c r="H274" s="30" t="inlineStr">
        <is>
          <t>Basic Materials</t>
        </is>
      </c>
      <c r="I274" s="30" t="n">
        <v>100</v>
      </c>
      <c r="J274" s="30" t="n">
        <v>95.245</v>
      </c>
      <c r="K274" s="30" t="n">
        <v>4.757451</v>
      </c>
      <c r="L274" s="30" t="n">
        <v>-0.035626</v>
      </c>
      <c r="M274" s="30" t="n">
        <v>-0.271731</v>
      </c>
      <c r="N274" s="30" t="n">
        <v>95.02270368000001</v>
      </c>
      <c r="O274" s="30" t="n">
        <v>3.532667989</v>
      </c>
      <c r="P274" s="30" t="n">
        <v>60</v>
      </c>
      <c r="Q274" s="30" t="inlineStr">
        <is>
          <t xml:space="preserve">Global leading miner </t>
        </is>
      </c>
      <c r="R274" s="30" t="inlineStr">
        <is>
          <t>GBP</t>
        </is>
      </c>
      <c r="S274" s="30" t="inlineStr">
        <is>
          <t>Investment Grade</t>
        </is>
      </c>
      <c r="T274" s="30" t="inlineStr">
        <is>
          <t>BBB</t>
        </is>
      </c>
      <c r="U274" s="30" t="inlineStr">
        <is>
          <t>BBB</t>
        </is>
      </c>
      <c r="V274" s="30" t="n"/>
    </row>
    <row r="275">
      <c r="A275" s="30" t="inlineStr">
        <is>
          <t>USF29416AC23</t>
        </is>
      </c>
      <c r="B275" s="30" t="inlineStr">
        <is>
          <t>Hold</t>
        </is>
      </c>
      <c r="C275" s="30" t="inlineStr">
        <is>
          <t>Electricite De France Sa</t>
        </is>
      </c>
      <c r="D275" s="30" t="n">
        <v>6.25</v>
      </c>
      <c r="E275" s="30" t="inlineStr">
        <is>
          <t>Sr Unsecured</t>
        </is>
      </c>
      <c r="F275" s="30" t="inlineStr">
        <is>
          <t>23.05.2033</t>
        </is>
      </c>
      <c r="G275" s="30" t="inlineStr">
        <is>
          <t>France</t>
        </is>
      </c>
      <c r="H275" s="30" t="inlineStr">
        <is>
          <t>Utilities</t>
        </is>
      </c>
      <c r="I275" s="30" t="n">
        <v>200</v>
      </c>
      <c r="J275" s="30" t="n">
        <v>106.905</v>
      </c>
      <c r="K275" s="30" t="n">
        <v>5.143778</v>
      </c>
      <c r="L275" s="30" t="n">
        <v>-0.022214</v>
      </c>
      <c r="M275" s="30" t="n">
        <v>-0.211465</v>
      </c>
      <c r="N275" s="30" t="n">
        <v>94.53727034000001</v>
      </c>
      <c r="O275" s="30" t="n">
        <v>6.19970573</v>
      </c>
      <c r="P275" s="30" t="n">
        <v>60</v>
      </c>
      <c r="Q275" s="30" t="inlineStr">
        <is>
          <t>French utility company fully owned by the State</t>
        </is>
      </c>
      <c r="R275" s="30" t="inlineStr">
        <is>
          <t>USD</t>
        </is>
      </c>
      <c r="S275" s="30" t="inlineStr">
        <is>
          <t>Investment Grade</t>
        </is>
      </c>
      <c r="T275" s="30" t="inlineStr">
        <is>
          <t>BBB</t>
        </is>
      </c>
      <c r="U275" s="30" t="inlineStr">
        <is>
          <t>BBB</t>
        </is>
      </c>
      <c r="V275" s="30" t="n"/>
    </row>
    <row r="276">
      <c r="A276" s="30" t="inlineStr">
        <is>
          <t>US65339KCQ13</t>
        </is>
      </c>
      <c r="B276" s="30" t="inlineStr">
        <is>
          <t>Hold</t>
        </is>
      </c>
      <c r="C276" s="30" t="inlineStr">
        <is>
          <t>Nextera Energy Capital</t>
        </is>
      </c>
      <c r="D276" s="30" t="n">
        <v>5.25</v>
      </c>
      <c r="E276" s="30" t="inlineStr">
        <is>
          <t>Sr Unsecured</t>
        </is>
      </c>
      <c r="F276" s="30" t="inlineStr">
        <is>
          <t>28.02.2053</t>
        </is>
      </c>
      <c r="G276" s="30" t="inlineStr">
        <is>
          <t>United states</t>
        </is>
      </c>
      <c r="H276" s="30" t="inlineStr">
        <is>
          <t>Utilities</t>
        </is>
      </c>
      <c r="I276" s="30" t="n">
        <v>2</v>
      </c>
      <c r="J276" s="30" t="n">
        <v>92.413</v>
      </c>
      <c r="K276" s="30" t="n">
        <v>5.803827</v>
      </c>
      <c r="L276" s="30" t="n">
        <v>-0.061493</v>
      </c>
      <c r="M276" s="30" t="n">
        <v>-0.173882</v>
      </c>
      <c r="N276" s="30" t="n">
        <v>93.89897324</v>
      </c>
      <c r="O276" s="30" t="n">
        <v>13.61270404</v>
      </c>
      <c r="P276" s="30" t="n">
        <v>50</v>
      </c>
      <c r="Q276" s="30" t="inlineStr">
        <is>
          <t>Develops, constructs, operates and manages wind and solar energy plants</t>
        </is>
      </c>
      <c r="R276" s="30" t="inlineStr">
        <is>
          <t>USD</t>
        </is>
      </c>
      <c r="S276" s="30" t="inlineStr">
        <is>
          <t>Investment Grade</t>
        </is>
      </c>
      <c r="T276" s="30" t="inlineStr">
        <is>
          <t>BBB+</t>
        </is>
      </c>
      <c r="U276" s="30" t="inlineStr">
        <is>
          <t>BBB+</t>
        </is>
      </c>
      <c r="V276" s="30" t="n"/>
    </row>
    <row r="277">
      <c r="A277" s="30" t="inlineStr">
        <is>
          <t>USU85861AA75</t>
        </is>
      </c>
      <c r="B277" s="30" t="inlineStr">
        <is>
          <t>Hold</t>
        </is>
      </c>
      <c r="C277" s="30" t="inlineStr">
        <is>
          <t>Stellantis Fin Us Inc</t>
        </is>
      </c>
      <c r="D277" s="30" t="n">
        <v>1.711</v>
      </c>
      <c r="E277" s="30" t="inlineStr">
        <is>
          <t>Sr Unsecured</t>
        </is>
      </c>
      <c r="F277" s="30" t="inlineStr">
        <is>
          <t>29.01.2027</t>
        </is>
      </c>
      <c r="G277" s="30" t="inlineStr">
        <is>
          <t>United states</t>
        </is>
      </c>
      <c r="H277" s="30" t="inlineStr">
        <is>
          <t>Consumer, Cyclical</t>
        </is>
      </c>
      <c r="I277" s="30" t="n">
        <v>200</v>
      </c>
      <c r="J277" s="30" t="n">
        <v>95.34</v>
      </c>
      <c r="K277" s="30" t="n">
        <v>4.851223</v>
      </c>
      <c r="L277" s="30" t="n">
        <v>0.028022</v>
      </c>
      <c r="M277" s="30" t="n">
        <v>-0.15771</v>
      </c>
      <c r="N277" s="30" t="n">
        <v>93.8164968</v>
      </c>
      <c r="O277" s="30" t="n">
        <v>1.864570363</v>
      </c>
      <c r="P277" s="30" t="n">
        <v>75</v>
      </c>
      <c r="Q277" s="30" t="inlineStr">
        <is>
          <t>Developer and Manufacturer of automotive products</t>
        </is>
      </c>
      <c r="R277" s="30" t="inlineStr">
        <is>
          <t>USD</t>
        </is>
      </c>
      <c r="S277" s="30" t="inlineStr">
        <is>
          <t>Investment Grade</t>
        </is>
      </c>
      <c r="T277" s="30" t="inlineStr">
        <is>
          <t>BBB</t>
        </is>
      </c>
      <c r="U277" s="30" t="inlineStr">
        <is>
          <t>BBB+</t>
        </is>
      </c>
      <c r="V277" s="30" t="n"/>
    </row>
    <row r="278">
      <c r="A278" s="30" t="inlineStr">
        <is>
          <t>XS1975699569</t>
        </is>
      </c>
      <c r="B278" s="30" t="inlineStr">
        <is>
          <t xml:space="preserve">Hold </t>
        </is>
      </c>
      <c r="C278" s="30" t="inlineStr">
        <is>
          <t>Loxam Sas</t>
        </is>
      </c>
      <c r="D278" s="30" t="n">
        <v>2.875</v>
      </c>
      <c r="E278" s="30" t="inlineStr">
        <is>
          <t>1St Lien</t>
        </is>
      </c>
      <c r="F278" s="30" t="inlineStr">
        <is>
          <t>15.04.2026</t>
        </is>
      </c>
      <c r="G278" s="30" t="inlineStr">
        <is>
          <t>France</t>
        </is>
      </c>
      <c r="H278" s="30" t="inlineStr">
        <is>
          <t>Consumer, Non-cyclical</t>
        </is>
      </c>
      <c r="I278" s="30" t="n">
        <v>100</v>
      </c>
      <c r="J278" s="30" t="n">
        <v>99.97499999999999</v>
      </c>
      <c r="K278" s="30" t="n">
        <v>2.931458</v>
      </c>
      <c r="L278" s="30" t="n">
        <v>-0.030127</v>
      </c>
      <c r="M278" s="30" t="n">
        <v>-0.077774</v>
      </c>
      <c r="N278" s="30" t="n">
        <v>93.74641781</v>
      </c>
      <c r="O278" s="30" t="n">
        <v>0.022255376</v>
      </c>
      <c r="P278" s="30" t="n">
        <v>25</v>
      </c>
      <c r="Q278" s="30" t="inlineStr">
        <is>
          <t>EU Leader in rental equipment for the industrial &amp; construction sector</t>
        </is>
      </c>
      <c r="R278" s="30" t="inlineStr">
        <is>
          <t>EUR</t>
        </is>
      </c>
      <c r="S278" s="30" t="inlineStr">
        <is>
          <t>High Yield</t>
        </is>
      </c>
      <c r="T278" s="30" t="inlineStr">
        <is>
          <t>NR</t>
        </is>
      </c>
      <c r="U278" s="30" t="inlineStr">
        <is>
          <t>NR</t>
        </is>
      </c>
      <c r="V278" s="30" t="n"/>
    </row>
    <row r="279">
      <c r="A279" s="30" t="inlineStr">
        <is>
          <t>US29250NBR52</t>
        </is>
      </c>
      <c r="B279" s="30" t="inlineStr">
        <is>
          <t>Top Pick</t>
        </is>
      </c>
      <c r="C279" s="30" t="inlineStr">
        <is>
          <t>Enbridge Inc</t>
        </is>
      </c>
      <c r="D279" s="30" t="n">
        <v>5.7</v>
      </c>
      <c r="E279" s="30" t="inlineStr">
        <is>
          <t>Sr Unsecured</t>
        </is>
      </c>
      <c r="F279" s="30" t="inlineStr">
        <is>
          <t>08.03.2033</t>
        </is>
      </c>
      <c r="G279" s="30" t="inlineStr">
        <is>
          <t>Canada</t>
        </is>
      </c>
      <c r="H279" s="30" t="inlineStr">
        <is>
          <t>Energy</t>
        </is>
      </c>
      <c r="I279" s="30" t="n">
        <v>2</v>
      </c>
      <c r="J279" s="30" t="n">
        <v>103.505</v>
      </c>
      <c r="K279" s="30" t="n">
        <v>5.125732</v>
      </c>
      <c r="L279" s="30" t="n">
        <v>-0.027434</v>
      </c>
      <c r="M279" s="30" t="n">
        <v>-0.184309</v>
      </c>
      <c r="N279" s="30" t="n">
        <v>93.70736239</v>
      </c>
      <c r="O279" s="30" t="n">
        <v>6.09065252</v>
      </c>
      <c r="P279" s="30" t="n">
        <v>60</v>
      </c>
      <c r="Q279" s="30" t="inlineStr">
        <is>
          <t>One of the largest owners of crude oil infrastructure in North America</t>
        </is>
      </c>
      <c r="R279" s="30" t="inlineStr">
        <is>
          <t>USD</t>
        </is>
      </c>
      <c r="S279" s="30" t="inlineStr">
        <is>
          <t>Investment Grade</t>
        </is>
      </c>
      <c r="T279" s="30" t="inlineStr">
        <is>
          <t>BBB+</t>
        </is>
      </c>
      <c r="U279" s="30" t="inlineStr">
        <is>
          <t>BBB+</t>
        </is>
      </c>
      <c r="V279" s="30" t="n"/>
    </row>
    <row r="280">
      <c r="A280" s="30" t="inlineStr">
        <is>
          <t>US03512TAF84</t>
        </is>
      </c>
      <c r="B280" s="30" t="inlineStr">
        <is>
          <t>Top pick</t>
        </is>
      </c>
      <c r="C280" s="30" t="inlineStr">
        <is>
          <t>Anglogold Holdings Plc</t>
        </is>
      </c>
      <c r="D280" s="30" t="n">
        <v>3.375</v>
      </c>
      <c r="E280" s="30" t="inlineStr">
        <is>
          <t>Sr Unsecured</t>
        </is>
      </c>
      <c r="F280" s="30" t="inlineStr">
        <is>
          <t>01.11.2028</t>
        </is>
      </c>
      <c r="G280" s="30" t="inlineStr">
        <is>
          <t>Australia</t>
        </is>
      </c>
      <c r="H280" s="30" t="inlineStr">
        <is>
          <t>Basic Materials</t>
        </is>
      </c>
      <c r="I280" s="30" t="n">
        <v>200</v>
      </c>
      <c r="J280" s="30" t="n">
        <v>95.684</v>
      </c>
      <c r="K280" s="30" t="n">
        <v>4.79766</v>
      </c>
      <c r="L280" s="30" t="n">
        <v>-0.01297</v>
      </c>
      <c r="M280" s="30" t="n">
        <v>-0.200894</v>
      </c>
      <c r="N280" s="30" t="n">
        <v>93.5798568</v>
      </c>
      <c r="O280" s="30" t="n">
        <v>3.368120561</v>
      </c>
      <c r="P280" s="30" t="n">
        <v>10</v>
      </c>
      <c r="Q280" s="30" t="inlineStr">
        <is>
          <t>Provides gold mining and exploration services</t>
        </is>
      </c>
      <c r="R280" s="30" t="inlineStr">
        <is>
          <t>USD</t>
        </is>
      </c>
      <c r="S280" s="30" t="inlineStr">
        <is>
          <t>High Yield</t>
        </is>
      </c>
      <c r="T280" s="30" t="inlineStr">
        <is>
          <t>BB+</t>
        </is>
      </c>
      <c r="U280" s="30" t="inlineStr">
        <is>
          <t>BB+</t>
        </is>
      </c>
      <c r="V280" s="30" t="n"/>
    </row>
    <row r="281">
      <c r="A281" s="30" t="inlineStr">
        <is>
          <t>US404119CQ00</t>
        </is>
      </c>
      <c r="B281" s="30" t="inlineStr">
        <is>
          <t>Top Pick</t>
        </is>
      </c>
      <c r="C281" s="30" t="inlineStr">
        <is>
          <t>Hca Inc</t>
        </is>
      </c>
      <c r="D281" s="30" t="n">
        <v>5.5</v>
      </c>
      <c r="E281" s="30" t="inlineStr">
        <is>
          <t>Sr Unsecured</t>
        </is>
      </c>
      <c r="F281" s="30" t="inlineStr">
        <is>
          <t>01.06.2033</t>
        </is>
      </c>
      <c r="G281" s="30" t="inlineStr">
        <is>
          <t>United states</t>
        </is>
      </c>
      <c r="H281" s="30" t="inlineStr">
        <is>
          <t>Consumer, Non-cyclical</t>
        </is>
      </c>
      <c r="I281" s="30" t="n">
        <v>2</v>
      </c>
      <c r="J281" s="30" t="n">
        <v>102.209</v>
      </c>
      <c r="K281" s="30" t="n">
        <v>5.146952</v>
      </c>
      <c r="L281" s="30" t="n">
        <v>-0.029103</v>
      </c>
      <c r="M281" s="30" t="n">
        <v>-0.170904</v>
      </c>
      <c r="N281" s="30" t="n">
        <v>93.40163862</v>
      </c>
      <c r="O281" s="30" t="n">
        <v>6.498631652</v>
      </c>
      <c r="P281" s="30" t="n">
        <v>60</v>
      </c>
      <c r="Q281" s="30" t="inlineStr">
        <is>
          <t>Provides health care services</t>
        </is>
      </c>
      <c r="R281" s="30" t="inlineStr">
        <is>
          <t>USD</t>
        </is>
      </c>
      <c r="S281" s="30" t="inlineStr">
        <is>
          <t>Investment Grade</t>
        </is>
      </c>
      <c r="T281" s="30" t="inlineStr">
        <is>
          <t>BBB-</t>
        </is>
      </c>
      <c r="U281" s="30" t="inlineStr">
        <is>
          <t>BBB-</t>
        </is>
      </c>
      <c r="V281" s="30" t="n"/>
    </row>
    <row r="282">
      <c r="A282" s="30" t="inlineStr">
        <is>
          <t>XS2677631355</t>
        </is>
      </c>
      <c r="B282" s="30" t="inlineStr">
        <is>
          <t xml:space="preserve">Hold </t>
        </is>
      </c>
      <c r="C282" s="30" t="inlineStr">
        <is>
          <t>Dp World Crescent Ltd</t>
        </is>
      </c>
      <c r="D282" s="30" t="n">
        <v>5.5</v>
      </c>
      <c r="E282" s="30" t="inlineStr">
        <is>
          <t>Sr Unsecured</t>
        </is>
      </c>
      <c r="F282" s="30" t="inlineStr">
        <is>
          <t>13.09.2033</t>
        </is>
      </c>
      <c r="G282" s="30" t="inlineStr">
        <is>
          <t>U.A.E</t>
        </is>
      </c>
      <c r="H282" s="30" t="inlineStr">
        <is>
          <t>Consumer, Non-cyclical</t>
        </is>
      </c>
      <c r="I282" s="30" t="n">
        <v>200</v>
      </c>
      <c r="J282" s="30" t="n">
        <v>102.125</v>
      </c>
      <c r="K282" s="30" t="n">
        <v>5.169621</v>
      </c>
      <c r="L282" s="30" t="n">
        <v>-0.059417</v>
      </c>
      <c r="M282" s="30" t="n">
        <v>-0.220766</v>
      </c>
      <c r="N282" s="30" t="n">
        <v>93.2513096</v>
      </c>
      <c r="O282" s="30" t="n">
        <v>6.586621028</v>
      </c>
      <c r="P282" s="30" t="n">
        <v>60</v>
      </c>
      <c r="Q282" s="30" t="inlineStr">
        <is>
          <t>Dubai fully state-owned port operator</t>
        </is>
      </c>
      <c r="R282" s="30" t="inlineStr">
        <is>
          <t>USD</t>
        </is>
      </c>
      <c r="S282" s="30" t="inlineStr">
        <is>
          <t>Investment Grade</t>
        </is>
      </c>
      <c r="T282" s="30" t="inlineStr">
        <is>
          <t>BBB</t>
        </is>
      </c>
      <c r="U282" s="30" t="inlineStr">
        <is>
          <t>BBB</t>
        </is>
      </c>
      <c r="V282" s="30" t="n"/>
    </row>
    <row r="283">
      <c r="A283" s="30" t="inlineStr">
        <is>
          <t>FR001400G6Y4</t>
        </is>
      </c>
      <c r="B283" s="30" t="inlineStr">
        <is>
          <t>Hold</t>
        </is>
      </c>
      <c r="C283" s="30" t="inlineStr">
        <is>
          <t>Bpce Sa</t>
        </is>
      </c>
      <c r="D283" s="30" t="n">
        <v>4.625</v>
      </c>
      <c r="E283" s="30" t="inlineStr">
        <is>
          <t>Sr Non Preferred</t>
        </is>
      </c>
      <c r="F283" s="30" t="inlineStr">
        <is>
          <t>02.03.2030</t>
        </is>
      </c>
      <c r="G283" s="30" t="inlineStr">
        <is>
          <t>France</t>
        </is>
      </c>
      <c r="H283" s="30" t="inlineStr">
        <is>
          <t>Financial</t>
        </is>
      </c>
      <c r="I283" s="30" t="n">
        <v>100</v>
      </c>
      <c r="J283" s="30" t="n">
        <v>105.917</v>
      </c>
      <c r="K283" s="30" t="n">
        <v>2.887753</v>
      </c>
      <c r="L283" s="30" t="n">
        <v>-0.071316</v>
      </c>
      <c r="M283" s="30" t="n">
        <v>-0.111815</v>
      </c>
      <c r="N283" s="30" t="n">
        <v>93.12453902</v>
      </c>
      <c r="O283" s="30" t="n">
        <v>3.497522089</v>
      </c>
      <c r="P283" s="30" t="n">
        <v>60</v>
      </c>
      <c r="Q283" s="30" t="inlineStr">
        <is>
          <t>One of the largest French retail banks</t>
        </is>
      </c>
      <c r="R283" s="30" t="inlineStr">
        <is>
          <t>EUR</t>
        </is>
      </c>
      <c r="S283" s="30" t="inlineStr">
        <is>
          <t>Investment Grade</t>
        </is>
      </c>
      <c r="T283" s="30" t="inlineStr">
        <is>
          <t>BBB+</t>
        </is>
      </c>
      <c r="U283" s="30" t="inlineStr">
        <is>
          <t>BBB+</t>
        </is>
      </c>
      <c r="V283" s="30" t="n"/>
    </row>
    <row r="284">
      <c r="A284" s="30" t="inlineStr">
        <is>
          <t>XS2473721210</t>
        </is>
      </c>
      <c r="B284" s="30" t="inlineStr">
        <is>
          <t>Top Pick</t>
        </is>
      </c>
      <c r="C284" s="30" t="inlineStr">
        <is>
          <t>Goldman Sachs Group Inc</t>
        </is>
      </c>
      <c r="D284" s="30" t="n">
        <v>3.625</v>
      </c>
      <c r="E284" s="30" t="inlineStr">
        <is>
          <t>Sr Unsecured</t>
        </is>
      </c>
      <c r="F284" s="30" t="inlineStr">
        <is>
          <t>29.10.2029</t>
        </is>
      </c>
      <c r="G284" s="30" t="inlineStr">
        <is>
          <t>United states</t>
        </is>
      </c>
      <c r="H284" s="30" t="inlineStr">
        <is>
          <t>Financial</t>
        </is>
      </c>
      <c r="I284" s="30" t="n">
        <v>1</v>
      </c>
      <c r="J284" s="30" t="n">
        <v>97.164</v>
      </c>
      <c r="K284" s="30" t="n">
        <v>4.512357</v>
      </c>
      <c r="L284" s="30" t="n">
        <v>-0.03679</v>
      </c>
      <c r="M284" s="30" t="n">
        <v>-0.28756</v>
      </c>
      <c r="N284" s="30" t="n">
        <v>93.09242342</v>
      </c>
      <c r="O284" s="30" t="n">
        <v>3.3025531</v>
      </c>
      <c r="P284" s="30" t="n">
        <v>85</v>
      </c>
      <c r="Q284" s="30" t="inlineStr">
        <is>
          <t>One of the largest US investment banks</t>
        </is>
      </c>
      <c r="R284" s="30" t="inlineStr">
        <is>
          <t>GBP</t>
        </is>
      </c>
      <c r="S284" s="30" t="inlineStr">
        <is>
          <t>Investment Grade</t>
        </is>
      </c>
      <c r="T284" s="30" t="inlineStr">
        <is>
          <t>A-</t>
        </is>
      </c>
      <c r="U284" s="30" t="inlineStr">
        <is>
          <t>A-</t>
        </is>
      </c>
      <c r="V284" s="30" t="n"/>
    </row>
    <row r="285">
      <c r="A285" s="30" t="inlineStr">
        <is>
          <t>AT0000A34CN3</t>
        </is>
      </c>
      <c r="B285" s="30" t="inlineStr">
        <is>
          <t>Hold</t>
        </is>
      </c>
      <c r="C285" s="30" t="inlineStr">
        <is>
          <t>Banca Comerciala Romana</t>
        </is>
      </c>
      <c r="D285" s="30" t="n">
        <v>7.625</v>
      </c>
      <c r="E285" s="30" t="inlineStr">
        <is>
          <t>Sr Non Preferred</t>
        </is>
      </c>
      <c r="F285" s="30" t="inlineStr">
        <is>
          <t>19.05.2027</t>
        </is>
      </c>
      <c r="G285" s="30" t="inlineStr">
        <is>
          <t>Romania</t>
        </is>
      </c>
      <c r="H285" s="30" t="inlineStr">
        <is>
          <t>Financial</t>
        </is>
      </c>
      <c r="I285" s="30" t="n">
        <v>100</v>
      </c>
      <c r="J285" s="30" t="n">
        <v>104.114</v>
      </c>
      <c r="K285" s="30" t="n">
        <v>2.703378</v>
      </c>
      <c r="L285" s="30" t="n">
        <v>-0.229468</v>
      </c>
      <c r="M285" s="30" t="n">
        <v>-0.530425</v>
      </c>
      <c r="N285" s="30" t="n">
        <v>92.30132733000001</v>
      </c>
      <c r="O285" s="30" t="n">
        <v>1.125914875</v>
      </c>
      <c r="P285" s="30" t="n">
        <v>60</v>
      </c>
      <c r="Q285" s="30" t="inlineStr">
        <is>
          <t>Largest bank in Romania</t>
        </is>
      </c>
      <c r="R285" s="30" t="inlineStr">
        <is>
          <t>EUR</t>
        </is>
      </c>
      <c r="S285" s="30" t="inlineStr">
        <is>
          <t>Investment Grade</t>
        </is>
      </c>
      <c r="T285" s="30" t="inlineStr">
        <is>
          <t>BBB</t>
        </is>
      </c>
      <c r="U285" s="30" t="inlineStr">
        <is>
          <t>BBB</t>
        </is>
      </c>
      <c r="V285" s="30" t="n"/>
    </row>
    <row r="286">
      <c r="A286" s="30" t="inlineStr">
        <is>
          <t>CH1142754311</t>
        </is>
      </c>
      <c r="B286" s="30" t="inlineStr">
        <is>
          <t>Hold</t>
        </is>
      </c>
      <c r="C286" s="30" t="inlineStr">
        <is>
          <t>Ubs Group Ag</t>
        </is>
      </c>
      <c r="D286" s="30" t="n">
        <v>2.125</v>
      </c>
      <c r="E286" s="30" t="inlineStr">
        <is>
          <t>Sr Unsecured</t>
        </is>
      </c>
      <c r="F286" s="30" t="inlineStr">
        <is>
          <t>15.11.2029</t>
        </is>
      </c>
      <c r="G286" s="30" t="inlineStr">
        <is>
          <t>Switzerland</t>
        </is>
      </c>
      <c r="H286" s="30" t="inlineStr">
        <is>
          <t>Financial</t>
        </is>
      </c>
      <c r="I286" s="30" t="n">
        <v>100</v>
      </c>
      <c r="J286" s="30" t="n">
        <v>92.601</v>
      </c>
      <c r="K286" s="30" t="n">
        <v>4.500251</v>
      </c>
      <c r="L286" s="30" t="n">
        <v>-0.069616</v>
      </c>
      <c r="M286" s="30" t="n">
        <v>-0.329414</v>
      </c>
      <c r="N286" s="30" t="n">
        <v>91.88204256</v>
      </c>
      <c r="O286" s="30" t="n">
        <v>3.422089866</v>
      </c>
      <c r="P286" s="30" t="n">
        <v>60</v>
      </c>
      <c r="Q286" s="30" t="inlineStr">
        <is>
          <t>Largest bank in Switzerland</t>
        </is>
      </c>
      <c r="R286" s="30" t="inlineStr">
        <is>
          <t>GBP</t>
        </is>
      </c>
      <c r="S286" s="30" t="inlineStr">
        <is>
          <t>Investment Grade</t>
        </is>
      </c>
      <c r="T286" s="30" t="inlineStr">
        <is>
          <t>A-</t>
        </is>
      </c>
      <c r="U286" s="30" t="inlineStr">
        <is>
          <t>A-</t>
        </is>
      </c>
      <c r="V286" s="30" t="n"/>
    </row>
    <row r="287">
      <c r="A287" s="30" t="inlineStr">
        <is>
          <t>XS2589367528</t>
        </is>
      </c>
      <c r="B287" s="30" t="inlineStr">
        <is>
          <t xml:space="preserve">Hold </t>
        </is>
      </c>
      <c r="C287" s="30" t="inlineStr">
        <is>
          <t>Bat Netherlands Finance</t>
        </is>
      </c>
      <c r="D287" s="30" t="n">
        <v>5.375</v>
      </c>
      <c r="E287" s="30" t="inlineStr">
        <is>
          <t>Sr Unsecured</t>
        </is>
      </c>
      <c r="F287" s="30" t="inlineStr">
        <is>
          <t>16.02.2031</t>
        </is>
      </c>
      <c r="G287" s="30" t="inlineStr">
        <is>
          <t>United Kingdom</t>
        </is>
      </c>
      <c r="H287" s="30" t="inlineStr">
        <is>
          <t>Consumer, Non-cyclical</t>
        </is>
      </c>
      <c r="I287" s="30" t="n">
        <v>100</v>
      </c>
      <c r="J287" s="30" t="n">
        <v>110.13</v>
      </c>
      <c r="K287" s="30" t="n">
        <v>3.279439</v>
      </c>
      <c r="L287" s="30" t="n">
        <v>-0.074585</v>
      </c>
      <c r="M287" s="30" t="n">
        <v>-0.10624</v>
      </c>
      <c r="N287" s="30" t="n">
        <v>91.71131269999999</v>
      </c>
      <c r="O287" s="30" t="n">
        <v>4.93039923</v>
      </c>
      <c r="P287" s="30" t="n">
        <v>60</v>
      </c>
      <c r="Q287" s="30" t="inlineStr">
        <is>
          <t>Tobacco company</t>
        </is>
      </c>
      <c r="R287" s="30" t="inlineStr">
        <is>
          <t>EUR</t>
        </is>
      </c>
      <c r="S287" s="30" t="inlineStr">
        <is>
          <t>Investment Grade</t>
        </is>
      </c>
      <c r="T287" s="30" t="inlineStr">
        <is>
          <t>BBB+</t>
        </is>
      </c>
      <c r="U287" s="30" t="inlineStr">
        <is>
          <t>BBB+</t>
        </is>
      </c>
      <c r="V287" s="30" t="n"/>
    </row>
    <row r="288">
      <c r="A288" s="30" t="inlineStr">
        <is>
          <t>XS2026710553</t>
        </is>
      </c>
      <c r="B288" s="30" t="inlineStr">
        <is>
          <t xml:space="preserve">Hold </t>
        </is>
      </c>
      <c r="C288" s="30" t="inlineStr">
        <is>
          <t>Dp World Crescent Ltd</t>
        </is>
      </c>
      <c r="D288" s="30" t="n">
        <v>3.875</v>
      </c>
      <c r="E288" s="30" t="inlineStr">
        <is>
          <t>Sr Unsecured</t>
        </is>
      </c>
      <c r="F288" s="30" t="inlineStr">
        <is>
          <t>18.07.2029</t>
        </is>
      </c>
      <c r="G288" s="30" t="inlineStr">
        <is>
          <t>U.A.E</t>
        </is>
      </c>
      <c r="H288" s="30" t="inlineStr">
        <is>
          <t>Consumer, Non-cyclical</t>
        </is>
      </c>
      <c r="I288" s="30" t="n">
        <v>200</v>
      </c>
      <c r="J288" s="30" t="n">
        <v>96.64</v>
      </c>
      <c r="K288" s="30" t="n">
        <v>4.802716</v>
      </c>
      <c r="L288" s="30" t="n">
        <v>-0.014335</v>
      </c>
      <c r="M288" s="30" t="n">
        <v>-0.163361</v>
      </c>
      <c r="N288" s="30" t="n">
        <v>91.36227744999999</v>
      </c>
      <c r="O288" s="30" t="n">
        <v>3.959072433</v>
      </c>
      <c r="P288" s="30" t="n">
        <v>60</v>
      </c>
      <c r="Q288" s="30" t="inlineStr">
        <is>
          <t>Dubai fully state-owned port operator</t>
        </is>
      </c>
      <c r="R288" s="30" t="inlineStr">
        <is>
          <t>USD</t>
        </is>
      </c>
      <c r="S288" s="30" t="inlineStr">
        <is>
          <t>Investment Grade</t>
        </is>
      </c>
      <c r="T288" s="30" t="inlineStr">
        <is>
          <t>BBB</t>
        </is>
      </c>
      <c r="U288" s="30" t="inlineStr">
        <is>
          <t>BBB</t>
        </is>
      </c>
      <c r="V288" s="30" t="n"/>
    </row>
    <row r="289">
      <c r="A289" s="30" t="inlineStr">
        <is>
          <t>XS1480022315</t>
        </is>
      </c>
      <c r="B289" s="30" t="inlineStr">
        <is>
          <t>Hold</t>
        </is>
      </c>
      <c r="C289" s="30" t="inlineStr">
        <is>
          <t>Intercontinental Hotels</t>
        </is>
      </c>
      <c r="D289" s="30" t="n">
        <v>2.125</v>
      </c>
      <c r="E289" s="30" t="inlineStr">
        <is>
          <t>Sr Unsecured</t>
        </is>
      </c>
      <c r="F289" s="30" t="inlineStr">
        <is>
          <t>24.08.2026</t>
        </is>
      </c>
      <c r="G289" s="30" t="inlineStr">
        <is>
          <t>United Kingdom</t>
        </is>
      </c>
      <c r="H289" s="30" t="inlineStr">
        <is>
          <t>Consumer, Cyclical</t>
        </is>
      </c>
      <c r="I289" s="30" t="n">
        <v>100</v>
      </c>
      <c r="J289" s="30" t="n">
        <v>97.17</v>
      </c>
      <c r="K289" s="30" t="n">
        <v>4.706049</v>
      </c>
      <c r="L289" s="30" t="n">
        <v>-0.028304</v>
      </c>
      <c r="M289" s="30" t="n">
        <v>-0.26806</v>
      </c>
      <c r="N289" s="30" t="n">
        <v>91.16539177</v>
      </c>
      <c r="O289" s="30" t="n">
        <v>1.405808569</v>
      </c>
      <c r="P289" s="30" t="n">
        <v>60</v>
      </c>
      <c r="Q289" s="30" t="inlineStr">
        <is>
          <t>Operates managed and franchised hotels</t>
        </is>
      </c>
      <c r="R289" s="30" t="inlineStr">
        <is>
          <t>GBP</t>
        </is>
      </c>
      <c r="S289" s="30" t="inlineStr">
        <is>
          <t>Investment Grade</t>
        </is>
      </c>
      <c r="T289" s="30" t="inlineStr">
        <is>
          <t>NR</t>
        </is>
      </c>
      <c r="U289" s="30" t="inlineStr">
        <is>
          <t>NR</t>
        </is>
      </c>
      <c r="V289" s="30" t="n"/>
    </row>
    <row r="290">
      <c r="A290" s="30" t="inlineStr">
        <is>
          <t>XS2270576619</t>
        </is>
      </c>
      <c r="B290" s="30" t="inlineStr">
        <is>
          <t>Hold</t>
        </is>
      </c>
      <c r="C290" s="30" t="inlineStr">
        <is>
          <t>Kingdom Of Morocco</t>
        </is>
      </c>
      <c r="D290" s="30" t="n">
        <v>2.375</v>
      </c>
      <c r="E290" s="30" t="inlineStr">
        <is>
          <t>Sr Unsecured</t>
        </is>
      </c>
      <c r="F290" s="30" t="inlineStr">
        <is>
          <t>15.12.2027</t>
        </is>
      </c>
      <c r="G290" s="30" t="inlineStr">
        <is>
          <t>Morocco</t>
        </is>
      </c>
      <c r="H290" s="30" t="inlineStr">
        <is>
          <t>Government</t>
        </is>
      </c>
      <c r="I290" s="30" t="n">
        <v>200</v>
      </c>
      <c r="J290" s="30" t="n">
        <v>94.599</v>
      </c>
      <c r="K290" s="30" t="n">
        <v>4.750654</v>
      </c>
      <c r="L290" s="30" t="n">
        <v>-0.077001</v>
      </c>
      <c r="M290" s="30" t="n">
        <v>-0.281594</v>
      </c>
      <c r="N290" s="30" t="n">
        <v>91.04857603000001</v>
      </c>
      <c r="O290" s="30" t="n">
        <v>2.645648895</v>
      </c>
      <c r="P290" s="30" t="n">
        <v>25</v>
      </c>
      <c r="Q290" s="30" t="inlineStr">
        <is>
          <t>Kingdom Of Morocco</t>
        </is>
      </c>
      <c r="R290" s="30" t="inlineStr">
        <is>
          <t>USD</t>
        </is>
      </c>
      <c r="S290" s="30" t="inlineStr">
        <is>
          <t>High Yield</t>
        </is>
      </c>
      <c r="T290" s="30" t="inlineStr">
        <is>
          <t>BB+</t>
        </is>
      </c>
      <c r="U290" s="30" t="inlineStr">
        <is>
          <t>BB+</t>
        </is>
      </c>
      <c r="V290" s="30" t="n"/>
    </row>
    <row r="291">
      <c r="A291" s="30" t="inlineStr">
        <is>
          <t>US29390XAA28</t>
        </is>
      </c>
      <c r="B291" s="30" t="inlineStr">
        <is>
          <t xml:space="preserve">Hold </t>
        </is>
      </c>
      <c r="C291" s="30" t="inlineStr">
        <is>
          <t>Equinix Eu 2 Financing C</t>
        </is>
      </c>
      <c r="D291" s="30" t="n">
        <v>5.5</v>
      </c>
      <c r="E291" s="30" t="inlineStr">
        <is>
          <t>Sr Unsecured</t>
        </is>
      </c>
      <c r="F291" s="30" t="inlineStr">
        <is>
          <t>15.06.2034</t>
        </is>
      </c>
      <c r="G291" s="30" t="inlineStr">
        <is>
          <t>United states</t>
        </is>
      </c>
      <c r="H291" s="30" t="inlineStr">
        <is>
          <t>Financial</t>
        </is>
      </c>
      <c r="I291" s="30" t="n">
        <v>2</v>
      </c>
      <c r="J291" s="30" t="n">
        <v>102.078</v>
      </c>
      <c r="K291" s="30" t="n">
        <v>5.199821</v>
      </c>
      <c r="L291" s="30" t="n">
        <v>-0.012521</v>
      </c>
      <c r="M291" s="30" t="n">
        <v>-0.070871</v>
      </c>
      <c r="N291" s="30" t="n">
        <v>90.92003213</v>
      </c>
      <c r="O291" s="30" t="n">
        <v>7.009717754</v>
      </c>
      <c r="P291" s="30" t="n">
        <v>60</v>
      </c>
      <c r="Q291" s="30" t="inlineStr">
        <is>
          <t>Owns and operates data centres</t>
        </is>
      </c>
      <c r="R291" s="30" t="inlineStr">
        <is>
          <t>USD</t>
        </is>
      </c>
      <c r="S291" s="30" t="inlineStr">
        <is>
          <t>Investment Grade</t>
        </is>
      </c>
      <c r="T291" s="30" t="inlineStr">
        <is>
          <t>BBB</t>
        </is>
      </c>
      <c r="U291" s="30" t="inlineStr">
        <is>
          <t>BBB</t>
        </is>
      </c>
      <c r="V291" s="30" t="n"/>
    </row>
    <row r="292">
      <c r="A292" s="30" t="inlineStr">
        <is>
          <t>US45434M2C57</t>
        </is>
      </c>
      <c r="B292" s="30" t="inlineStr">
        <is>
          <t xml:space="preserve">Hold </t>
        </is>
      </c>
      <c r="C292" s="30" t="inlineStr">
        <is>
          <t>Indian Railway Finance</t>
        </is>
      </c>
      <c r="D292" s="30" t="n">
        <v>2.8</v>
      </c>
      <c r="E292" s="30" t="inlineStr">
        <is>
          <t>Sr Unsecured</t>
        </is>
      </c>
      <c r="F292" s="30" t="inlineStr">
        <is>
          <t>10.02.2031</t>
        </is>
      </c>
      <c r="G292" s="30" t="inlineStr">
        <is>
          <t>India</t>
        </is>
      </c>
      <c r="H292" s="30" t="inlineStr">
        <is>
          <t>Industrial</t>
        </is>
      </c>
      <c r="I292" s="30" t="n">
        <v>200</v>
      </c>
      <c r="J292" s="30" t="n">
        <v>89.776</v>
      </c>
      <c r="K292" s="30" t="n">
        <v>4.913635</v>
      </c>
      <c r="L292" s="30" t="n">
        <v>0.066983</v>
      </c>
      <c r="M292" s="30" t="n">
        <v>-0.101424</v>
      </c>
      <c r="N292" s="30" t="n">
        <v>90.86465738</v>
      </c>
      <c r="O292" s="30" t="n">
        <v>5.35295399</v>
      </c>
      <c r="P292" s="30" t="n">
        <v>85</v>
      </c>
      <c r="Q292" s="30" t="inlineStr">
        <is>
          <t>Provides rail transportation, catering and tourism services, majority state-owned</t>
        </is>
      </c>
      <c r="R292" s="30" t="inlineStr">
        <is>
          <t>USD</t>
        </is>
      </c>
      <c r="S292" s="30" t="inlineStr">
        <is>
          <t>Investment Grade</t>
        </is>
      </c>
      <c r="T292" s="30" t="inlineStr">
        <is>
          <t>BBB-</t>
        </is>
      </c>
      <c r="U292" s="30" t="inlineStr">
        <is>
          <t>BBB-</t>
        </is>
      </c>
      <c r="V292" s="30" t="n"/>
    </row>
    <row r="293">
      <c r="A293" s="30" t="inlineStr">
        <is>
          <t>USP2253TJQ33</t>
        </is>
      </c>
      <c r="B293" s="30" t="inlineStr">
        <is>
          <t xml:space="preserve">Hold </t>
        </is>
      </c>
      <c r="C293" s="30" t="inlineStr">
        <is>
          <t>Cemex Sab De Cv</t>
        </is>
      </c>
      <c r="D293" s="30" t="n">
        <v>5.2</v>
      </c>
      <c r="E293" s="30" t="inlineStr">
        <is>
          <t>Sr Unsecured</t>
        </is>
      </c>
      <c r="F293" s="30" t="inlineStr">
        <is>
          <t>17.09.2030</t>
        </is>
      </c>
      <c r="G293" s="30" t="inlineStr">
        <is>
          <t>Mexico</t>
        </is>
      </c>
      <c r="H293" s="30" t="inlineStr">
        <is>
          <t>Industrial</t>
        </is>
      </c>
      <c r="I293" s="30" t="n">
        <v>200</v>
      </c>
      <c r="J293" s="30" t="n">
        <v>99.69799999999999</v>
      </c>
      <c r="K293" s="30" t="n">
        <v>5.265349</v>
      </c>
      <c r="L293" s="30" t="n">
        <v>-0.052975</v>
      </c>
      <c r="M293" s="30" t="n">
        <v>-0.149474</v>
      </c>
      <c r="N293" s="30" t="n">
        <v>90.86202846</v>
      </c>
      <c r="O293" s="30" t="n">
        <v>4.649284849</v>
      </c>
      <c r="P293" s="30" t="n">
        <v>15</v>
      </c>
      <c r="Q293" s="30" t="inlineStr">
        <is>
          <t>Global leading building material suppliers and cement producers</t>
        </is>
      </c>
      <c r="R293" s="30" t="inlineStr">
        <is>
          <t>USD</t>
        </is>
      </c>
      <c r="S293" s="30" t="inlineStr">
        <is>
          <t>Latin America</t>
        </is>
      </c>
      <c r="T293" s="30" t="inlineStr">
        <is>
          <t>BBB-</t>
        </is>
      </c>
      <c r="U293" s="30" t="inlineStr">
        <is>
          <t>BBB-</t>
        </is>
      </c>
      <c r="V293" s="30" t="n"/>
    </row>
    <row r="294">
      <c r="A294" s="30" t="inlineStr">
        <is>
          <t>US23636BBC28</t>
        </is>
      </c>
      <c r="B294" s="30" t="inlineStr">
        <is>
          <t>Top Pick</t>
        </is>
      </c>
      <c r="C294" s="30" t="inlineStr">
        <is>
          <t>Danske Bank A/S</t>
        </is>
      </c>
      <c r="D294" s="30" t="n">
        <v>4.298</v>
      </c>
      <c r="E294" s="30" t="inlineStr">
        <is>
          <t>Sr Non Preferred</t>
        </is>
      </c>
      <c r="F294" s="30" t="inlineStr">
        <is>
          <t>01.04.2028</t>
        </is>
      </c>
      <c r="G294" s="30" t="inlineStr">
        <is>
          <t>Denmark</t>
        </is>
      </c>
      <c r="H294" s="30" t="inlineStr">
        <is>
          <t>Financial</t>
        </is>
      </c>
      <c r="I294" s="30" t="n">
        <v>200</v>
      </c>
      <c r="J294" s="30" t="n">
        <v>99.498</v>
      </c>
      <c r="K294" s="30" t="n">
        <v>4.599713</v>
      </c>
      <c r="L294" s="30" t="n">
        <v>0.042261</v>
      </c>
      <c r="M294" s="30" t="n">
        <v>-0.122952</v>
      </c>
      <c r="N294" s="30" t="n">
        <v>90.55389695</v>
      </c>
      <c r="O294" s="30" t="n">
        <v>1.960309687</v>
      </c>
      <c r="P294" s="30" t="n">
        <v>0</v>
      </c>
      <c r="Q294" s="30" t="inlineStr">
        <is>
          <t xml:space="preserve">German utility company </t>
        </is>
      </c>
      <c r="R294" s="30" t="inlineStr">
        <is>
          <t>USD</t>
        </is>
      </c>
      <c r="S294" s="30" t="inlineStr">
        <is>
          <t>Investment Grade</t>
        </is>
      </c>
      <c r="T294" s="30" t="inlineStr">
        <is>
          <t>A-</t>
        </is>
      </c>
      <c r="U294" s="30" t="inlineStr">
        <is>
          <t>A-</t>
        </is>
      </c>
      <c r="V294" s="30" t="n"/>
    </row>
    <row r="295">
      <c r="A295" s="30" t="inlineStr">
        <is>
          <t>CH1121837244</t>
        </is>
      </c>
      <c r="B295" s="30" t="inlineStr">
        <is>
          <t>Top Pick</t>
        </is>
      </c>
      <c r="C295" s="30" t="inlineStr">
        <is>
          <t>Digital Constellation Bv</t>
        </is>
      </c>
      <c r="D295" s="30" t="n">
        <v>0.55</v>
      </c>
      <c r="E295" s="30" t="inlineStr">
        <is>
          <t>Sr Unsecured</t>
        </is>
      </c>
      <c r="F295" s="30" t="inlineStr">
        <is>
          <t>16.04.2029</t>
        </is>
      </c>
      <c r="G295" s="30" t="inlineStr">
        <is>
          <t>United states</t>
        </is>
      </c>
      <c r="H295" s="30" t="inlineStr">
        <is>
          <t>Financial</t>
        </is>
      </c>
      <c r="I295" s="30" t="n">
        <v>5</v>
      </c>
      <c r="J295" s="30" t="n">
        <v>98.477</v>
      </c>
      <c r="K295" s="30" t="n">
        <v>0.961452</v>
      </c>
      <c r="L295" s="30" t="n">
        <v>0.008802000000000001</v>
      </c>
      <c r="M295" s="30" t="n">
        <v>0.165809</v>
      </c>
      <c r="N295" s="30" t="n">
        <v>90.36542616</v>
      </c>
      <c r="O295" s="30" t="n">
        <v>4.04306356</v>
      </c>
      <c r="P295" s="30" t="n">
        <v>85</v>
      </c>
      <c r="Q295" s="30" t="inlineStr">
        <is>
          <t xml:space="preserve">Owns and opeates data centres </t>
        </is>
      </c>
      <c r="R295" s="30" t="inlineStr">
        <is>
          <t>CHF</t>
        </is>
      </c>
      <c r="S295" s="30" t="inlineStr">
        <is>
          <t>Investment Grade</t>
        </is>
      </c>
      <c r="T295" s="30" t="inlineStr">
        <is>
          <t>BBB</t>
        </is>
      </c>
      <c r="U295" s="30" t="inlineStr">
        <is>
          <t>BBB</t>
        </is>
      </c>
      <c r="V295" s="30" t="n"/>
    </row>
    <row r="296">
      <c r="A296" s="30" t="inlineStr">
        <is>
          <t>XS2555187801</t>
        </is>
      </c>
      <c r="B296" s="30" t="inlineStr">
        <is>
          <t>Hold</t>
        </is>
      </c>
      <c r="C296" s="30" t="inlineStr">
        <is>
          <t>Caixabank Sa</t>
        </is>
      </c>
      <c r="D296" s="30" t="n">
        <v>5.375</v>
      </c>
      <c r="E296" s="30" t="inlineStr">
        <is>
          <t>Sr Non Preferred</t>
        </is>
      </c>
      <c r="F296" s="30" t="inlineStr">
        <is>
          <t>14.11.2030</t>
        </is>
      </c>
      <c r="G296" s="30" t="inlineStr">
        <is>
          <t>Spain</t>
        </is>
      </c>
      <c r="H296" s="30" t="inlineStr">
        <is>
          <t>Financial</t>
        </is>
      </c>
      <c r="I296" s="30" t="n">
        <v>100</v>
      </c>
      <c r="J296" s="30" t="n">
        <v>109.852</v>
      </c>
      <c r="K296" s="30" t="n">
        <v>2.92614</v>
      </c>
      <c r="L296" s="30" t="n">
        <v>-0.067235</v>
      </c>
      <c r="M296" s="30" t="n">
        <v>-0.128569</v>
      </c>
      <c r="N296" s="30" t="n">
        <v>90.11259448</v>
      </c>
      <c r="O296" s="30" t="n">
        <v>4.133639551</v>
      </c>
      <c r="P296" s="30" t="n">
        <v>60</v>
      </c>
      <c r="Q296" s="30" t="inlineStr">
        <is>
          <t>One of the largest Spanish banks</t>
        </is>
      </c>
      <c r="R296" s="30" t="inlineStr">
        <is>
          <t>EUR</t>
        </is>
      </c>
      <c r="S296" s="30" t="inlineStr">
        <is>
          <t>Investment Grade</t>
        </is>
      </c>
      <c r="T296" s="30" t="inlineStr">
        <is>
          <t>BBB+</t>
        </is>
      </c>
      <c r="U296" s="30" t="inlineStr">
        <is>
          <t>BBB+</t>
        </is>
      </c>
      <c r="V296" s="30" t="n"/>
    </row>
    <row r="297">
      <c r="A297" s="30" t="inlineStr">
        <is>
          <t>US46647PDU75</t>
        </is>
      </c>
      <c r="B297" s="30" t="inlineStr">
        <is>
          <t>Top Pick</t>
        </is>
      </c>
      <c r="C297" s="30" t="inlineStr">
        <is>
          <t>Jpmorgan Chase &amp; Co</t>
        </is>
      </c>
      <c r="D297" s="30" t="n">
        <v>5.299</v>
      </c>
      <c r="E297" s="30" t="inlineStr">
        <is>
          <t>Sr Unsecured</t>
        </is>
      </c>
      <c r="F297" s="30" t="inlineStr">
        <is>
          <t>24.07.2029</t>
        </is>
      </c>
      <c r="G297" s="30" t="inlineStr">
        <is>
          <t>United states</t>
        </is>
      </c>
      <c r="H297" s="30" t="inlineStr">
        <is>
          <t>Financial</t>
        </is>
      </c>
      <c r="I297" s="30" t="n">
        <v>2</v>
      </c>
      <c r="J297" s="30" t="n">
        <v>102.411</v>
      </c>
      <c r="K297" s="30" t="n">
        <v>4.442713</v>
      </c>
      <c r="L297" s="30" t="n">
        <v>0.039194</v>
      </c>
      <c r="M297" s="30" t="n">
        <v>-0.162147</v>
      </c>
      <c r="N297" s="30" t="n">
        <v>89.93233137</v>
      </c>
      <c r="O297" s="30" t="n">
        <v>3.092345661</v>
      </c>
      <c r="P297" s="30" t="n">
        <v>80</v>
      </c>
      <c r="Q297" s="30" t="inlineStr">
        <is>
          <t xml:space="preserve">The largest US bank </t>
        </is>
      </c>
      <c r="R297" s="30" t="inlineStr">
        <is>
          <t>USD</t>
        </is>
      </c>
      <c r="S297" s="30" t="inlineStr">
        <is>
          <t>Investment Grade</t>
        </is>
      </c>
      <c r="T297" s="30" t="inlineStr">
        <is>
          <t>A+</t>
        </is>
      </c>
      <c r="U297" s="30" t="inlineStr">
        <is>
          <t>A+</t>
        </is>
      </c>
      <c r="V297" s="30" t="n"/>
    </row>
    <row r="298">
      <c r="A298" s="30" t="inlineStr">
        <is>
          <t>XS2592658947</t>
        </is>
      </c>
      <c r="B298" s="30" t="inlineStr">
        <is>
          <t>Hold</t>
        </is>
      </c>
      <c r="C298" s="30" t="inlineStr">
        <is>
          <t>Intesa Sanpaolo Spa</t>
        </is>
      </c>
      <c r="D298" s="30" t="n">
        <v>5.625</v>
      </c>
      <c r="E298" s="30" t="inlineStr">
        <is>
          <t>Sr Non Preferred</t>
        </is>
      </c>
      <c r="F298" s="30" t="inlineStr">
        <is>
          <t>08.03.2033</t>
        </is>
      </c>
      <c r="G298" s="30" t="inlineStr">
        <is>
          <t>Italy</t>
        </is>
      </c>
      <c r="H298" s="30" t="inlineStr">
        <is>
          <t>Financial</t>
        </is>
      </c>
      <c r="I298" s="30" t="n">
        <v>150</v>
      </c>
      <c r="J298" s="30" t="n">
        <v>113.981</v>
      </c>
      <c r="K298" s="30" t="n">
        <v>3.509312</v>
      </c>
      <c r="L298" s="30" t="n">
        <v>-0.086038</v>
      </c>
      <c r="M298" s="30" t="n">
        <v>-0.140409</v>
      </c>
      <c r="N298" s="30" t="n">
        <v>89.90479391</v>
      </c>
      <c r="O298" s="30" t="n">
        <v>6.245335297</v>
      </c>
      <c r="P298" s="30" t="n">
        <v>80</v>
      </c>
      <c r="Q298" s="30" t="inlineStr">
        <is>
          <t>One of the largest Italian banks</t>
        </is>
      </c>
      <c r="R298" s="30" t="inlineStr">
        <is>
          <t>EUR</t>
        </is>
      </c>
      <c r="S298" s="30" t="inlineStr">
        <is>
          <t>Investment Grade</t>
        </is>
      </c>
      <c r="T298" s="30" t="inlineStr">
        <is>
          <t>BBB-</t>
        </is>
      </c>
      <c r="U298" s="30" t="inlineStr">
        <is>
          <t>BBB-</t>
        </is>
      </c>
      <c r="V298" s="30" t="n"/>
    </row>
    <row r="299">
      <c r="A299" s="30" t="inlineStr">
        <is>
          <t>US58013MFW91</t>
        </is>
      </c>
      <c r="B299" s="30" t="inlineStr">
        <is>
          <t>Hold</t>
        </is>
      </c>
      <c r="C299" s="30" t="inlineStr">
        <is>
          <t>Mcdonald'S Corp</t>
        </is>
      </c>
      <c r="D299" s="30" t="n">
        <v>5.45</v>
      </c>
      <c r="E299" s="30" t="inlineStr">
        <is>
          <t>Sr Unsecured</t>
        </is>
      </c>
      <c r="F299" s="30" t="inlineStr">
        <is>
          <t>14.08.2053</t>
        </is>
      </c>
      <c r="G299" s="30" t="inlineStr">
        <is>
          <t>United states</t>
        </is>
      </c>
      <c r="H299" s="30" t="inlineStr">
        <is>
          <t>Consumer, Cyclical</t>
        </is>
      </c>
      <c r="I299" s="30" t="n">
        <v>1</v>
      </c>
      <c r="J299" s="30" t="n">
        <v>95.688</v>
      </c>
      <c r="K299" s="30" t="n">
        <v>5.76113</v>
      </c>
      <c r="L299" s="30" t="n">
        <v>-0.018761</v>
      </c>
      <c r="M299" s="30" t="n">
        <v>-0.029339</v>
      </c>
      <c r="N299" s="30" t="n">
        <v>89.72587269</v>
      </c>
      <c r="O299" s="30" t="n">
        <v>14.14395915</v>
      </c>
      <c r="P299" s="30" t="n">
        <v>85</v>
      </c>
      <c r="Q299" s="30" t="inlineStr">
        <is>
          <t>franchised fast food chain</t>
        </is>
      </c>
      <c r="R299" s="30" t="inlineStr">
        <is>
          <t>USD</t>
        </is>
      </c>
      <c r="S299" s="30" t="inlineStr">
        <is>
          <t>Investment Grade</t>
        </is>
      </c>
      <c r="T299" s="30" t="inlineStr">
        <is>
          <t>BBB+</t>
        </is>
      </c>
      <c r="U299" s="30" t="inlineStr">
        <is>
          <t>BBB+</t>
        </is>
      </c>
      <c r="V299" s="30" t="n"/>
    </row>
    <row r="300">
      <c r="A300" s="30" t="inlineStr">
        <is>
          <t>FR001400H0F5</t>
        </is>
      </c>
      <c r="B300" s="30" t="inlineStr">
        <is>
          <t>Hold</t>
        </is>
      </c>
      <c r="C300" s="30" t="inlineStr">
        <is>
          <t>Nexans Sa</t>
        </is>
      </c>
      <c r="D300" s="30" t="n">
        <v>5.5</v>
      </c>
      <c r="E300" s="30" t="inlineStr">
        <is>
          <t>Sr Unsecured</t>
        </is>
      </c>
      <c r="F300" s="30" t="inlineStr">
        <is>
          <t>05.04.2028</t>
        </is>
      </c>
      <c r="G300" s="30" t="inlineStr">
        <is>
          <t>France</t>
        </is>
      </c>
      <c r="H300" s="30" t="inlineStr">
        <is>
          <t>Industrial</t>
        </is>
      </c>
      <c r="I300" s="30" t="n">
        <v>100</v>
      </c>
      <c r="J300" s="30" t="n">
        <v>106.317</v>
      </c>
      <c r="K300" s="30" t="n">
        <v>2.837142</v>
      </c>
      <c r="L300" s="30" t="n">
        <v>-0.09732300000000001</v>
      </c>
      <c r="M300" s="30" t="n">
        <v>-0.046903</v>
      </c>
      <c r="N300" s="30" t="n">
        <v>89.15177937999999</v>
      </c>
      <c r="O300" s="30" t="n">
        <v>2.526671025</v>
      </c>
      <c r="P300" s="30" t="n">
        <v>15</v>
      </c>
      <c r="Q300" s="30" t="inlineStr">
        <is>
          <t>Manufactures cables</t>
        </is>
      </c>
      <c r="R300" s="30" t="inlineStr">
        <is>
          <t>EUR</t>
        </is>
      </c>
      <c r="S300" s="30" t="inlineStr">
        <is>
          <t>High Yield</t>
        </is>
      </c>
      <c r="T300" s="30" t="inlineStr">
        <is>
          <t>NR</t>
        </is>
      </c>
      <c r="U300" s="30" t="inlineStr">
        <is>
          <t>NR</t>
        </is>
      </c>
      <c r="V300" s="30" t="n"/>
    </row>
    <row r="301">
      <c r="A301" s="30" t="inlineStr">
        <is>
          <t>XS2783118131</t>
        </is>
      </c>
      <c r="B301" s="30" t="inlineStr">
        <is>
          <t>Top Pick</t>
        </is>
      </c>
      <c r="C301" s="30" t="inlineStr">
        <is>
          <t>Easyjet Plc</t>
        </is>
      </c>
      <c r="D301" s="30" t="n">
        <v>3.75</v>
      </c>
      <c r="E301" s="30" t="inlineStr">
        <is>
          <t>Sr Unsecured</t>
        </is>
      </c>
      <c r="F301" s="30" t="inlineStr">
        <is>
          <t>20.03.2031</t>
        </is>
      </c>
      <c r="G301" s="30" t="inlineStr">
        <is>
          <t>United Kingdom</t>
        </is>
      </c>
      <c r="H301" s="30" t="inlineStr">
        <is>
          <t>Consumer, Cyclical</t>
        </is>
      </c>
      <c r="I301" s="30" t="n">
        <v>100</v>
      </c>
      <c r="J301" s="30" t="n">
        <v>102.232</v>
      </c>
      <c r="K301" s="30" t="n">
        <v>3.295058</v>
      </c>
      <c r="L301" s="30" t="n">
        <v>-0.105107</v>
      </c>
      <c r="M301" s="30" t="n">
        <v>-0.044127</v>
      </c>
      <c r="N301" s="30" t="n">
        <v>88.72856217</v>
      </c>
      <c r="O301" s="30" t="n">
        <v>4.991071421</v>
      </c>
      <c r="P301" s="30" t="n">
        <v>60</v>
      </c>
      <c r="Q301" s="30" t="inlineStr">
        <is>
          <t xml:space="preserve">Europe's second largest low cost airline </t>
        </is>
      </c>
      <c r="R301" s="30" t="inlineStr">
        <is>
          <t>EUR</t>
        </is>
      </c>
      <c r="S301" s="30" t="inlineStr">
        <is>
          <t>Investment Grade</t>
        </is>
      </c>
      <c r="T301" s="30" t="inlineStr">
        <is>
          <t>BBB</t>
        </is>
      </c>
      <c r="U301" s="30" t="inlineStr">
        <is>
          <t>BBB</t>
        </is>
      </c>
      <c r="V301" s="30" t="n"/>
    </row>
    <row r="302">
      <c r="A302" s="30" t="inlineStr">
        <is>
          <t>US46647PAV85</t>
        </is>
      </c>
      <c r="B302" s="30" t="inlineStr">
        <is>
          <t>Top Pick</t>
        </is>
      </c>
      <c r="C302" s="30" t="inlineStr">
        <is>
          <t>Jpmorgan Chase &amp; Co</t>
        </is>
      </c>
      <c r="D302" s="30" t="n">
        <v>4.203</v>
      </c>
      <c r="E302" s="30" t="inlineStr">
        <is>
          <t>Sr Unsecured</t>
        </is>
      </c>
      <c r="F302" s="30" t="inlineStr">
        <is>
          <t>23.07.2029</t>
        </is>
      </c>
      <c r="G302" s="30" t="inlineStr">
        <is>
          <t>United states</t>
        </is>
      </c>
      <c r="H302" s="30" t="inlineStr">
        <is>
          <t>Financial</t>
        </is>
      </c>
      <c r="I302" s="30" t="n">
        <v>2</v>
      </c>
      <c r="J302" s="30" t="n">
        <v>99.364</v>
      </c>
      <c r="K302" s="30" t="n">
        <v>4.427992</v>
      </c>
      <c r="L302" s="30" t="n">
        <v>0.023594</v>
      </c>
      <c r="M302" s="30" t="n">
        <v>-0.172065</v>
      </c>
      <c r="N302" s="30" t="n">
        <v>88.65898314</v>
      </c>
      <c r="O302" s="30" t="n">
        <v>3.13503175</v>
      </c>
      <c r="P302" s="30" t="n">
        <v>80</v>
      </c>
      <c r="Q302" s="30" t="inlineStr">
        <is>
          <t xml:space="preserve">The largest US bank </t>
        </is>
      </c>
      <c r="R302" s="30" t="inlineStr">
        <is>
          <t>USD</t>
        </is>
      </c>
      <c r="S302" s="30" t="inlineStr">
        <is>
          <t>Investment Grade</t>
        </is>
      </c>
      <c r="T302" s="30" t="inlineStr">
        <is>
          <t>A+</t>
        </is>
      </c>
      <c r="U302" s="30" t="inlineStr">
        <is>
          <t>A+</t>
        </is>
      </c>
      <c r="V302" s="30" t="n"/>
    </row>
    <row r="303">
      <c r="A303" s="30" t="inlineStr">
        <is>
          <t>XS2382953789</t>
        </is>
      </c>
      <c r="B303" s="30" t="inlineStr">
        <is>
          <t>Top Pick</t>
        </is>
      </c>
      <c r="C303" s="30" t="inlineStr">
        <is>
          <t>Czech Gas Networks Inv</t>
        </is>
      </c>
      <c r="D303" s="30" t="n">
        <v>0.45</v>
      </c>
      <c r="E303" s="30" t="inlineStr">
        <is>
          <t>Sr Unsecured</t>
        </is>
      </c>
      <c r="F303" s="30" t="inlineStr">
        <is>
          <t>08.09.2029</t>
        </is>
      </c>
      <c r="G303" s="30" t="inlineStr">
        <is>
          <t>Czech Republic</t>
        </is>
      </c>
      <c r="H303" s="30" t="inlineStr">
        <is>
          <t>Utilities</t>
        </is>
      </c>
      <c r="I303" s="30" t="n">
        <v>100</v>
      </c>
      <c r="J303" s="30" t="n">
        <v>89.89100000000001</v>
      </c>
      <c r="K303" s="30" t="n">
        <v>3.071207</v>
      </c>
      <c r="L303" s="30" t="n">
        <v>-0.057386</v>
      </c>
      <c r="M303" s="30" t="n">
        <v>-0.100789</v>
      </c>
      <c r="N303" s="30" t="n">
        <v>88.60154781</v>
      </c>
      <c r="O303" s="30" t="n">
        <v>4.353525784</v>
      </c>
      <c r="P303" s="30" t="n">
        <v>60</v>
      </c>
      <c r="Q303" s="30" t="inlineStr">
        <is>
          <t>Owns and operates natural gas distribution networks in Czech Republic</t>
        </is>
      </c>
      <c r="R303" s="30" t="inlineStr">
        <is>
          <t>EUR</t>
        </is>
      </c>
      <c r="S303" s="30" t="inlineStr">
        <is>
          <t>Investment Grade</t>
        </is>
      </c>
      <c r="T303" s="30" t="inlineStr">
        <is>
          <t>BBB+</t>
        </is>
      </c>
      <c r="U303" s="30" t="inlineStr">
        <is>
          <t>BBB+</t>
        </is>
      </c>
      <c r="V303" s="30" t="n"/>
    </row>
    <row r="304">
      <c r="A304" s="30" t="inlineStr">
        <is>
          <t>CH1335850322</t>
        </is>
      </c>
      <c r="B304" s="30" t="inlineStr">
        <is>
          <t>Top Pick</t>
        </is>
      </c>
      <c r="C304" s="30" t="inlineStr">
        <is>
          <t>Equinix Europe Financing</t>
        </is>
      </c>
      <c r="D304" s="30" t="n">
        <v>1.5575</v>
      </c>
      <c r="E304" s="30" t="inlineStr">
        <is>
          <t>Sr Unsecured</t>
        </is>
      </c>
      <c r="F304" s="30" t="inlineStr">
        <is>
          <t>04.09.2029</t>
        </is>
      </c>
      <c r="G304" s="30" t="inlineStr">
        <is>
          <t>United states</t>
        </is>
      </c>
      <c r="H304" s="30" t="inlineStr">
        <is>
          <t>Financial</t>
        </is>
      </c>
      <c r="I304" s="30" t="n">
        <v>5</v>
      </c>
      <c r="J304" s="30" t="n">
        <v>102.244</v>
      </c>
      <c r="K304" s="30" t="n">
        <v>0.968905</v>
      </c>
      <c r="L304" s="30" t="n">
        <v>0.043144</v>
      </c>
      <c r="M304" s="30" t="n">
        <v>0.194412</v>
      </c>
      <c r="N304" s="30" t="n">
        <v>88.35784108</v>
      </c>
      <c r="O304" s="30" t="n">
        <v>4.096987304</v>
      </c>
      <c r="P304" s="30" t="n">
        <v>0</v>
      </c>
      <c r="Q304" s="30" t="inlineStr">
        <is>
          <t xml:space="preserve">Owns and opeates data centres </t>
        </is>
      </c>
      <c r="R304" s="30" t="inlineStr">
        <is>
          <t>CHF</t>
        </is>
      </c>
      <c r="S304" s="30" t="inlineStr">
        <is>
          <t>Investment Grade</t>
        </is>
      </c>
      <c r="T304" s="30" t="inlineStr">
        <is>
          <t>BBB</t>
        </is>
      </c>
      <c r="U304" s="30" t="inlineStr">
        <is>
          <t>BBB</t>
        </is>
      </c>
      <c r="V304" s="30" t="n"/>
    </row>
    <row r="305">
      <c r="A305" s="30" t="inlineStr">
        <is>
          <t>XS1932866079</t>
        </is>
      </c>
      <c r="B305" s="30" t="inlineStr">
        <is>
          <t>Hold</t>
        </is>
      </c>
      <c r="C305" s="30" t="inlineStr">
        <is>
          <t>Oil India Ltd</t>
        </is>
      </c>
      <c r="D305" s="30" t="n">
        <v>5.125</v>
      </c>
      <c r="E305" s="30" t="inlineStr">
        <is>
          <t>Sr Unsecured</t>
        </is>
      </c>
      <c r="F305" s="30" t="inlineStr">
        <is>
          <t>04.02.2029</t>
        </is>
      </c>
      <c r="G305" s="30" t="inlineStr">
        <is>
          <t>India</t>
        </is>
      </c>
      <c r="H305" s="30" t="inlineStr">
        <is>
          <t>Energy</t>
        </is>
      </c>
      <c r="I305" s="30" t="n">
        <v>200</v>
      </c>
      <c r="J305" s="30" t="n">
        <v>101.187</v>
      </c>
      <c r="K305" s="30" t="n">
        <v>4.758219</v>
      </c>
      <c r="L305" s="30" t="n">
        <v>0.111658</v>
      </c>
      <c r="M305" s="30" t="n">
        <v>-0.06916</v>
      </c>
      <c r="N305" s="30" t="n">
        <v>88.28752708</v>
      </c>
      <c r="O305" s="30" t="n">
        <v>3.521456593</v>
      </c>
      <c r="P305" s="30" t="n">
        <v>85</v>
      </c>
      <c r="Q305" s="30" t="inlineStr">
        <is>
          <t xml:space="preserve">Majority state-owned oil and gas company </t>
        </is>
      </c>
      <c r="R305" s="30" t="inlineStr">
        <is>
          <t>USD</t>
        </is>
      </c>
      <c r="S305" s="30" t="inlineStr">
        <is>
          <t>Investment Grade</t>
        </is>
      </c>
      <c r="T305" s="30" t="inlineStr">
        <is>
          <t>BBB-</t>
        </is>
      </c>
      <c r="U305" s="30" t="inlineStr">
        <is>
          <t>BBB-</t>
        </is>
      </c>
      <c r="V305" s="30" t="n"/>
    </row>
    <row r="306">
      <c r="A306" s="30" t="inlineStr">
        <is>
          <t>US459200KZ37</t>
        </is>
      </c>
      <c r="B306" s="30" t="inlineStr">
        <is>
          <t>Hold</t>
        </is>
      </c>
      <c r="C306" s="30" t="inlineStr">
        <is>
          <t>Ibm Corp</t>
        </is>
      </c>
      <c r="D306" s="30" t="n">
        <v>5.1</v>
      </c>
      <c r="E306" s="30" t="inlineStr">
        <is>
          <t>Sr Unsecured</t>
        </is>
      </c>
      <c r="F306" s="30" t="inlineStr">
        <is>
          <t>06.02.2053</t>
        </is>
      </c>
      <c r="G306" s="30" t="inlineStr">
        <is>
          <t>United states</t>
        </is>
      </c>
      <c r="H306" s="30" t="inlineStr">
        <is>
          <t>Technology</t>
        </is>
      </c>
      <c r="I306" s="30" t="n">
        <v>100</v>
      </c>
      <c r="J306" s="30" t="n">
        <v>91.06999999999999</v>
      </c>
      <c r="K306" s="30" t="n">
        <v>5.749056</v>
      </c>
      <c r="L306" s="30" t="n">
        <v>-0.058423</v>
      </c>
      <c r="M306" s="30" t="n">
        <v>-0.102246</v>
      </c>
      <c r="N306" s="30" t="n">
        <v>88.07808554</v>
      </c>
      <c r="O306" s="30" t="n">
        <v>14.1556967</v>
      </c>
      <c r="P306" s="30" t="n">
        <v>80</v>
      </c>
      <c r="Q306" s="30" t="inlineStr">
        <is>
          <t>International Business Machines Corporation (IBM) provides computer solutions</t>
        </is>
      </c>
      <c r="R306" s="30" t="inlineStr">
        <is>
          <t>USD</t>
        </is>
      </c>
      <c r="S306" s="30" t="inlineStr">
        <is>
          <t>Investment Grade</t>
        </is>
      </c>
      <c r="T306" s="30" t="inlineStr">
        <is>
          <t>A-</t>
        </is>
      </c>
      <c r="U306" s="30" t="inlineStr">
        <is>
          <t>A-</t>
        </is>
      </c>
      <c r="V306" s="30" t="n"/>
    </row>
    <row r="307">
      <c r="A307" s="30" t="inlineStr">
        <is>
          <t>US45434M2A91</t>
        </is>
      </c>
      <c r="B307" s="30" t="inlineStr">
        <is>
          <t xml:space="preserve">Hold </t>
        </is>
      </c>
      <c r="C307" s="30" t="inlineStr">
        <is>
          <t>Indian Railway Finance</t>
        </is>
      </c>
      <c r="D307" s="30" t="n">
        <v>3.249</v>
      </c>
      <c r="E307" s="30" t="inlineStr">
        <is>
          <t>Sr Unsecured</t>
        </is>
      </c>
      <c r="F307" s="30" t="inlineStr">
        <is>
          <t>13.02.2030</t>
        </is>
      </c>
      <c r="G307" s="30" t="inlineStr">
        <is>
          <t>India</t>
        </is>
      </c>
      <c r="H307" s="30" t="inlineStr">
        <is>
          <t>Industrial</t>
        </is>
      </c>
      <c r="I307" s="30" t="n">
        <v>200</v>
      </c>
      <c r="J307" s="30" t="n">
        <v>93.67400000000001</v>
      </c>
      <c r="K307" s="30" t="n">
        <v>4.798018</v>
      </c>
      <c r="L307" s="30" t="n">
        <v>0.065621</v>
      </c>
      <c r="M307" s="30" t="n">
        <v>-0.16059</v>
      </c>
      <c r="N307" s="30" t="n">
        <v>88.00553523000001</v>
      </c>
      <c r="O307" s="30" t="n">
        <v>4.497135173</v>
      </c>
      <c r="P307" s="30" t="n">
        <v>85</v>
      </c>
      <c r="Q307" s="30" t="inlineStr">
        <is>
          <t>largest utility company in Mumbai</t>
        </is>
      </c>
      <c r="R307" s="30" t="inlineStr">
        <is>
          <t>USD</t>
        </is>
      </c>
      <c r="S307" s="30" t="inlineStr">
        <is>
          <t>Investment Grade</t>
        </is>
      </c>
      <c r="T307" s="30" t="inlineStr">
        <is>
          <t>BBB-</t>
        </is>
      </c>
      <c r="U307" s="30" t="inlineStr">
        <is>
          <t>BBB-</t>
        </is>
      </c>
      <c r="V307" s="30" t="n"/>
    </row>
    <row r="308">
      <c r="A308" s="30" t="inlineStr">
        <is>
          <t>FR001400M6M1</t>
        </is>
      </c>
      <c r="B308" s="30" t="inlineStr">
        <is>
          <t xml:space="preserve">Not accumulate </t>
        </is>
      </c>
      <c r="C308" s="30" t="inlineStr">
        <is>
          <t>Kering</t>
        </is>
      </c>
      <c r="D308" s="30" t="n">
        <v>5.125</v>
      </c>
      <c r="E308" s="30" t="inlineStr">
        <is>
          <t>Sr Unsecured</t>
        </is>
      </c>
      <c r="F308" s="30" t="inlineStr">
        <is>
          <t>23.11.2026</t>
        </is>
      </c>
      <c r="G308" s="30" t="inlineStr">
        <is>
          <t>France</t>
        </is>
      </c>
      <c r="H308" s="30" t="inlineStr">
        <is>
          <t>Consumer, Cyclical</t>
        </is>
      </c>
      <c r="I308" s="30" t="n">
        <v>100</v>
      </c>
      <c r="J308" s="30" t="n">
        <v>100.477</v>
      </c>
      <c r="K308" s="30" t="n">
        <v>4.665349</v>
      </c>
      <c r="L308" s="30" t="n">
        <v>-0.059555</v>
      </c>
      <c r="M308" s="30" t="n">
        <v>-0.135389</v>
      </c>
      <c r="N308" s="30" t="n">
        <v>87.92689727</v>
      </c>
      <c r="O308" s="30" t="n">
        <v>1.544745506</v>
      </c>
      <c r="P308" s="30" t="n">
        <v>75</v>
      </c>
      <c r="Q308" s="30" t="inlineStr">
        <is>
          <t>Designs, manufactures, and markets fashion and leather goods</t>
        </is>
      </c>
      <c r="R308" s="30" t="inlineStr">
        <is>
          <t>GBP</t>
        </is>
      </c>
      <c r="S308" s="30" t="inlineStr">
        <is>
          <t>Investment Grade</t>
        </is>
      </c>
      <c r="T308" s="30" t="inlineStr">
        <is>
          <t>NR</t>
        </is>
      </c>
      <c r="U308" s="30" t="inlineStr">
        <is>
          <t>NR</t>
        </is>
      </c>
      <c r="V308" s="30" t="n"/>
    </row>
    <row r="309">
      <c r="A309" s="30" t="inlineStr">
        <is>
          <t>USU37818BC10</t>
        </is>
      </c>
      <c r="B309" s="30" t="inlineStr">
        <is>
          <t>Hold</t>
        </is>
      </c>
      <c r="C309" s="30" t="inlineStr">
        <is>
          <t>Glencore Funding Llc</t>
        </is>
      </c>
      <c r="D309" s="30" t="n">
        <v>2.625</v>
      </c>
      <c r="E309" s="30" t="inlineStr">
        <is>
          <t>Sr Unsecured</t>
        </is>
      </c>
      <c r="F309" s="30" t="inlineStr">
        <is>
          <t>23.09.2031</t>
        </is>
      </c>
      <c r="G309" s="30" t="inlineStr">
        <is>
          <t>Australia</t>
        </is>
      </c>
      <c r="H309" s="30" t="inlineStr">
        <is>
          <t>Basic Materials</t>
        </is>
      </c>
      <c r="I309" s="30" t="n">
        <v>2</v>
      </c>
      <c r="J309" s="30" t="n">
        <v>87.736</v>
      </c>
      <c r="K309" s="30" t="n">
        <v>4.942332</v>
      </c>
      <c r="L309" s="30" t="n">
        <v>-0.001076</v>
      </c>
      <c r="M309" s="30" t="n">
        <v>-0.195454</v>
      </c>
      <c r="N309" s="30" t="n">
        <v>87.82810996000001</v>
      </c>
      <c r="O309" s="30" t="n">
        <v>5.81007586</v>
      </c>
      <c r="P309" s="30" t="n">
        <v>45</v>
      </c>
      <c r="Q309" s="30" t="inlineStr">
        <is>
          <t>Diversified natural resources company</t>
        </is>
      </c>
      <c r="R309" s="30" t="inlineStr">
        <is>
          <t>USD</t>
        </is>
      </c>
      <c r="S309" s="30" t="inlineStr">
        <is>
          <t>Investment Grade</t>
        </is>
      </c>
      <c r="T309" s="30" t="inlineStr">
        <is>
          <t>BBB+</t>
        </is>
      </c>
      <c r="U309" s="30" t="inlineStr">
        <is>
          <t>BBB+</t>
        </is>
      </c>
      <c r="V309" s="30" t="n"/>
    </row>
    <row r="310">
      <c r="A310" s="30" t="inlineStr">
        <is>
          <t>XS2491664137</t>
        </is>
      </c>
      <c r="B310" s="30" t="inlineStr">
        <is>
          <t>Top Pick</t>
        </is>
      </c>
      <c r="C310" s="30" t="inlineStr">
        <is>
          <t>Eurofins Scientific Se</t>
        </is>
      </c>
      <c r="D310" s="30" t="n">
        <v>4</v>
      </c>
      <c r="E310" s="30" t="inlineStr">
        <is>
          <t>Sr Unsecured</t>
        </is>
      </c>
      <c r="F310" s="30" t="inlineStr">
        <is>
          <t>06.07.2029</t>
        </is>
      </c>
      <c r="G310" s="30" t="inlineStr">
        <is>
          <t>Luxembourg</t>
        </is>
      </c>
      <c r="H310" s="30" t="inlineStr">
        <is>
          <t>Consumer, Non-cyclical</t>
        </is>
      </c>
      <c r="I310" s="30" t="n">
        <v>100</v>
      </c>
      <c r="J310" s="30" t="n">
        <v>103.444</v>
      </c>
      <c r="K310" s="30" t="n">
        <v>3.016051</v>
      </c>
      <c r="L310" s="30" t="n">
        <v>-0.114832</v>
      </c>
      <c r="M310" s="30" t="n">
        <v>-0.157999</v>
      </c>
      <c r="N310" s="30" t="n">
        <v>87.66614617</v>
      </c>
      <c r="O310" s="30" t="n">
        <v>3.670173436</v>
      </c>
      <c r="P310" s="30" t="n">
        <v>60</v>
      </c>
      <c r="Q310" s="30" t="inlineStr">
        <is>
          <t>Eurofins Scientific SE offers laboratory safety and purity analysis</t>
        </is>
      </c>
      <c r="R310" s="30" t="inlineStr">
        <is>
          <t>EUR</t>
        </is>
      </c>
      <c r="S310" s="30" t="inlineStr">
        <is>
          <t>Investment Grade</t>
        </is>
      </c>
      <c r="T310" s="30" t="inlineStr">
        <is>
          <t>BBB-</t>
        </is>
      </c>
      <c r="U310" s="30" t="inlineStr">
        <is>
          <t>BBB-</t>
        </is>
      </c>
      <c r="V310" s="30" t="n"/>
    </row>
    <row r="311">
      <c r="A311" s="30" t="inlineStr">
        <is>
          <t>CH1376931577</t>
        </is>
      </c>
      <c r="B311" s="30" t="inlineStr">
        <is>
          <t>Top pick</t>
        </is>
      </c>
      <c r="C311" s="30" t="inlineStr">
        <is>
          <t>Mcdonald'S Corp</t>
        </is>
      </c>
      <c r="D311" s="30" t="n">
        <v>1.3</v>
      </c>
      <c r="E311" s="30" t="inlineStr">
        <is>
          <t>Sr Unsecured</t>
        </is>
      </c>
      <c r="F311" s="30" t="inlineStr">
        <is>
          <t>26.11.2032</t>
        </is>
      </c>
      <c r="G311" s="30" t="inlineStr">
        <is>
          <t>United states</t>
        </is>
      </c>
      <c r="H311" s="30" t="inlineStr">
        <is>
          <t>Consumer, Cyclical</t>
        </is>
      </c>
      <c r="I311" s="30" t="n">
        <v>5</v>
      </c>
      <c r="J311" s="30" t="n">
        <v>100.964</v>
      </c>
      <c r="K311" s="30" t="n">
        <v>1.15837</v>
      </c>
      <c r="L311" s="30" t="n">
        <v>0.030146</v>
      </c>
      <c r="M311" s="30" t="n">
        <v>0.192672</v>
      </c>
      <c r="N311" s="30" t="n">
        <v>87.51455113999999</v>
      </c>
      <c r="O311" s="30" t="n">
        <v>7.093188852</v>
      </c>
      <c r="P311" s="30" t="n">
        <v>0</v>
      </c>
      <c r="Q311" s="30" t="inlineStr">
        <is>
          <t>franchised fast food chain</t>
        </is>
      </c>
      <c r="R311" s="30" t="inlineStr">
        <is>
          <t>CHF</t>
        </is>
      </c>
      <c r="S311" s="30" t="inlineStr">
        <is>
          <t>Investment Grade</t>
        </is>
      </c>
      <c r="T311" s="30" t="inlineStr">
        <is>
          <t>BBB+</t>
        </is>
      </c>
      <c r="U311" s="30" t="inlineStr">
        <is>
          <t>BBB+</t>
        </is>
      </c>
      <c r="V311" s="30" t="n"/>
    </row>
    <row r="312">
      <c r="A312" s="30" t="inlineStr">
        <is>
          <t>DE000A3MQS72</t>
        </is>
      </c>
      <c r="B312" s="30" t="inlineStr">
        <is>
          <t>Top Pick</t>
        </is>
      </c>
      <c r="C312" s="30" t="inlineStr">
        <is>
          <t>Vonovia Se</t>
        </is>
      </c>
      <c r="D312" s="30" t="n">
        <v>2.375</v>
      </c>
      <c r="E312" s="30" t="inlineStr">
        <is>
          <t>Sr Unsecured</t>
        </is>
      </c>
      <c r="F312" s="30" t="inlineStr">
        <is>
          <t>25.03.2032</t>
        </is>
      </c>
      <c r="G312" s="30" t="inlineStr">
        <is>
          <t>Germany</t>
        </is>
      </c>
      <c r="H312" s="30" t="inlineStr">
        <is>
          <t>Financial</t>
        </is>
      </c>
      <c r="I312" s="30" t="n">
        <v>100</v>
      </c>
      <c r="J312" s="30" t="n">
        <v>93.86499999999999</v>
      </c>
      <c r="K312" s="30" t="n">
        <v>3.410408</v>
      </c>
      <c r="L312" s="30" t="n">
        <v>-0.0298</v>
      </c>
      <c r="M312" s="30" t="n">
        <v>-0.014627</v>
      </c>
      <c r="N312" s="30" t="n">
        <v>87.46129058</v>
      </c>
      <c r="O312" s="30" t="n">
        <v>6.216285626</v>
      </c>
      <c r="P312" s="30" t="n">
        <v>0</v>
      </c>
      <c r="Q312" s="30" t="inlineStr">
        <is>
          <t xml:space="preserve">Germany's largest residential real estate owner </t>
        </is>
      </c>
      <c r="R312" s="30" t="inlineStr">
        <is>
          <t>EUR</t>
        </is>
      </c>
      <c r="S312" s="30" t="inlineStr">
        <is>
          <t>Investment Grade</t>
        </is>
      </c>
      <c r="T312" s="30" t="inlineStr">
        <is>
          <t>BBB+</t>
        </is>
      </c>
      <c r="U312" s="30" t="inlineStr">
        <is>
          <t>BBB+</t>
        </is>
      </c>
      <c r="V312" s="30" t="n"/>
    </row>
    <row r="313">
      <c r="A313" s="30" t="inlineStr">
        <is>
          <t>XS2847641961</t>
        </is>
      </c>
      <c r="B313" s="30" t="inlineStr">
        <is>
          <t>Top Pick</t>
        </is>
      </c>
      <c r="C313" s="30" t="inlineStr">
        <is>
          <t>Pirelli &amp; C Spa</t>
        </is>
      </c>
      <c r="D313" s="30" t="n">
        <v>3.875</v>
      </c>
      <c r="E313" s="30" t="inlineStr">
        <is>
          <t>Sr Unsecured</t>
        </is>
      </c>
      <c r="F313" s="30" t="inlineStr">
        <is>
          <t>02.07.2029</t>
        </is>
      </c>
      <c r="G313" s="30" t="inlineStr">
        <is>
          <t>Italy</t>
        </is>
      </c>
      <c r="H313" s="30" t="inlineStr">
        <is>
          <t>Consumer, Cyclical</t>
        </is>
      </c>
      <c r="I313" s="30" t="n">
        <v>100</v>
      </c>
      <c r="J313" s="30" t="n">
        <v>103.031</v>
      </c>
      <c r="K313" s="30" t="n">
        <v>3.006774</v>
      </c>
      <c r="L313" s="30" t="n">
        <v>-0.018538</v>
      </c>
      <c r="M313" s="30" t="n">
        <v>-0.086716</v>
      </c>
      <c r="N313" s="30" t="n">
        <v>86.68560506999999</v>
      </c>
      <c r="O313" s="30" t="n">
        <v>3.668326491</v>
      </c>
      <c r="P313" s="30" t="n">
        <v>85</v>
      </c>
      <c r="Q313" s="30" t="inlineStr">
        <is>
          <t>Designs, produces and sells tires for cars, motorcycles and bicycles</t>
        </is>
      </c>
      <c r="R313" s="30" t="inlineStr">
        <is>
          <t>EUR</t>
        </is>
      </c>
      <c r="S313" s="30" t="inlineStr">
        <is>
          <t>Investment Grade</t>
        </is>
      </c>
      <c r="T313" s="30" t="inlineStr">
        <is>
          <t>BBB-</t>
        </is>
      </c>
      <c r="U313" s="30" t="inlineStr">
        <is>
          <t>BBB-</t>
        </is>
      </c>
      <c r="V313" s="30" t="n"/>
    </row>
    <row r="314">
      <c r="A314" s="30" t="inlineStr">
        <is>
          <t>US88167AAE10</t>
        </is>
      </c>
      <c r="B314" s="30" t="inlineStr">
        <is>
          <t>Hold</t>
        </is>
      </c>
      <c r="C314" s="30" t="inlineStr">
        <is>
          <t>Teva Pharmaceuticals Ne</t>
        </is>
      </c>
      <c r="D314" s="30" t="n">
        <v>3.15</v>
      </c>
      <c r="E314" s="30" t="inlineStr">
        <is>
          <t>Sr Unsecured</t>
        </is>
      </c>
      <c r="F314" s="30" t="inlineStr">
        <is>
          <t>01.10.2026</t>
        </is>
      </c>
      <c r="G314" s="30" t="inlineStr">
        <is>
          <t>Israel</t>
        </is>
      </c>
      <c r="H314" s="30" t="inlineStr">
        <is>
          <t>Consumer, Non-cyclical</t>
        </is>
      </c>
      <c r="I314" s="30" t="n">
        <v>2</v>
      </c>
      <c r="J314" s="30" t="n">
        <v>98.008</v>
      </c>
      <c r="K314" s="30" t="n">
        <v>4.832911</v>
      </c>
      <c r="L314" s="30" t="n">
        <v>-0.019692</v>
      </c>
      <c r="M314" s="30" t="n">
        <v>-0.192442</v>
      </c>
      <c r="N314" s="30" t="n">
        <v>86.63485962</v>
      </c>
      <c r="O314" s="30" t="n">
        <v>1.525752841</v>
      </c>
      <c r="P314" s="30" t="n">
        <v>25</v>
      </c>
      <c r="Q314" s="30" t="inlineStr">
        <is>
          <t>Largest manufacturer of pharmaceutical generics</t>
        </is>
      </c>
      <c r="R314" s="30" t="inlineStr">
        <is>
          <t>USD</t>
        </is>
      </c>
      <c r="S314" s="30" t="inlineStr">
        <is>
          <t>High Yield</t>
        </is>
      </c>
      <c r="T314" s="30" t="inlineStr">
        <is>
          <t>BB</t>
        </is>
      </c>
      <c r="U314" s="30" t="inlineStr">
        <is>
          <t>BB</t>
        </is>
      </c>
      <c r="V314" s="30" t="n"/>
    </row>
    <row r="315">
      <c r="A315" s="30" t="inlineStr">
        <is>
          <t>USF2893TAP15</t>
        </is>
      </c>
      <c r="B315" s="30" t="inlineStr">
        <is>
          <t>Hold</t>
        </is>
      </c>
      <c r="C315" s="30" t="inlineStr">
        <is>
          <t>Electricite De France Sa</t>
        </is>
      </c>
      <c r="D315" s="30" t="n">
        <v>4.75</v>
      </c>
      <c r="E315" s="30" t="inlineStr">
        <is>
          <t>Sr Unsecured</t>
        </is>
      </c>
      <c r="F315" s="30" t="inlineStr">
        <is>
          <t>13.10.2035</t>
        </is>
      </c>
      <c r="G315" s="30" t="inlineStr">
        <is>
          <t>France</t>
        </is>
      </c>
      <c r="H315" s="30" t="inlineStr">
        <is>
          <t>Utilities</t>
        </is>
      </c>
      <c r="I315" s="30" t="n">
        <v>2</v>
      </c>
      <c r="J315" s="30" t="n">
        <v>95.937</v>
      </c>
      <c r="K315" s="30" t="n">
        <v>5.266588</v>
      </c>
      <c r="L315" s="30" t="n">
        <v>-0.065037</v>
      </c>
      <c r="M315" s="30" t="n">
        <v>-0.165118</v>
      </c>
      <c r="N315" s="30" t="n">
        <v>86.50237878999999</v>
      </c>
      <c r="O315" s="30" t="n">
        <v>7.994569517</v>
      </c>
      <c r="P315" s="30" t="n">
        <v>50</v>
      </c>
      <c r="Q315" s="30" t="inlineStr">
        <is>
          <t>French utility company fully owned by the State</t>
        </is>
      </c>
      <c r="R315" s="30" t="inlineStr">
        <is>
          <t>USD</t>
        </is>
      </c>
      <c r="S315" s="30" t="inlineStr">
        <is>
          <t>Investment Grade</t>
        </is>
      </c>
      <c r="T315" s="30" t="inlineStr">
        <is>
          <t>BBB</t>
        </is>
      </c>
      <c r="U315" s="30" t="inlineStr">
        <is>
          <t>BBB</t>
        </is>
      </c>
      <c r="V315" s="30" t="n"/>
    </row>
    <row r="316">
      <c r="A316" s="30" t="inlineStr">
        <is>
          <t>XS1997070781</t>
        </is>
      </c>
      <c r="B316" s="30" t="inlineStr">
        <is>
          <t>Hold</t>
        </is>
      </c>
      <c r="C316" s="30" t="inlineStr">
        <is>
          <t>Orsted A/S</t>
        </is>
      </c>
      <c r="D316" s="30" t="n">
        <v>2.125</v>
      </c>
      <c r="E316" s="30" t="inlineStr">
        <is>
          <t>Sr Unsecured</t>
        </is>
      </c>
      <c r="F316" s="30" t="inlineStr">
        <is>
          <t>17.05.2027</t>
        </is>
      </c>
      <c r="G316" s="30" t="inlineStr">
        <is>
          <t>Denmark</t>
        </is>
      </c>
      <c r="H316" s="30" t="inlineStr">
        <is>
          <t>Utilities</t>
        </is>
      </c>
      <c r="I316" s="30" t="n">
        <v>100</v>
      </c>
      <c r="J316" s="30" t="n">
        <v>95.636</v>
      </c>
      <c r="K316" s="30" t="n">
        <v>4.578528</v>
      </c>
      <c r="L316" s="30" t="n">
        <v>-0.013421</v>
      </c>
      <c r="M316" s="30" t="n">
        <v>-0.264512</v>
      </c>
      <c r="N316" s="30" t="n">
        <v>86.22148989999999</v>
      </c>
      <c r="O316" s="30" t="n">
        <v>2.058488196</v>
      </c>
      <c r="P316" s="30" t="n">
        <v>60</v>
      </c>
      <c r="Q316" s="30" t="inlineStr">
        <is>
          <t>Danish utility company operating offshore wind farm</t>
        </is>
      </c>
      <c r="R316" s="30" t="inlineStr">
        <is>
          <t>GBP</t>
        </is>
      </c>
      <c r="S316" s="30" t="inlineStr">
        <is>
          <t>Investment Grade</t>
        </is>
      </c>
      <c r="T316" s="30" t="inlineStr">
        <is>
          <t>BBB</t>
        </is>
      </c>
      <c r="U316" s="30" t="inlineStr">
        <is>
          <t>BBB</t>
        </is>
      </c>
      <c r="V316" s="30" t="n"/>
    </row>
    <row r="317">
      <c r="A317" s="30" t="inlineStr">
        <is>
          <t>US103304BU40</t>
        </is>
      </c>
      <c r="B317" s="30" t="inlineStr">
        <is>
          <t>Hold</t>
        </is>
      </c>
      <c r="C317" s="30" t="inlineStr">
        <is>
          <t>Boyd Gaming Corp</t>
        </is>
      </c>
      <c r="D317" s="30" t="n">
        <v>4.75</v>
      </c>
      <c r="E317" s="30" t="inlineStr">
        <is>
          <t>Sr Unsecured</t>
        </is>
      </c>
      <c r="F317" s="30" t="inlineStr">
        <is>
          <t>01.12.2027</t>
        </is>
      </c>
      <c r="G317" s="30" t="inlineStr">
        <is>
          <t>United states</t>
        </is>
      </c>
      <c r="H317" s="30" t="inlineStr">
        <is>
          <t>Consumer, Cyclical</t>
        </is>
      </c>
      <c r="I317" s="30" t="n">
        <v>2</v>
      </c>
      <c r="J317" s="30" t="n">
        <v>99.273</v>
      </c>
      <c r="K317" s="30" t="n">
        <v>5.073738</v>
      </c>
      <c r="L317" s="30" t="n">
        <v>-0.031763</v>
      </c>
      <c r="M317" s="30" t="n">
        <v>-0.173058</v>
      </c>
      <c r="N317" s="30" t="n">
        <v>85.89950777999999</v>
      </c>
      <c r="O317" s="30" t="n">
        <v>2.54006775</v>
      </c>
      <c r="P317" s="30" t="n">
        <v>25</v>
      </c>
      <c r="Q317" s="30" t="inlineStr">
        <is>
          <t>A casino entertainment</t>
        </is>
      </c>
      <c r="R317" s="30" t="inlineStr">
        <is>
          <t>USD</t>
        </is>
      </c>
      <c r="S317" s="30" t="inlineStr">
        <is>
          <t>High Yield</t>
        </is>
      </c>
      <c r="T317" s="30" t="inlineStr">
        <is>
          <t>BB-</t>
        </is>
      </c>
      <c r="U317" s="30" t="inlineStr">
        <is>
          <t>BB-</t>
        </is>
      </c>
      <c r="V317" s="30" t="n"/>
    </row>
    <row r="318">
      <c r="A318" s="30" t="inlineStr">
        <is>
          <t>US71647NAS80</t>
        </is>
      </c>
      <c r="B318" s="30" t="inlineStr">
        <is>
          <t xml:space="preserve">Hold </t>
        </is>
      </c>
      <c r="C318" s="30" t="inlineStr">
        <is>
          <t>Petrobras Global Finance</t>
        </is>
      </c>
      <c r="D318" s="30" t="n">
        <v>7.375</v>
      </c>
      <c r="E318" s="30" t="inlineStr">
        <is>
          <t>Sr Unsecured</t>
        </is>
      </c>
      <c r="F318" s="30" t="inlineStr">
        <is>
          <t>17.01.2027</t>
        </is>
      </c>
      <c r="G318" s="30" t="inlineStr">
        <is>
          <t>Brazil</t>
        </is>
      </c>
      <c r="H318" s="30" t="inlineStr">
        <is>
          <t>Energy</t>
        </is>
      </c>
      <c r="I318" s="30" t="n">
        <v>2</v>
      </c>
      <c r="J318" s="30" t="n">
        <v>103.769</v>
      </c>
      <c r="K318" s="30" t="n">
        <v>4.78148</v>
      </c>
      <c r="L318" s="30" t="n">
        <v>-0.033787</v>
      </c>
      <c r="M318" s="30" t="n">
        <v>-0.214192</v>
      </c>
      <c r="N318" s="30" t="n">
        <v>85.75406630000001</v>
      </c>
      <c r="O318" s="30" t="n">
        <v>1.758021173</v>
      </c>
      <c r="P318" s="30" t="n">
        <v>25</v>
      </c>
      <c r="Q318" s="30" t="inlineStr">
        <is>
          <t>Largest oil company in Latin America</t>
        </is>
      </c>
      <c r="R318" s="30" t="inlineStr">
        <is>
          <t>USD</t>
        </is>
      </c>
      <c r="S318" s="30" t="inlineStr">
        <is>
          <t>Latin America</t>
        </is>
      </c>
      <c r="T318" s="30" t="inlineStr">
        <is>
          <t>BB</t>
        </is>
      </c>
      <c r="U318" s="30" t="inlineStr">
        <is>
          <t>BB</t>
        </is>
      </c>
      <c r="V318" s="30" t="n"/>
    </row>
    <row r="319">
      <c r="A319" s="30" t="inlineStr">
        <is>
          <t>FR001400WKF1</t>
        </is>
      </c>
      <c r="B319" s="30" t="inlineStr">
        <is>
          <t xml:space="preserve">Hold </t>
        </is>
      </c>
      <c r="C319" s="30" t="inlineStr">
        <is>
          <t>Bpce Sa</t>
        </is>
      </c>
      <c r="D319" s="30" t="n">
        <v>5.25</v>
      </c>
      <c r="E319" s="30" t="inlineStr">
        <is>
          <t>Sr Non Preferred</t>
        </is>
      </c>
      <c r="F319" s="30" t="inlineStr">
        <is>
          <t>22.10.2030</t>
        </is>
      </c>
      <c r="G319" s="30" t="inlineStr">
        <is>
          <t>France</t>
        </is>
      </c>
      <c r="H319" s="30" t="inlineStr">
        <is>
          <t>Financial</t>
        </is>
      </c>
      <c r="I319" s="30" t="n">
        <v>100</v>
      </c>
      <c r="J319" s="30" t="n">
        <v>100.969</v>
      </c>
      <c r="K319" s="30" t="n">
        <v>4.932605</v>
      </c>
      <c r="L319" s="30" t="n">
        <v>-0.019525</v>
      </c>
      <c r="M319" s="30" t="n">
        <v>-0.231277</v>
      </c>
      <c r="N319" s="30" t="n">
        <v>85.65730548000001</v>
      </c>
      <c r="O319" s="30" t="n">
        <v>4.775032305</v>
      </c>
      <c r="P319" s="30" t="n">
        <v>0</v>
      </c>
      <c r="Q319" s="30" t="inlineStr">
        <is>
          <t>One of the largest French retail banks</t>
        </is>
      </c>
      <c r="R319" s="30" t="inlineStr">
        <is>
          <t>GBP</t>
        </is>
      </c>
      <c r="S319" s="30" t="inlineStr">
        <is>
          <t>Investment Grade</t>
        </is>
      </c>
      <c r="T319" s="30" t="inlineStr">
        <is>
          <t>BBB+</t>
        </is>
      </c>
      <c r="U319" s="30" t="inlineStr">
        <is>
          <t>BBB+</t>
        </is>
      </c>
      <c r="V319" s="30" t="n"/>
    </row>
    <row r="320">
      <c r="A320" s="30" t="inlineStr">
        <is>
          <t>FR0013447166</t>
        </is>
      </c>
      <c r="B320" s="30" t="inlineStr">
        <is>
          <t xml:space="preserve">Hold </t>
        </is>
      </c>
      <c r="C320" s="30" t="inlineStr">
        <is>
          <t>Stellantis Nv</t>
        </is>
      </c>
      <c r="D320" s="30" t="n">
        <v>1.125</v>
      </c>
      <c r="E320" s="30" t="inlineStr">
        <is>
          <t>Sr Unsecured</t>
        </is>
      </c>
      <c r="F320" s="30" t="inlineStr">
        <is>
          <t>18.09.2029</t>
        </is>
      </c>
      <c r="G320" s="30" t="inlineStr">
        <is>
          <t>United states</t>
        </is>
      </c>
      <c r="H320" s="30" t="inlineStr">
        <is>
          <t>Consumer, Cyclical</t>
        </is>
      </c>
      <c r="I320" s="30" t="n">
        <v>100</v>
      </c>
      <c r="J320" s="30" t="n">
        <v>92.55</v>
      </c>
      <c r="K320" s="30" t="n">
        <v>3.043062</v>
      </c>
      <c r="L320" s="30" t="n">
        <v>-0.236628</v>
      </c>
      <c r="M320" s="30" t="n">
        <v>-0.242258</v>
      </c>
      <c r="N320" s="30" t="n">
        <v>85.61636615</v>
      </c>
      <c r="O320" s="30" t="n">
        <v>4.31761989</v>
      </c>
      <c r="P320" s="30" t="n">
        <v>60</v>
      </c>
      <c r="Q320" s="30" t="inlineStr">
        <is>
          <t>One of the world's largest auto maker</t>
        </is>
      </c>
      <c r="R320" s="30" t="inlineStr">
        <is>
          <t>EUR</t>
        </is>
      </c>
      <c r="S320" s="30" t="inlineStr">
        <is>
          <t>Investment Grade</t>
        </is>
      </c>
      <c r="T320" s="30" t="inlineStr">
        <is>
          <t>BBB</t>
        </is>
      </c>
      <c r="U320" s="30" t="inlineStr">
        <is>
          <t>BBB+</t>
        </is>
      </c>
      <c r="V320" s="30" t="n"/>
    </row>
    <row r="321">
      <c r="A321" s="30" t="inlineStr">
        <is>
          <t>USU09513JX89</t>
        </is>
      </c>
      <c r="B321" s="30" t="inlineStr">
        <is>
          <t>Hold</t>
        </is>
      </c>
      <c r="C321" s="30" t="inlineStr">
        <is>
          <t>Bmw Us Capital Llc</t>
        </is>
      </c>
      <c r="D321" s="30" t="n">
        <v>5.15</v>
      </c>
      <c r="E321" s="30" t="inlineStr">
        <is>
          <t>Sr Unsecured</t>
        </is>
      </c>
      <c r="F321" s="30" t="inlineStr">
        <is>
          <t>02.04.2034</t>
        </is>
      </c>
      <c r="G321" s="30" t="inlineStr">
        <is>
          <t>Germany</t>
        </is>
      </c>
      <c r="H321" s="30" t="inlineStr">
        <is>
          <t>Consumer, Cyclical</t>
        </is>
      </c>
      <c r="I321" s="30" t="n">
        <v>2</v>
      </c>
      <c r="J321" s="30" t="n">
        <v>100.093</v>
      </c>
      <c r="K321" s="30" t="n">
        <v>5.135485</v>
      </c>
      <c r="L321" s="30" t="n">
        <v>-0.01613</v>
      </c>
      <c r="M321" s="30" t="n">
        <v>-0.159306</v>
      </c>
      <c r="N321" s="30" t="n">
        <v>85.13604955</v>
      </c>
      <c r="O321" s="30" t="n">
        <v>7.050941761</v>
      </c>
      <c r="P321" s="30" t="n">
        <v>80</v>
      </c>
      <c r="Q321" s="30" t="inlineStr">
        <is>
          <t>European car manufacturer focused entirely on the premium segment</t>
        </is>
      </c>
      <c r="R321" s="30" t="inlineStr">
        <is>
          <t>USD</t>
        </is>
      </c>
      <c r="S321" s="30" t="inlineStr">
        <is>
          <t>Investment Grade</t>
        </is>
      </c>
      <c r="T321" s="30" t="inlineStr">
        <is>
          <t>A</t>
        </is>
      </c>
      <c r="U321" s="30" t="inlineStr">
        <is>
          <t>A</t>
        </is>
      </c>
      <c r="V321" s="30" t="n"/>
    </row>
    <row r="322">
      <c r="A322" s="30" t="inlineStr">
        <is>
          <t>US911312CA23</t>
        </is>
      </c>
      <c r="B322" s="30" t="inlineStr">
        <is>
          <t>Hold</t>
        </is>
      </c>
      <c r="C322" s="30" t="inlineStr">
        <is>
          <t>United Parcel Service</t>
        </is>
      </c>
      <c r="D322" s="30" t="n">
        <v>5.05</v>
      </c>
      <c r="E322" s="30" t="inlineStr">
        <is>
          <t>Sr Unsecured</t>
        </is>
      </c>
      <c r="F322" s="30" t="inlineStr">
        <is>
          <t>03.03.2053</t>
        </is>
      </c>
      <c r="G322" s="30" t="inlineStr">
        <is>
          <t>United states</t>
        </is>
      </c>
      <c r="H322" s="30" t="inlineStr">
        <is>
          <t>Industrial</t>
        </is>
      </c>
      <c r="I322" s="30" t="n">
        <v>2</v>
      </c>
      <c r="J322" s="30" t="n">
        <v>90.791</v>
      </c>
      <c r="K322" s="30" t="n">
        <v>5.716163</v>
      </c>
      <c r="L322" s="30" t="n">
        <v>-0.058035</v>
      </c>
      <c r="M322" s="30" t="n">
        <v>-0.133391</v>
      </c>
      <c r="N322" s="30" t="n">
        <v>84.75564133</v>
      </c>
      <c r="O322" s="30" t="n">
        <v>13.99498887</v>
      </c>
      <c r="P322" s="30" t="n">
        <v>60</v>
      </c>
      <c r="Q322" s="30" t="inlineStr">
        <is>
          <t>Delivers packages and documents</t>
        </is>
      </c>
      <c r="R322" s="30" t="inlineStr">
        <is>
          <t>USD</t>
        </is>
      </c>
      <c r="S322" s="30" t="inlineStr">
        <is>
          <t>Investment Grade</t>
        </is>
      </c>
      <c r="T322" s="30" t="inlineStr">
        <is>
          <t>A</t>
        </is>
      </c>
      <c r="U322" s="30" t="inlineStr">
        <is>
          <t>A</t>
        </is>
      </c>
      <c r="V322" s="30" t="n"/>
    </row>
    <row r="323">
      <c r="A323" s="30" t="inlineStr">
        <is>
          <t>US30303M8R66</t>
        </is>
      </c>
      <c r="B323" s="30" t="inlineStr">
        <is>
          <t>Hold</t>
        </is>
      </c>
      <c r="C323" s="30" t="inlineStr">
        <is>
          <t>Meta Platforms Inc</t>
        </is>
      </c>
      <c r="D323" s="30" t="n">
        <v>5.75</v>
      </c>
      <c r="E323" s="30" t="inlineStr">
        <is>
          <t>Sr Unsecured</t>
        </is>
      </c>
      <c r="F323" s="30" t="inlineStr">
        <is>
          <t>15.05.2063</t>
        </is>
      </c>
      <c r="G323" s="30" t="inlineStr">
        <is>
          <t>United states</t>
        </is>
      </c>
      <c r="H323" s="30" t="inlineStr">
        <is>
          <t>Communications</t>
        </is>
      </c>
      <c r="I323" s="30" t="n">
        <v>2</v>
      </c>
      <c r="J323" s="30" t="n">
        <v>100.699</v>
      </c>
      <c r="K323" s="30" t="n">
        <v>5.704058</v>
      </c>
      <c r="L323" s="30" t="n">
        <v>-0.049398</v>
      </c>
      <c r="M323" s="30" t="n">
        <v>-0.074007</v>
      </c>
      <c r="N323" s="30" t="n">
        <v>84.63263584000001</v>
      </c>
      <c r="O323" s="30" t="n">
        <v>15.27341014</v>
      </c>
      <c r="P323" s="30" t="n">
        <v>80</v>
      </c>
      <c r="Q323" s="30" t="inlineStr">
        <is>
          <t>A social technology company</t>
        </is>
      </c>
      <c r="R323" s="30" t="inlineStr">
        <is>
          <t>USD</t>
        </is>
      </c>
      <c r="S323" s="30" t="inlineStr">
        <is>
          <t>Investment Grade</t>
        </is>
      </c>
      <c r="T323" s="30" t="inlineStr">
        <is>
          <t>AA-</t>
        </is>
      </c>
      <c r="U323" s="30" t="inlineStr">
        <is>
          <t>AA-</t>
        </is>
      </c>
      <c r="V323" s="30" t="n"/>
    </row>
    <row r="324">
      <c r="A324" s="30" t="inlineStr">
        <is>
          <t>XS2430704655</t>
        </is>
      </c>
      <c r="B324" s="30" t="inlineStr">
        <is>
          <t>Top Pick</t>
        </is>
      </c>
      <c r="C324" s="30" t="inlineStr">
        <is>
          <t>Lloyds Banking Group Plc</t>
        </is>
      </c>
      <c r="D324" s="30" t="n">
        <v>2</v>
      </c>
      <c r="E324" s="30" t="inlineStr">
        <is>
          <t>Sr Unsecured</t>
        </is>
      </c>
      <c r="F324" s="30" t="inlineStr">
        <is>
          <t>12.04.2028</t>
        </is>
      </c>
      <c r="G324" s="30" t="inlineStr">
        <is>
          <t>United Kingdom</t>
        </is>
      </c>
      <c r="H324" s="30" t="inlineStr">
        <is>
          <t>Financial</t>
        </is>
      </c>
      <c r="I324" s="30" t="n">
        <v>100</v>
      </c>
      <c r="J324" s="30" t="n">
        <v>95.849</v>
      </c>
      <c r="K324" s="30" t="n">
        <v>4.452967</v>
      </c>
      <c r="L324" s="30" t="n">
        <v>-0.065568</v>
      </c>
      <c r="M324" s="30" t="n">
        <v>-0.386125</v>
      </c>
      <c r="N324" s="30" t="n">
        <v>84.42456924</v>
      </c>
      <c r="O324" s="30" t="n">
        <v>1.969184681</v>
      </c>
      <c r="P324" s="30" t="n">
        <v>60</v>
      </c>
      <c r="Q324" s="30" t="inlineStr">
        <is>
          <t>Third largest bank in the UK</t>
        </is>
      </c>
      <c r="R324" s="30" t="inlineStr">
        <is>
          <t>GBP</t>
        </is>
      </c>
      <c r="S324" s="30" t="inlineStr">
        <is>
          <t>Investment Grade</t>
        </is>
      </c>
      <c r="T324" s="30" t="inlineStr">
        <is>
          <t>A-</t>
        </is>
      </c>
      <c r="U324" s="30" t="inlineStr">
        <is>
          <t>A-</t>
        </is>
      </c>
      <c r="V324" s="30" t="n"/>
    </row>
    <row r="325">
      <c r="A325" s="30" t="inlineStr">
        <is>
          <t>XS2721465271</t>
        </is>
      </c>
      <c r="B325" s="30" t="inlineStr">
        <is>
          <t>Hold</t>
        </is>
      </c>
      <c r="C325" s="30" t="inlineStr">
        <is>
          <t>Heidelberg Materials Fin</t>
        </is>
      </c>
      <c r="D325" s="30" t="n">
        <v>4.875</v>
      </c>
      <c r="E325" s="30" t="inlineStr">
        <is>
          <t>Sr Unsecured</t>
        </is>
      </c>
      <c r="F325" s="30" t="inlineStr">
        <is>
          <t>21.11.2033</t>
        </is>
      </c>
      <c r="G325" s="30" t="inlineStr">
        <is>
          <t>Germany</t>
        </is>
      </c>
      <c r="H325" s="30" t="inlineStr">
        <is>
          <t>Industrial</t>
        </is>
      </c>
      <c r="I325" s="30" t="n">
        <v>1</v>
      </c>
      <c r="J325" s="30" t="n">
        <v>109.441</v>
      </c>
      <c r="K325" s="30" t="n">
        <v>3.516876</v>
      </c>
      <c r="L325" s="30" t="n">
        <v>-0.130098</v>
      </c>
      <c r="M325" s="30" t="n">
        <v>-0.016221</v>
      </c>
      <c r="N325" s="30" t="n">
        <v>84.33811961000001</v>
      </c>
      <c r="O325" s="30" t="n">
        <v>6.897864925</v>
      </c>
      <c r="P325" s="30" t="n">
        <v>60</v>
      </c>
      <c r="Q325" s="30" t="inlineStr">
        <is>
          <t>manufactures building materials</t>
        </is>
      </c>
      <c r="R325" s="30" t="inlineStr">
        <is>
          <t>EUR</t>
        </is>
      </c>
      <c r="S325" s="30" t="inlineStr">
        <is>
          <t>Investment Grade</t>
        </is>
      </c>
      <c r="T325" s="30" t="inlineStr">
        <is>
          <t>BBB</t>
        </is>
      </c>
      <c r="U325" s="30" t="inlineStr">
        <is>
          <t>BBB</t>
        </is>
      </c>
      <c r="V325" s="30" t="n"/>
    </row>
    <row r="326">
      <c r="A326" s="30" t="inlineStr">
        <is>
          <t>XS2583743047</t>
        </is>
      </c>
      <c r="B326" s="30" t="inlineStr">
        <is>
          <t>Hold</t>
        </is>
      </c>
      <c r="C326" s="30" t="inlineStr">
        <is>
          <t>Ibm Corp</t>
        </is>
      </c>
      <c r="D326" s="30" t="n">
        <v>4.875</v>
      </c>
      <c r="E326" s="30" t="inlineStr">
        <is>
          <t>Sr Unsecured</t>
        </is>
      </c>
      <c r="F326" s="30" t="inlineStr">
        <is>
          <t>06.02.2038</t>
        </is>
      </c>
      <c r="G326" s="30" t="inlineStr">
        <is>
          <t>United states</t>
        </is>
      </c>
      <c r="H326" s="30" t="inlineStr">
        <is>
          <t>Technology</t>
        </is>
      </c>
      <c r="I326" s="30" t="n">
        <v>100</v>
      </c>
      <c r="J326" s="30" t="n">
        <v>92.688</v>
      </c>
      <c r="K326" s="30" t="n">
        <v>5.622922</v>
      </c>
      <c r="L326" s="30" t="n">
        <v>0.061826</v>
      </c>
      <c r="M326" s="30" t="n">
        <v>-0.089499</v>
      </c>
      <c r="N326" s="30" t="n">
        <v>84.29003315999999</v>
      </c>
      <c r="O326" s="30" t="n">
        <v>9.231305974</v>
      </c>
      <c r="P326" s="30" t="n">
        <v>80</v>
      </c>
      <c r="Q326" s="30" t="inlineStr">
        <is>
          <t>International Business Machines Corporation (IBM) provides computer solutions</t>
        </is>
      </c>
      <c r="R326" s="30" t="inlineStr">
        <is>
          <t>GBP</t>
        </is>
      </c>
      <c r="S326" s="30" t="inlineStr">
        <is>
          <t>Investment Grade</t>
        </is>
      </c>
      <c r="T326" s="30" t="inlineStr">
        <is>
          <t>A-</t>
        </is>
      </c>
      <c r="U326" s="30" t="inlineStr">
        <is>
          <t>A-</t>
        </is>
      </c>
      <c r="V326" s="30" t="n"/>
    </row>
    <row r="327">
      <c r="A327" s="30" t="inlineStr">
        <is>
          <t>CH0494734376</t>
        </is>
      </c>
      <c r="B327" s="30" t="inlineStr">
        <is>
          <t xml:space="preserve">Hold </t>
        </is>
      </c>
      <c r="C327" s="30" t="inlineStr">
        <is>
          <t>Banc Credito Inversiones</t>
        </is>
      </c>
      <c r="D327" s="30" t="n">
        <v>0.25</v>
      </c>
      <c r="E327" s="30" t="inlineStr">
        <is>
          <t>Sr Unsecured</t>
        </is>
      </c>
      <c r="F327" s="30" t="inlineStr">
        <is>
          <t>24.09.2029</t>
        </is>
      </c>
      <c r="G327" s="30" t="inlineStr">
        <is>
          <t>Chile</t>
        </is>
      </c>
      <c r="H327" s="30" t="inlineStr">
        <is>
          <t>Financial</t>
        </is>
      </c>
      <c r="I327" s="30" t="n">
        <v>5</v>
      </c>
      <c r="J327" s="30" t="n">
        <v>97.199</v>
      </c>
      <c r="K327" s="30" t="n">
        <v>0.931768</v>
      </c>
      <c r="L327" s="30" t="n">
        <v>0.036012</v>
      </c>
      <c r="M327" s="30" t="n">
        <v>0.185324</v>
      </c>
      <c r="N327" s="30" t="n">
        <v>84.22176636</v>
      </c>
      <c r="O327" s="30" t="n">
        <v>4.512645621</v>
      </c>
      <c r="P327" s="30" t="n">
        <v>0</v>
      </c>
      <c r="Q327" s="30" t="inlineStr">
        <is>
          <t xml:space="preserve">Attracts desposits and offers retail and commercial banking services </t>
        </is>
      </c>
      <c r="R327" s="30" t="inlineStr">
        <is>
          <t>CHF</t>
        </is>
      </c>
      <c r="S327" s="30" t="inlineStr">
        <is>
          <t>Latin America</t>
        </is>
      </c>
      <c r="T327" s="30" t="inlineStr">
        <is>
          <t>A-</t>
        </is>
      </c>
      <c r="U327" s="30" t="inlineStr">
        <is>
          <t>A-</t>
        </is>
      </c>
      <c r="V327" s="30" t="n"/>
    </row>
    <row r="328">
      <c r="A328" s="30" t="inlineStr">
        <is>
          <t>US37045XEB82</t>
        </is>
      </c>
      <c r="B328" s="30" t="inlineStr">
        <is>
          <t>Hold</t>
        </is>
      </c>
      <c r="C328" s="30" t="inlineStr">
        <is>
          <t>General Motors Finl Co</t>
        </is>
      </c>
      <c r="D328" s="30" t="n">
        <v>6</v>
      </c>
      <c r="E328" s="30" t="inlineStr">
        <is>
          <t>Sr Unsecured</t>
        </is>
      </c>
      <c r="F328" s="30" t="inlineStr">
        <is>
          <t>09.01.2028</t>
        </is>
      </c>
      <c r="G328" s="30" t="inlineStr">
        <is>
          <t>United states</t>
        </is>
      </c>
      <c r="H328" s="30" t="inlineStr">
        <is>
          <t>Consumer, Cyclical</t>
        </is>
      </c>
      <c r="I328" s="30" t="n">
        <v>2</v>
      </c>
      <c r="J328" s="30" t="n">
        <v>102.953</v>
      </c>
      <c r="K328" s="30" t="n">
        <v>4.69617</v>
      </c>
      <c r="L328" s="30" t="n">
        <v>-0.016236</v>
      </c>
      <c r="M328" s="30" t="n">
        <v>-0.292862</v>
      </c>
      <c r="N328" s="30" t="n">
        <v>84.10161754000001</v>
      </c>
      <c r="O328" s="30" t="n">
        <v>2.542059747</v>
      </c>
      <c r="P328" s="30" t="n">
        <v>60</v>
      </c>
      <c r="Q328" s="30" t="inlineStr">
        <is>
          <t>World's third largest automaker owning Chevrolet, Buick and Cadillac</t>
        </is>
      </c>
      <c r="R328" s="30" t="inlineStr">
        <is>
          <t>USD</t>
        </is>
      </c>
      <c r="S328" s="30" t="inlineStr">
        <is>
          <t>Investment Grade</t>
        </is>
      </c>
      <c r="T328" s="30" t="inlineStr">
        <is>
          <t>BBB</t>
        </is>
      </c>
      <c r="U328" s="30" t="inlineStr">
        <is>
          <t>BBB</t>
        </is>
      </c>
      <c r="V328" s="30" t="n"/>
    </row>
    <row r="329">
      <c r="A329" s="30" t="inlineStr">
        <is>
          <t>XS1891174424</t>
        </is>
      </c>
      <c r="B329" s="30" t="inlineStr">
        <is>
          <t>Top Pick</t>
        </is>
      </c>
      <c r="C329" s="30" t="inlineStr">
        <is>
          <t>Digital Stout Holding Ll</t>
        </is>
      </c>
      <c r="D329" s="30" t="n">
        <v>3.75</v>
      </c>
      <c r="E329" s="30" t="inlineStr">
        <is>
          <t>Sr Unsecured</t>
        </is>
      </c>
      <c r="F329" s="30" t="inlineStr">
        <is>
          <t>17.10.2030</t>
        </is>
      </c>
      <c r="G329" s="30" t="inlineStr">
        <is>
          <t>United states</t>
        </is>
      </c>
      <c r="H329" s="30" t="inlineStr">
        <is>
          <t>Financial</t>
        </is>
      </c>
      <c r="I329" s="30" t="n">
        <v>100</v>
      </c>
      <c r="J329" s="30" t="n">
        <v>94.81</v>
      </c>
      <c r="K329" s="30" t="n">
        <v>4.827842</v>
      </c>
      <c r="L329" s="30" t="n">
        <v>0.020776</v>
      </c>
      <c r="M329" s="30" t="n">
        <v>-0.315748</v>
      </c>
      <c r="N329" s="30" t="n">
        <v>84.00449304</v>
      </c>
      <c r="O329" s="30" t="n">
        <v>4.851199446</v>
      </c>
      <c r="P329" s="30" t="n">
        <v>60</v>
      </c>
      <c r="Q329" s="30" t="inlineStr">
        <is>
          <t xml:space="preserve">Owns and opeates data centres </t>
        </is>
      </c>
      <c r="R329" s="30" t="inlineStr">
        <is>
          <t>GBP</t>
        </is>
      </c>
      <c r="S329" s="30" t="inlineStr">
        <is>
          <t>Investment Grade</t>
        </is>
      </c>
      <c r="T329" s="30" t="inlineStr">
        <is>
          <t>BBB</t>
        </is>
      </c>
      <c r="U329" s="30" t="inlineStr">
        <is>
          <t>BBB</t>
        </is>
      </c>
      <c r="V329" s="30" t="n"/>
    </row>
    <row r="330">
      <c r="A330" s="30" t="inlineStr">
        <is>
          <t>FR001400MLN4</t>
        </is>
      </c>
      <c r="B330" s="30" t="inlineStr">
        <is>
          <t>Top Pick</t>
        </is>
      </c>
      <c r="C330" s="30" t="inlineStr">
        <is>
          <t>Unibail-Rodamco-Westfld</t>
        </is>
      </c>
      <c r="D330" s="30" t="n">
        <v>4.125</v>
      </c>
      <c r="E330" s="30" t="inlineStr">
        <is>
          <t>Sr Unsecured</t>
        </is>
      </c>
      <c r="F330" s="30" t="inlineStr">
        <is>
          <t>11.12.2030</t>
        </is>
      </c>
      <c r="G330" s="30" t="inlineStr">
        <is>
          <t>France</t>
        </is>
      </c>
      <c r="H330" s="30" t="inlineStr">
        <is>
          <t>Financial</t>
        </is>
      </c>
      <c r="I330" s="30" t="n">
        <v>100</v>
      </c>
      <c r="J330" s="30" t="n">
        <v>104.366</v>
      </c>
      <c r="K330" s="30" t="n">
        <v>3.195266</v>
      </c>
      <c r="L330" s="30" t="n">
        <v>-0.080022</v>
      </c>
      <c r="M330" s="30" t="n">
        <v>-0.138733</v>
      </c>
      <c r="N330" s="30" t="n">
        <v>83.98374690999999</v>
      </c>
      <c r="O330" s="30" t="n">
        <v>4.874246454</v>
      </c>
      <c r="P330" s="30" t="n">
        <v>60</v>
      </c>
      <c r="Q330" s="30" t="inlineStr">
        <is>
          <t>Operates as a commercial real estate owners and development company</t>
        </is>
      </c>
      <c r="R330" s="30" t="inlineStr">
        <is>
          <t>EUR</t>
        </is>
      </c>
      <c r="S330" s="30" t="inlineStr">
        <is>
          <t>Investment Grade</t>
        </is>
      </c>
      <c r="T330" s="30" t="inlineStr">
        <is>
          <t>BBB</t>
        </is>
      </c>
      <c r="U330" s="30" t="inlineStr">
        <is>
          <t>BBB</t>
        </is>
      </c>
      <c r="V330" s="30" t="n"/>
    </row>
    <row r="331">
      <c r="A331" s="30" t="inlineStr">
        <is>
          <t>USG59669AC89</t>
        </is>
      </c>
      <c r="B331" s="30" t="inlineStr">
        <is>
          <t>Top Pick</t>
        </is>
      </c>
      <c r="C331" s="30" t="inlineStr">
        <is>
          <t>Meituan</t>
        </is>
      </c>
      <c r="D331" s="30" t="n">
        <v>3.05</v>
      </c>
      <c r="E331" s="30" t="inlineStr">
        <is>
          <t>Sr Unsecured</t>
        </is>
      </c>
      <c r="F331" s="30" t="inlineStr">
        <is>
          <t>28.10.2030</t>
        </is>
      </c>
      <c r="G331" s="30" t="inlineStr">
        <is>
          <t>China</t>
        </is>
      </c>
      <c r="H331" s="30" t="inlineStr">
        <is>
          <t>Communications</t>
        </is>
      </c>
      <c r="I331" s="30" t="n">
        <v>200</v>
      </c>
      <c r="J331" s="30" t="n">
        <v>91.852</v>
      </c>
      <c r="K331" s="30" t="n">
        <v>4.807158</v>
      </c>
      <c r="L331" s="30" t="n">
        <v>0.075623</v>
      </c>
      <c r="M331" s="30" t="n">
        <v>-0.057097</v>
      </c>
      <c r="N331" s="30" t="n">
        <v>83.68855651</v>
      </c>
      <c r="O331" s="30" t="n">
        <v>5.053259635</v>
      </c>
      <c r="P331" s="30" t="n">
        <v>25</v>
      </c>
      <c r="Q331" s="30" t="inlineStr">
        <is>
          <t>Operates as a web based shopping platform for locally found consumers</t>
        </is>
      </c>
      <c r="R331" s="30" t="inlineStr">
        <is>
          <t>USD</t>
        </is>
      </c>
      <c r="S331" s="30" t="inlineStr">
        <is>
          <t>Investment Grade</t>
        </is>
      </c>
      <c r="T331" s="30" t="inlineStr">
        <is>
          <t>BBB+</t>
        </is>
      </c>
      <c r="U331" s="30" t="inlineStr">
        <is>
          <t>BBB</t>
        </is>
      </c>
      <c r="V331" s="30" t="n"/>
    </row>
    <row r="332">
      <c r="A332" s="30" t="inlineStr">
        <is>
          <t>CH1325807886</t>
        </is>
      </c>
      <c r="B332" s="30" t="inlineStr">
        <is>
          <t>Hold</t>
        </is>
      </c>
      <c r="C332" s="30" t="inlineStr">
        <is>
          <t>Caixabank Sa</t>
        </is>
      </c>
      <c r="D332" s="30" t="n">
        <v>2.175</v>
      </c>
      <c r="E332" s="30" t="inlineStr">
        <is>
          <t>Sr Preferred</t>
        </is>
      </c>
      <c r="F332" s="30" t="inlineStr">
        <is>
          <t>19.03.2030</t>
        </is>
      </c>
      <c r="G332" s="30" t="inlineStr">
        <is>
          <t>Spain</t>
        </is>
      </c>
      <c r="H332" s="30" t="inlineStr">
        <is>
          <t>Financial</t>
        </is>
      </c>
      <c r="I332" s="30" t="n">
        <v>200</v>
      </c>
      <c r="J332" s="30" t="n">
        <v>104.409</v>
      </c>
      <c r="K332" s="30" t="n">
        <v>0.952794</v>
      </c>
      <c r="L332" s="30" t="n">
        <v>0.045513</v>
      </c>
      <c r="M332" s="30" t="n">
        <v>0.209935</v>
      </c>
      <c r="N332" s="30" t="n">
        <v>83.50549038</v>
      </c>
      <c r="O332" s="30" t="n">
        <v>3.824514121</v>
      </c>
      <c r="P332" s="30" t="n">
        <v>80</v>
      </c>
      <c r="Q332" s="30" t="inlineStr">
        <is>
          <t>One of the largest Spanish banks</t>
        </is>
      </c>
      <c r="R332" s="30" t="inlineStr">
        <is>
          <t>CHF</t>
        </is>
      </c>
      <c r="S332" s="30" t="inlineStr">
        <is>
          <t>Investment Grade</t>
        </is>
      </c>
      <c r="T332" s="30" t="inlineStr">
        <is>
          <t>A</t>
        </is>
      </c>
      <c r="U332" s="30" t="inlineStr">
        <is>
          <t>A</t>
        </is>
      </c>
      <c r="V332" s="30" t="n"/>
    </row>
    <row r="333">
      <c r="A333" s="30" t="inlineStr">
        <is>
          <t>XS1991188548</t>
        </is>
      </c>
      <c r="B333" s="30" t="inlineStr">
        <is>
          <t xml:space="preserve">Hold </t>
        </is>
      </c>
      <c r="C333" s="30" t="inlineStr">
        <is>
          <t>Maf Sukuk Ltd</t>
        </is>
      </c>
      <c r="D333" s="30" t="n">
        <v>4.638</v>
      </c>
      <c r="E333" s="30" t="inlineStr">
        <is>
          <t>Sr Unsecured</t>
        </is>
      </c>
      <c r="F333" s="30" t="inlineStr">
        <is>
          <t>14.05.2029</t>
        </is>
      </c>
      <c r="G333" s="30" t="inlineStr">
        <is>
          <t>U.A.E</t>
        </is>
      </c>
      <c r="H333" s="30" t="inlineStr">
        <is>
          <t>Financial</t>
        </is>
      </c>
      <c r="I333" s="30" t="n">
        <v>200</v>
      </c>
      <c r="J333" s="30" t="n">
        <v>99.72499999999999</v>
      </c>
      <c r="K333" s="30" t="n">
        <v>4.715208</v>
      </c>
      <c r="L333" s="30" t="n">
        <v>0.048483</v>
      </c>
      <c r="M333" s="30" t="n">
        <v>-0.13285</v>
      </c>
      <c r="N333" s="30" t="n">
        <v>83.45431703</v>
      </c>
      <c r="O333" s="30" t="n">
        <v>3.730101193</v>
      </c>
      <c r="P333" s="30" t="n">
        <v>60</v>
      </c>
      <c r="Q333" s="30" t="inlineStr">
        <is>
          <t> </t>
        </is>
      </c>
      <c r="R333" s="30" t="inlineStr">
        <is>
          <t>USD</t>
        </is>
      </c>
      <c r="S333" s="30" t="inlineStr">
        <is>
          <t>Investment Grade</t>
        </is>
      </c>
      <c r="T333" s="30" t="inlineStr">
        <is>
          <t>BBB</t>
        </is>
      </c>
      <c r="U333" s="30" t="inlineStr">
        <is>
          <t>BBB</t>
        </is>
      </c>
      <c r="V333" s="30" t="n"/>
    </row>
    <row r="334">
      <c r="A334" s="30" t="inlineStr">
        <is>
          <t>CH1251998220</t>
        </is>
      </c>
      <c r="B334" s="30" t="inlineStr">
        <is>
          <t>Hold</t>
        </is>
      </c>
      <c r="C334" s="30" t="inlineStr">
        <is>
          <t>Grande Dixence</t>
        </is>
      </c>
      <c r="D334" s="30" t="n">
        <v>2.35</v>
      </c>
      <c r="E334" s="30" t="inlineStr">
        <is>
          <t>Sr Unsecured</t>
        </is>
      </c>
      <c r="F334" s="30" t="inlineStr">
        <is>
          <t>06.06.2030</t>
        </is>
      </c>
      <c r="G334" s="30" t="inlineStr">
        <is>
          <t>Switzerland</t>
        </is>
      </c>
      <c r="H334" s="30" t="inlineStr">
        <is>
          <t>Utilities</t>
        </is>
      </c>
      <c r="I334" s="30" t="n">
        <v>5</v>
      </c>
      <c r="J334" s="30" t="n">
        <v>106.636</v>
      </c>
      <c r="K334" s="30" t="n">
        <v>0.959166</v>
      </c>
      <c r="L334" s="30" t="n">
        <v>0.026474</v>
      </c>
      <c r="M334" s="30" t="n">
        <v>0.154214</v>
      </c>
      <c r="N334" s="30" t="n">
        <v>83.34578442999999</v>
      </c>
      <c r="O334" s="30" t="n">
        <v>4.907308811</v>
      </c>
      <c r="P334" s="30" t="n">
        <v>0</v>
      </c>
      <c r="Q334" s="30" t="inlineStr">
        <is>
          <t>provides hydroelectric power generation services through several dams in Switzerland</t>
        </is>
      </c>
      <c r="R334" s="30" t="inlineStr">
        <is>
          <t>CHF</t>
        </is>
      </c>
      <c r="S334" s="30" t="inlineStr">
        <is>
          <t>Investment Grade</t>
        </is>
      </c>
      <c r="T334" s="30" t="inlineStr">
        <is>
          <t>#N/A N/A</t>
        </is>
      </c>
      <c r="U334" s="30" t="inlineStr">
        <is>
          <t>#N/A N/A</t>
        </is>
      </c>
      <c r="V334" s="30" t="n"/>
    </row>
    <row r="335">
      <c r="A335" s="30" t="inlineStr">
        <is>
          <t>FR0014004EF7</t>
        </is>
      </c>
      <c r="B335" s="30" t="inlineStr">
        <is>
          <t xml:space="preserve">Hold </t>
        </is>
      </c>
      <c r="C335" s="30" t="inlineStr">
        <is>
          <t>Caisse Nat Reassurance</t>
        </is>
      </c>
      <c r="D335" s="30" t="n">
        <v>0.75</v>
      </c>
      <c r="E335" s="30" t="inlineStr">
        <is>
          <t>Subordinated</t>
        </is>
      </c>
      <c r="F335" s="30" t="inlineStr">
        <is>
          <t>07.07.2028</t>
        </is>
      </c>
      <c r="G335" s="30" t="inlineStr">
        <is>
          <t>France</t>
        </is>
      </c>
      <c r="H335" s="30" t="inlineStr">
        <is>
          <t>Financial</t>
        </is>
      </c>
      <c r="I335" s="30" t="n">
        <v>100</v>
      </c>
      <c r="J335" s="30" t="n">
        <v>94.129</v>
      </c>
      <c r="K335" s="30" t="n">
        <v>2.821539</v>
      </c>
      <c r="L335" s="30" t="n">
        <v>-0.086613</v>
      </c>
      <c r="M335" s="30" t="n">
        <v>-0.110166</v>
      </c>
      <c r="N335" s="30" t="n">
        <v>83.13274557</v>
      </c>
      <c r="O335" s="30" t="n">
        <v>3.218333743</v>
      </c>
      <c r="P335" s="30" t="n">
        <v>75</v>
      </c>
      <c r="Q335" s="30" t="inlineStr">
        <is>
          <t>French Global Insurer</t>
        </is>
      </c>
      <c r="R335" s="30" t="inlineStr">
        <is>
          <t>EUR</t>
        </is>
      </c>
      <c r="S335" s="30" t="inlineStr">
        <is>
          <t>Investment Grade</t>
        </is>
      </c>
      <c r="T335" s="30" t="inlineStr">
        <is>
          <t>NR</t>
        </is>
      </c>
      <c r="U335" s="30" t="inlineStr">
        <is>
          <t>NR</t>
        </is>
      </c>
      <c r="V335" s="30" t="n"/>
    </row>
    <row r="336">
      <c r="A336" s="30" t="inlineStr">
        <is>
          <t>CH1242301286</t>
        </is>
      </c>
      <c r="B336" s="30" t="inlineStr">
        <is>
          <t>Hold</t>
        </is>
      </c>
      <c r="C336" s="30" t="inlineStr">
        <is>
          <t>Swiss Life Holding Ag</t>
        </is>
      </c>
      <c r="D336" s="30" t="n">
        <v>2.61</v>
      </c>
      <c r="E336" s="30" t="inlineStr">
        <is>
          <t>Sr Unsecured</t>
        </is>
      </c>
      <c r="F336" s="30" t="inlineStr">
        <is>
          <t>26.01.2032</t>
        </is>
      </c>
      <c r="G336" s="30" t="inlineStr">
        <is>
          <t>Switzerland</t>
        </is>
      </c>
      <c r="H336" s="30" t="inlineStr">
        <is>
          <t>Financial</t>
        </is>
      </c>
      <c r="I336" s="30" t="n">
        <v>5</v>
      </c>
      <c r="J336" s="30" t="n">
        <v>109.381</v>
      </c>
      <c r="K336" s="30" t="n">
        <v>1.061798</v>
      </c>
      <c r="L336" s="30" t="n">
        <v>0.060661</v>
      </c>
      <c r="M336" s="30" t="n">
        <v>0.227674</v>
      </c>
      <c r="N336" s="30" t="n">
        <v>83.08670931</v>
      </c>
      <c r="O336" s="30" t="n">
        <v>6.156074548</v>
      </c>
      <c r="P336" s="30" t="n">
        <v>80</v>
      </c>
      <c r="Q336" s="30" t="inlineStr">
        <is>
          <t>Provides life and property insurance</t>
        </is>
      </c>
      <c r="R336" s="30" t="inlineStr">
        <is>
          <t>CHF</t>
        </is>
      </c>
      <c r="S336" s="30" t="inlineStr">
        <is>
          <t>Investment Grade</t>
        </is>
      </c>
      <c r="T336" s="30" t="inlineStr">
        <is>
          <t>NR</t>
        </is>
      </c>
      <c r="U336" s="30" t="inlineStr">
        <is>
          <t>NR</t>
        </is>
      </c>
      <c r="V336" s="30" t="n"/>
    </row>
    <row r="337">
      <c r="A337" s="30" t="inlineStr">
        <is>
          <t>XS2328823104</t>
        </is>
      </c>
      <c r="B337" s="30" t="inlineStr">
        <is>
          <t>Top Pick</t>
        </is>
      </c>
      <c r="C337" s="30" t="inlineStr">
        <is>
          <t>Heathrow Funding Ltd</t>
        </is>
      </c>
      <c r="D337" s="30" t="n">
        <v>1.125</v>
      </c>
      <c r="E337" s="30" t="inlineStr">
        <is>
          <t>1St Lien</t>
        </is>
      </c>
      <c r="F337" s="30" t="inlineStr">
        <is>
          <t>08.10.2030</t>
        </is>
      </c>
      <c r="G337" s="30" t="inlineStr">
        <is>
          <t>United Kingdom</t>
        </is>
      </c>
      <c r="H337" s="30" t="inlineStr">
        <is>
          <t>Industrial</t>
        </is>
      </c>
      <c r="I337" s="30" t="n">
        <v>100</v>
      </c>
      <c r="J337" s="30" t="n">
        <v>90.20999999999999</v>
      </c>
      <c r="K337" s="30" t="n">
        <v>3.178651</v>
      </c>
      <c r="L337" s="30" t="n">
        <v>-0.103663</v>
      </c>
      <c r="M337" s="30" t="n">
        <v>-0.089014</v>
      </c>
      <c r="N337" s="30" t="n">
        <v>83.00287944999999</v>
      </c>
      <c r="O337" s="30" t="n">
        <v>5.268602733</v>
      </c>
      <c r="P337" s="30" t="n">
        <v>60</v>
      </c>
      <c r="Q337" s="30" t="inlineStr">
        <is>
          <t>UK's largest airport</t>
        </is>
      </c>
      <c r="R337" s="30" t="inlineStr">
        <is>
          <t>EUR</t>
        </is>
      </c>
      <c r="S337" s="30" t="inlineStr">
        <is>
          <t>Investment Grade</t>
        </is>
      </c>
      <c r="T337" s="30" t="inlineStr">
        <is>
          <t>BBB+</t>
        </is>
      </c>
      <c r="U337" s="30" t="inlineStr">
        <is>
          <t>BBB+</t>
        </is>
      </c>
      <c r="V337" s="30" t="n"/>
    </row>
    <row r="338">
      <c r="A338" s="30" t="inlineStr">
        <is>
          <t>US37045XEH52</t>
        </is>
      </c>
      <c r="B338" s="30" t="inlineStr">
        <is>
          <t xml:space="preserve">Hold </t>
        </is>
      </c>
      <c r="C338" s="30" t="inlineStr">
        <is>
          <t>General Motors Finl Co</t>
        </is>
      </c>
      <c r="D338" s="30" t="n">
        <v>5.8</v>
      </c>
      <c r="E338" s="30" t="inlineStr">
        <is>
          <t>Sr Unsecured</t>
        </is>
      </c>
      <c r="F338" s="30" t="inlineStr">
        <is>
          <t>23.06.2028</t>
        </is>
      </c>
      <c r="G338" s="30" t="inlineStr">
        <is>
          <t>United states</t>
        </is>
      </c>
      <c r="H338" s="30" t="inlineStr">
        <is>
          <t>Consumer, Cyclical</t>
        </is>
      </c>
      <c r="I338" s="30" t="n">
        <v>2</v>
      </c>
      <c r="J338" s="30" t="n">
        <v>103.019</v>
      </c>
      <c r="K338" s="30" t="n">
        <v>4.666292</v>
      </c>
      <c r="L338" s="30" t="n">
        <v>-0.069421</v>
      </c>
      <c r="M338" s="30" t="n">
        <v>-0.367617</v>
      </c>
      <c r="N338" s="30" t="n">
        <v>82.91130661</v>
      </c>
      <c r="O338" s="30" t="n">
        <v>2.915605025</v>
      </c>
      <c r="P338" s="30" t="n">
        <v>0</v>
      </c>
      <c r="Q338" s="30" t="inlineStr">
        <is>
          <t>World's third largest automaker owning Chevrolet, Buick and Cadillac</t>
        </is>
      </c>
      <c r="R338" s="30" t="inlineStr">
        <is>
          <t>USD</t>
        </is>
      </c>
      <c r="S338" s="30" t="inlineStr">
        <is>
          <t>Investment Grade</t>
        </is>
      </c>
      <c r="T338" s="30" t="inlineStr">
        <is>
          <t>BBB</t>
        </is>
      </c>
      <c r="U338" s="30" t="inlineStr">
        <is>
          <t>BBB</t>
        </is>
      </c>
      <c r="V338" s="30" t="n"/>
    </row>
    <row r="339">
      <c r="A339" s="30" t="inlineStr">
        <is>
          <t>CH0469273541</t>
        </is>
      </c>
      <c r="B339" s="30" t="inlineStr">
        <is>
          <t>Hold</t>
        </is>
      </c>
      <c r="C339" s="30" t="inlineStr">
        <is>
          <t>Clariant Ag</t>
        </is>
      </c>
      <c r="D339" s="30" t="n">
        <v>1.125</v>
      </c>
      <c r="E339" s="30" t="inlineStr">
        <is>
          <t>Sr Unsecured</t>
        </is>
      </c>
      <c r="F339" s="30" t="inlineStr">
        <is>
          <t>15.04.2026</t>
        </is>
      </c>
      <c r="G339" s="30" t="inlineStr">
        <is>
          <t>Switzerland</t>
        </is>
      </c>
      <c r="H339" s="30" t="inlineStr">
        <is>
          <t>Basic Materials</t>
        </is>
      </c>
      <c r="I339" s="30" t="n">
        <v>5</v>
      </c>
      <c r="J339" s="30" t="n">
        <v>100.28</v>
      </c>
      <c r="K339" s="30" t="n">
        <v>0.755695</v>
      </c>
      <c r="L339" s="30" t="n">
        <v>-0.042687</v>
      </c>
      <c r="M339" s="30" t="n">
        <v>0.09457699999999999</v>
      </c>
      <c r="N339" s="30" t="n">
        <v>82.885982</v>
      </c>
      <c r="O339" s="30" t="n">
        <v>1.119485267</v>
      </c>
      <c r="P339" s="30" t="n">
        <v>80</v>
      </c>
      <c r="Q339" s="30" t="inlineStr">
        <is>
          <t>Global specialty chemicals company</t>
        </is>
      </c>
      <c r="R339" s="30" t="inlineStr">
        <is>
          <t>CHF</t>
        </is>
      </c>
      <c r="S339" s="30" t="inlineStr">
        <is>
          <t>Investment Grade</t>
        </is>
      </c>
      <c r="T339" s="30" t="inlineStr">
        <is>
          <t>NR</t>
        </is>
      </c>
      <c r="U339" s="30" t="inlineStr">
        <is>
          <t>NR</t>
        </is>
      </c>
      <c r="V339" s="30" t="n"/>
    </row>
    <row r="340">
      <c r="A340" s="30" t="inlineStr">
        <is>
          <t>CH1251030123</t>
        </is>
      </c>
      <c r="B340" s="30" t="inlineStr">
        <is>
          <t>Top Pick</t>
        </is>
      </c>
      <c r="C340" s="30" t="inlineStr">
        <is>
          <t>Alpiq Holding Ag</t>
        </is>
      </c>
      <c r="D340" s="30" t="n">
        <v>3.125</v>
      </c>
      <c r="E340" s="30" t="inlineStr">
        <is>
          <t>Sr Unsecured</t>
        </is>
      </c>
      <c r="F340" s="30" t="inlineStr">
        <is>
          <t>29.04.2027</t>
        </is>
      </c>
      <c r="G340" s="30" t="inlineStr">
        <is>
          <t>Switzerland</t>
        </is>
      </c>
      <c r="H340" s="30" t="inlineStr">
        <is>
          <t>Utilities</t>
        </is>
      </c>
      <c r="I340" s="30" t="n">
        <v>5</v>
      </c>
      <c r="J340" s="30" t="n">
        <v>104.229</v>
      </c>
      <c r="K340" s="30" t="n">
        <v>0.75713</v>
      </c>
      <c r="L340" s="30" t="n">
        <v>0.015018</v>
      </c>
      <c r="M340" s="30" t="n">
        <v>0.124577</v>
      </c>
      <c r="N340" s="30" t="n">
        <v>82.81557191</v>
      </c>
      <c r="O340" s="30" t="n">
        <v>2.071860631</v>
      </c>
      <c r="P340" s="30" t="n">
        <v>0</v>
      </c>
      <c r="Q340" s="30" t="inlineStr">
        <is>
          <t>Generates, transmits and distributes electricity throughout Europe</t>
        </is>
      </c>
      <c r="R340" s="30" t="inlineStr">
        <is>
          <t>CHF</t>
        </is>
      </c>
      <c r="S340" s="30" t="inlineStr">
        <is>
          <t>High Yield</t>
        </is>
      </c>
      <c r="T340" s="30" t="inlineStr">
        <is>
          <t>#N/A N/A</t>
        </is>
      </c>
      <c r="U340" s="30" t="inlineStr">
        <is>
          <t>#N/A N/A</t>
        </is>
      </c>
      <c r="V340" s="30" t="n"/>
    </row>
    <row r="341">
      <c r="A341" s="30" t="inlineStr">
        <is>
          <t>US30216KAF93</t>
        </is>
      </c>
      <c r="B341" s="30" t="inlineStr">
        <is>
          <t>Top pick</t>
        </is>
      </c>
      <c r="C341" s="30" t="inlineStr">
        <is>
          <t>Export-Import Bk India</t>
        </is>
      </c>
      <c r="D341" s="30" t="n">
        <v>2.25</v>
      </c>
      <c r="E341" s="30" t="inlineStr">
        <is>
          <t>Sr Unsecured</t>
        </is>
      </c>
      <c r="F341" s="30" t="inlineStr">
        <is>
          <t>13.01.2031</t>
        </is>
      </c>
      <c r="G341" s="30" t="inlineStr">
        <is>
          <t>India</t>
        </is>
      </c>
      <c r="H341" s="30" t="inlineStr">
        <is>
          <t>Government</t>
        </is>
      </c>
      <c r="I341" s="30" t="n">
        <v>200</v>
      </c>
      <c r="J341" s="30" t="n">
        <v>87.66800000000001</v>
      </c>
      <c r="K341" s="30" t="n">
        <v>4.823882</v>
      </c>
      <c r="L341" s="30" t="n">
        <v>0.093268</v>
      </c>
      <c r="M341" s="30" t="n">
        <v>-0.102625</v>
      </c>
      <c r="N341" s="30" t="n">
        <v>82.77270905</v>
      </c>
      <c r="O341" s="30" t="n">
        <v>5.36395529</v>
      </c>
      <c r="P341" s="30" t="n">
        <v>60</v>
      </c>
      <c r="Q341" s="30" t="inlineStr">
        <is>
          <t>Operates as a bank to exporters and importers, 100% state-owned</t>
        </is>
      </c>
      <c r="R341" s="30" t="inlineStr">
        <is>
          <t>USD</t>
        </is>
      </c>
      <c r="S341" s="30" t="inlineStr">
        <is>
          <t>Investment Grade</t>
        </is>
      </c>
      <c r="T341" s="30" t="inlineStr">
        <is>
          <t>BBB-</t>
        </is>
      </c>
      <c r="U341" s="30" t="inlineStr">
        <is>
          <t>BBB-</t>
        </is>
      </c>
      <c r="V341" s="30" t="n"/>
    </row>
    <row r="342">
      <c r="A342" s="30" t="inlineStr">
        <is>
          <t>FR001400FDB0</t>
        </is>
      </c>
      <c r="B342" s="30" t="inlineStr">
        <is>
          <t>Hold</t>
        </is>
      </c>
      <c r="C342" s="30" t="inlineStr">
        <is>
          <t>Electricite De France Sa</t>
        </is>
      </c>
      <c r="D342" s="30" t="n">
        <v>4.25</v>
      </c>
      <c r="E342" s="30" t="inlineStr">
        <is>
          <t>Sr Unsecured</t>
        </is>
      </c>
      <c r="F342" s="30" t="inlineStr">
        <is>
          <t>25.01.2032</t>
        </is>
      </c>
      <c r="G342" s="30" t="inlineStr">
        <is>
          <t>France</t>
        </is>
      </c>
      <c r="H342" s="30" t="inlineStr">
        <is>
          <t>Utilities</t>
        </is>
      </c>
      <c r="I342" s="30" t="n">
        <v>100</v>
      </c>
      <c r="J342" s="30" t="n">
        <v>105.172</v>
      </c>
      <c r="K342" s="30" t="n">
        <v>3.324923</v>
      </c>
      <c r="L342" s="30" t="n">
        <v>-0.058748</v>
      </c>
      <c r="M342" s="30" t="n">
        <v>0.03679</v>
      </c>
      <c r="N342" s="30" t="n">
        <v>82.51381369000001</v>
      </c>
      <c r="O342" s="30" t="n">
        <v>5.75229812</v>
      </c>
      <c r="P342" s="30" t="n">
        <v>60</v>
      </c>
      <c r="Q342" s="30" t="inlineStr">
        <is>
          <t>French utility company fully owned by the State</t>
        </is>
      </c>
      <c r="R342" s="30" t="inlineStr">
        <is>
          <t>EUR</t>
        </is>
      </c>
      <c r="S342" s="30" t="inlineStr">
        <is>
          <t>Investment Grade</t>
        </is>
      </c>
      <c r="T342" s="30" t="inlineStr">
        <is>
          <t>BBB</t>
        </is>
      </c>
      <c r="U342" s="30" t="inlineStr">
        <is>
          <t>BBB</t>
        </is>
      </c>
      <c r="V342" s="30" t="n"/>
    </row>
    <row r="343">
      <c r="A343" s="30" t="inlineStr">
        <is>
          <t>XS2583205906</t>
        </is>
      </c>
      <c r="B343" s="30" t="inlineStr">
        <is>
          <t>Top Pick</t>
        </is>
      </c>
      <c r="C343" s="30" t="inlineStr">
        <is>
          <t>A2A Spa</t>
        </is>
      </c>
      <c r="D343" s="30" t="n">
        <v>4.375</v>
      </c>
      <c r="E343" s="30" t="inlineStr">
        <is>
          <t>Sr Unsecured</t>
        </is>
      </c>
      <c r="F343" s="30" t="inlineStr">
        <is>
          <t>03.02.2034</t>
        </is>
      </c>
      <c r="G343" s="30" t="inlineStr">
        <is>
          <t>Italy</t>
        </is>
      </c>
      <c r="H343" s="30" t="inlineStr">
        <is>
          <t>Utilities</t>
        </is>
      </c>
      <c r="I343" s="30" t="n">
        <v>100</v>
      </c>
      <c r="J343" s="30" t="n">
        <v>105.979</v>
      </c>
      <c r="K343" s="30" t="n">
        <v>3.532035</v>
      </c>
      <c r="L343" s="30" t="n">
        <v>-0.047044</v>
      </c>
      <c r="M343" s="30" t="n">
        <v>-0.005365</v>
      </c>
      <c r="N343" s="30" t="n">
        <v>82.50326984</v>
      </c>
      <c r="O343" s="30" t="n">
        <v>7.182966273</v>
      </c>
      <c r="P343" s="30" t="n">
        <v>60</v>
      </c>
      <c r="Q343" s="30" t="inlineStr">
        <is>
          <t>Italian diversified utility in electricity, renewables, gas, water, waste management</t>
        </is>
      </c>
      <c r="R343" s="30" t="inlineStr">
        <is>
          <t>EUR</t>
        </is>
      </c>
      <c r="S343" s="30" t="inlineStr">
        <is>
          <t>Investment Grade</t>
        </is>
      </c>
      <c r="T343" s="30" t="inlineStr">
        <is>
          <t>BBB</t>
        </is>
      </c>
      <c r="U343" s="30" t="inlineStr">
        <is>
          <t>BBB</t>
        </is>
      </c>
      <c r="V343" s="30" t="n"/>
    </row>
    <row r="344">
      <c r="A344" s="30" t="inlineStr">
        <is>
          <t>XS2441259137</t>
        </is>
      </c>
      <c r="B344" s="30" t="inlineStr">
        <is>
          <t>Hold</t>
        </is>
      </c>
      <c r="C344" s="30" t="inlineStr">
        <is>
          <t>Sage Group Plc (The)</t>
        </is>
      </c>
      <c r="D344" s="30" t="n">
        <v>2.875</v>
      </c>
      <c r="E344" s="30" t="inlineStr">
        <is>
          <t>Sr Unsecured</t>
        </is>
      </c>
      <c r="F344" s="30" t="inlineStr">
        <is>
          <t>08.02.2034</t>
        </is>
      </c>
      <c r="G344" s="30" t="inlineStr">
        <is>
          <t>United Kingdom</t>
        </is>
      </c>
      <c r="H344" s="30" t="inlineStr">
        <is>
          <t>Technology</t>
        </is>
      </c>
      <c r="I344" s="30" t="n">
        <v>100</v>
      </c>
      <c r="J344" s="30" t="n">
        <v>83.749</v>
      </c>
      <c r="K344" s="30" t="n">
        <v>5.207217</v>
      </c>
      <c r="L344" s="30" t="n">
        <v>0.019942</v>
      </c>
      <c r="M344" s="30" t="n">
        <v>-0.193511</v>
      </c>
      <c r="N344" s="30" t="n">
        <v>81.94304049</v>
      </c>
      <c r="O344" s="30" t="n">
        <v>7.482140128</v>
      </c>
      <c r="P344" s="30" t="n">
        <v>50</v>
      </c>
      <c r="Q344" s="30" t="inlineStr">
        <is>
          <t>Software publishing company</t>
        </is>
      </c>
      <c r="R344" s="30" t="inlineStr">
        <is>
          <t>GBP</t>
        </is>
      </c>
      <c r="S344" s="30" t="inlineStr">
        <is>
          <t>Investment Grade</t>
        </is>
      </c>
      <c r="T344" s="30" t="inlineStr">
        <is>
          <t>NR</t>
        </is>
      </c>
      <c r="U344" s="30" t="inlineStr">
        <is>
          <t>NR</t>
        </is>
      </c>
      <c r="V344" s="30" t="n"/>
    </row>
    <row r="345">
      <c r="A345" s="30" t="inlineStr">
        <is>
          <t>FR001400KHH8</t>
        </is>
      </c>
      <c r="B345" s="30" t="inlineStr">
        <is>
          <t>Hold</t>
        </is>
      </c>
      <c r="C345" s="30" t="inlineStr">
        <is>
          <t>Engie Sa</t>
        </is>
      </c>
      <c r="D345" s="30" t="n">
        <v>4.25</v>
      </c>
      <c r="E345" s="30" t="inlineStr">
        <is>
          <t>Sr Unsecured</t>
        </is>
      </c>
      <c r="F345" s="30" t="inlineStr">
        <is>
          <t>06.09.2034</t>
        </is>
      </c>
      <c r="G345" s="30" t="inlineStr">
        <is>
          <t>France</t>
        </is>
      </c>
      <c r="H345" s="30" t="inlineStr">
        <is>
          <t>Utilities</t>
        </is>
      </c>
      <c r="I345" s="30" t="n">
        <v>100</v>
      </c>
      <c r="J345" s="30" t="n">
        <v>104.971</v>
      </c>
      <c r="K345" s="30" t="n">
        <v>3.588477</v>
      </c>
      <c r="L345" s="30" t="n">
        <v>-0.007347</v>
      </c>
      <c r="M345" s="30" t="n">
        <v>-0.007195</v>
      </c>
      <c r="N345" s="30" t="n">
        <v>81.83399799</v>
      </c>
      <c r="O345" s="30" t="n">
        <v>7.50125899</v>
      </c>
      <c r="P345" s="30" t="n">
        <v>60</v>
      </c>
      <c r="Q345" s="30" t="inlineStr">
        <is>
          <t xml:space="preserve">French utility company specialised in renewables </t>
        </is>
      </c>
      <c r="R345" s="30" t="inlineStr">
        <is>
          <t>EUR</t>
        </is>
      </c>
      <c r="S345" s="30" t="inlineStr">
        <is>
          <t>Investment Grade</t>
        </is>
      </c>
      <c r="T345" s="30" t="inlineStr">
        <is>
          <t>BBB+</t>
        </is>
      </c>
      <c r="U345" s="30" t="inlineStr">
        <is>
          <t>BBB+</t>
        </is>
      </c>
      <c r="V345" s="30" t="n"/>
    </row>
    <row r="346">
      <c r="A346" s="30" t="inlineStr">
        <is>
          <t>XS1199954691</t>
        </is>
      </c>
      <c r="B346" s="30" t="inlineStr">
        <is>
          <t>Hold</t>
        </is>
      </c>
      <c r="C346" s="30" t="inlineStr">
        <is>
          <t>Syngenta Finance Nv</t>
        </is>
      </c>
      <c r="D346" s="30" t="n">
        <v>1.25</v>
      </c>
      <c r="E346" s="30" t="inlineStr">
        <is>
          <t>Sr Unsecured</t>
        </is>
      </c>
      <c r="F346" s="30" t="inlineStr">
        <is>
          <t>10.09.2027</t>
        </is>
      </c>
      <c r="G346" s="30" t="inlineStr">
        <is>
          <t>Switzerland</t>
        </is>
      </c>
      <c r="H346" s="30" t="inlineStr">
        <is>
          <t>Basic Materials</t>
        </is>
      </c>
      <c r="I346" s="30" t="n">
        <v>100</v>
      </c>
      <c r="J346" s="30" t="n">
        <v>96.944</v>
      </c>
      <c r="K346" s="30" t="n">
        <v>2.716384</v>
      </c>
      <c r="L346" s="30" t="n">
        <v>0.029574</v>
      </c>
      <c r="M346" s="30" t="n">
        <v>0.092706</v>
      </c>
      <c r="N346" s="30" t="n">
        <v>81.82507443</v>
      </c>
      <c r="O346" s="30" t="n">
        <v>2.432667999</v>
      </c>
      <c r="P346" s="30" t="n">
        <v>25</v>
      </c>
      <c r="Q346" s="30" t="inlineStr">
        <is>
          <t>Swiss producer of crop protection products and seeds</t>
        </is>
      </c>
      <c r="R346" s="30" t="inlineStr">
        <is>
          <t>EUR</t>
        </is>
      </c>
      <c r="S346" s="30" t="inlineStr">
        <is>
          <t>Investment Grade</t>
        </is>
      </c>
      <c r="T346" s="30" t="inlineStr">
        <is>
          <t>BBB-</t>
        </is>
      </c>
      <c r="U346" s="30" t="inlineStr">
        <is>
          <t>BBB-</t>
        </is>
      </c>
      <c r="V346" s="30" t="n"/>
    </row>
    <row r="347">
      <c r="A347" s="30" t="inlineStr">
        <is>
          <t>US05964HAN52</t>
        </is>
      </c>
      <c r="B347" s="30" t="inlineStr">
        <is>
          <t>Hold</t>
        </is>
      </c>
      <c r="C347" s="30" t="inlineStr">
        <is>
          <t>Banco Santander Sa</t>
        </is>
      </c>
      <c r="D347" s="30" t="n">
        <v>1.722</v>
      </c>
      <c r="E347" s="30" t="inlineStr">
        <is>
          <t>Sr Non Preferred</t>
        </is>
      </c>
      <c r="F347" s="30" t="inlineStr">
        <is>
          <t>14.09.2027</t>
        </is>
      </c>
      <c r="G347" s="30" t="inlineStr">
        <is>
          <t>Spain</t>
        </is>
      </c>
      <c r="H347" s="30" t="inlineStr">
        <is>
          <t>Financial</t>
        </is>
      </c>
      <c r="I347" s="30" t="n">
        <v>200</v>
      </c>
      <c r="J347" s="30" t="n">
        <v>96.602</v>
      </c>
      <c r="K347" s="30" t="n">
        <v>4.705842</v>
      </c>
      <c r="L347" s="30" t="n">
        <v>-0.001224</v>
      </c>
      <c r="M347" s="30" t="n">
        <v>-0.149207</v>
      </c>
      <c r="N347" s="30" t="n">
        <v>81.59335987</v>
      </c>
      <c r="O347" s="30" t="n">
        <v>1.500406583</v>
      </c>
      <c r="P347" s="30" t="n">
        <v>60</v>
      </c>
      <c r="Q347" s="30" t="inlineStr">
        <is>
          <t>Spain's largest banking group</t>
        </is>
      </c>
      <c r="R347" s="30" t="inlineStr">
        <is>
          <t>USD</t>
        </is>
      </c>
      <c r="S347" s="30" t="inlineStr">
        <is>
          <t>Investment Grade</t>
        </is>
      </c>
      <c r="T347" s="30" t="inlineStr">
        <is>
          <t>A-</t>
        </is>
      </c>
      <c r="U347" s="30" t="inlineStr">
        <is>
          <t>A-</t>
        </is>
      </c>
      <c r="V347" s="30" t="n"/>
    </row>
    <row r="348">
      <c r="A348" s="30" t="inlineStr">
        <is>
          <t>USC10602BK23</t>
        </is>
      </c>
      <c r="B348" s="30" t="inlineStr">
        <is>
          <t>Hold</t>
        </is>
      </c>
      <c r="C348" s="30" t="inlineStr">
        <is>
          <t>Bombardier Inc</t>
        </is>
      </c>
      <c r="D348" s="30" t="n">
        <v>6</v>
      </c>
      <c r="E348" s="30" t="inlineStr">
        <is>
          <t>Sr Unsecured</t>
        </is>
      </c>
      <c r="F348" s="30" t="inlineStr">
        <is>
          <t>15.02.2028</t>
        </is>
      </c>
      <c r="G348" s="30" t="inlineStr">
        <is>
          <t>Canada</t>
        </is>
      </c>
      <c r="H348" s="30" t="inlineStr">
        <is>
          <t>Industrial</t>
        </is>
      </c>
      <c r="I348" s="30" t="n">
        <v>2</v>
      </c>
      <c r="J348" s="30" t="n">
        <v>100.487</v>
      </c>
      <c r="K348" s="30" t="n">
        <v>5.157557</v>
      </c>
      <c r="L348" s="30" t="n">
        <v>0.112285</v>
      </c>
      <c r="M348" s="30" t="n">
        <v>-0.530133</v>
      </c>
      <c r="N348" s="30" t="n">
        <v>81.52687856</v>
      </c>
      <c r="O348" s="30" t="n">
        <v>0.941721147</v>
      </c>
      <c r="P348" s="30" t="n">
        <v>25</v>
      </c>
      <c r="Q348" s="30" t="inlineStr">
        <is>
          <t>A manufacturer of both planes and trains</t>
        </is>
      </c>
      <c r="R348" s="30" t="inlineStr">
        <is>
          <t>USD</t>
        </is>
      </c>
      <c r="S348" s="30" t="inlineStr">
        <is>
          <t>High Yield</t>
        </is>
      </c>
      <c r="T348" s="30" t="inlineStr">
        <is>
          <t>B+</t>
        </is>
      </c>
      <c r="U348" s="30" t="inlineStr">
        <is>
          <t>B+</t>
        </is>
      </c>
      <c r="V348" s="30" t="n"/>
    </row>
    <row r="349">
      <c r="A349" s="30" t="inlineStr">
        <is>
          <t>CH1232107180</t>
        </is>
      </c>
      <c r="B349" s="30" t="inlineStr">
        <is>
          <t>Hold</t>
        </is>
      </c>
      <c r="C349" s="30" t="inlineStr">
        <is>
          <t>Baloise Holding Ag</t>
        </is>
      </c>
      <c r="D349" s="30" t="n">
        <v>2.2</v>
      </c>
      <c r="E349" s="30" t="inlineStr">
        <is>
          <t>Sr Unsecured</t>
        </is>
      </c>
      <c r="F349" s="30" t="inlineStr">
        <is>
          <t>30.01.2032</t>
        </is>
      </c>
      <c r="G349" s="30" t="inlineStr">
        <is>
          <t>Switzerland</t>
        </is>
      </c>
      <c r="H349" s="30" t="inlineStr">
        <is>
          <t>Financial</t>
        </is>
      </c>
      <c r="I349" s="30" t="n">
        <v>5</v>
      </c>
      <c r="J349" s="30" t="n">
        <v>106.993</v>
      </c>
      <c r="K349" s="30" t="n">
        <v>1.048549</v>
      </c>
      <c r="L349" s="30" t="n">
        <v>0.036905</v>
      </c>
      <c r="M349" s="30" t="n">
        <v>0.201683</v>
      </c>
      <c r="N349" s="30" t="n">
        <v>81.44918978</v>
      </c>
      <c r="O349" s="30" t="n">
        <v>6.226347443</v>
      </c>
      <c r="P349" s="30" t="n">
        <v>80</v>
      </c>
      <c r="Q349" s="30" t="inlineStr">
        <is>
          <t xml:space="preserve">Offers group and individual life, health, accident, liability property, and transportation insurance </t>
        </is>
      </c>
      <c r="R349" s="30" t="inlineStr">
        <is>
          <t>CHF</t>
        </is>
      </c>
      <c r="S349" s="30" t="inlineStr">
        <is>
          <t>Investment Grade</t>
        </is>
      </c>
      <c r="T349" s="30" t="inlineStr">
        <is>
          <t>#N/A N/A</t>
        </is>
      </c>
      <c r="U349" s="30" t="inlineStr">
        <is>
          <t>#N/A N/A</t>
        </is>
      </c>
      <c r="V349" s="30" t="n"/>
    </row>
    <row r="350">
      <c r="A350" s="30" t="inlineStr">
        <is>
          <t>CH1227937708</t>
        </is>
      </c>
      <c r="B350" s="30" t="inlineStr">
        <is>
          <t>Hold</t>
        </is>
      </c>
      <c r="C350" s="30" t="inlineStr">
        <is>
          <t>E.On Se</t>
        </is>
      </c>
      <c r="D350" s="30" t="n">
        <v>2.5025</v>
      </c>
      <c r="E350" s="30" t="inlineStr">
        <is>
          <t>Sr Unsecured</t>
        </is>
      </c>
      <c r="F350" s="30" t="inlineStr">
        <is>
          <t>05.12.2029</t>
        </is>
      </c>
      <c r="G350" s="30" t="inlineStr">
        <is>
          <t>Germany</t>
        </is>
      </c>
      <c r="H350" s="30" t="inlineStr">
        <is>
          <t>Utilities</t>
        </is>
      </c>
      <c r="I350" s="30" t="n">
        <v>5</v>
      </c>
      <c r="J350" s="30" t="n">
        <v>106.842</v>
      </c>
      <c r="K350" s="30" t="n">
        <v>0.909968</v>
      </c>
      <c r="L350" s="30" t="n">
        <v>0.023258</v>
      </c>
      <c r="M350" s="30" t="n">
        <v>0.185193</v>
      </c>
      <c r="N350" s="30" t="n">
        <v>81.22160119</v>
      </c>
      <c r="O350" s="30" t="n">
        <v>4.507264457</v>
      </c>
      <c r="P350" s="30" t="n">
        <v>85</v>
      </c>
      <c r="Q350" s="30" t="inlineStr">
        <is>
          <t>One of the Europe's largest operators of energy networks and energy infrastructure</t>
        </is>
      </c>
      <c r="R350" s="30" t="inlineStr">
        <is>
          <t>CHF</t>
        </is>
      </c>
      <c r="S350" s="30" t="inlineStr">
        <is>
          <t>Investment Grade</t>
        </is>
      </c>
      <c r="T350" s="30" t="inlineStr">
        <is>
          <t>BBB+</t>
        </is>
      </c>
      <c r="U350" s="30" t="inlineStr">
        <is>
          <t>BBB+</t>
        </is>
      </c>
      <c r="V350" s="30" t="n"/>
    </row>
    <row r="351">
      <c r="A351" s="30" t="inlineStr">
        <is>
          <t>CH1243651929</t>
        </is>
      </c>
      <c r="B351" s="30" t="inlineStr">
        <is>
          <t>Hold</t>
        </is>
      </c>
      <c r="C351" s="30" t="inlineStr">
        <is>
          <t>Lgt Bank Ag</t>
        </is>
      </c>
      <c r="D351" s="30" t="n">
        <v>2.5</v>
      </c>
      <c r="E351" s="30" t="inlineStr">
        <is>
          <t>Sr Preferred</t>
        </is>
      </c>
      <c r="F351" s="30" t="inlineStr">
        <is>
          <t>28.02.2033</t>
        </is>
      </c>
      <c r="G351" s="30" t="inlineStr">
        <is>
          <t>Liechtenstein</t>
        </is>
      </c>
      <c r="H351" s="30" t="inlineStr">
        <is>
          <t>Financial</t>
        </is>
      </c>
      <c r="I351" s="30" t="n">
        <v>5</v>
      </c>
      <c r="J351" s="30" t="n">
        <v>110.26</v>
      </c>
      <c r="K351" s="30" t="n">
        <v>1.092775</v>
      </c>
      <c r="L351" s="30" t="n">
        <v>0.043083</v>
      </c>
      <c r="M351" s="30" t="n">
        <v>0.208167</v>
      </c>
      <c r="N351" s="30" t="n">
        <v>80.88592718</v>
      </c>
      <c r="O351" s="30" t="n">
        <v>7.151630393</v>
      </c>
      <c r="P351" s="30" t="n">
        <v>80</v>
      </c>
      <c r="Q351" s="30" t="inlineStr">
        <is>
          <t xml:space="preserve">Operates as a bank, serving customers worlwide. </t>
        </is>
      </c>
      <c r="R351" s="30" t="inlineStr">
        <is>
          <t>CHF</t>
        </is>
      </c>
      <c r="S351" s="30" t="inlineStr">
        <is>
          <t>Investment Grade</t>
        </is>
      </c>
      <c r="T351" s="30" t="inlineStr">
        <is>
          <t>A+</t>
        </is>
      </c>
      <c r="U351" s="30" t="inlineStr">
        <is>
          <t>A+</t>
        </is>
      </c>
      <c r="V351" s="30" t="n"/>
    </row>
    <row r="352">
      <c r="A352" s="30" t="inlineStr">
        <is>
          <t>US30216KAE29</t>
        </is>
      </c>
      <c r="B352" s="30" t="inlineStr">
        <is>
          <t>Hold</t>
        </is>
      </c>
      <c r="C352" s="30" t="inlineStr">
        <is>
          <t>Export-Import Bk India</t>
        </is>
      </c>
      <c r="D352" s="30" t="n">
        <v>3.25</v>
      </c>
      <c r="E352" s="30" t="inlineStr">
        <is>
          <t>Sr Unsecured</t>
        </is>
      </c>
      <c r="F352" s="30" t="inlineStr">
        <is>
          <t>15.01.2030</t>
        </is>
      </c>
      <c r="G352" s="30" t="inlineStr">
        <is>
          <t>India</t>
        </is>
      </c>
      <c r="H352" s="30" t="inlineStr">
        <is>
          <t>Government</t>
        </is>
      </c>
      <c r="I352" s="30" t="n">
        <v>200</v>
      </c>
      <c r="J352" s="30" t="n">
        <v>94.072</v>
      </c>
      <c r="K352" s="30" t="n">
        <v>4.721782</v>
      </c>
      <c r="L352" s="30" t="n">
        <v>0.031719</v>
      </c>
      <c r="M352" s="30" t="n">
        <v>-0.166667</v>
      </c>
      <c r="N352" s="30" t="n">
        <v>80.85136016</v>
      </c>
      <c r="O352" s="30" t="n">
        <v>4.422402116</v>
      </c>
      <c r="P352" s="30" t="n">
        <v>85</v>
      </c>
      <c r="Q352" s="30" t="inlineStr">
        <is>
          <t>Operates as a bank to exporters and importers, 100% state-owned</t>
        </is>
      </c>
      <c r="R352" s="30" t="inlineStr">
        <is>
          <t>USD</t>
        </is>
      </c>
      <c r="S352" s="30" t="inlineStr">
        <is>
          <t>Investment Grade</t>
        </is>
      </c>
      <c r="T352" s="30" t="inlineStr">
        <is>
          <t>BBB-</t>
        </is>
      </c>
      <c r="U352" s="30" t="inlineStr">
        <is>
          <t>BBB-</t>
        </is>
      </c>
      <c r="V352" s="30" t="n"/>
    </row>
    <row r="353">
      <c r="A353" s="30" t="inlineStr">
        <is>
          <t>CH1142512347</t>
        </is>
      </c>
      <c r="B353" s="30" t="inlineStr">
        <is>
          <t>Hold</t>
        </is>
      </c>
      <c r="C353" s="30" t="inlineStr">
        <is>
          <t>Bnp Paribas</t>
        </is>
      </c>
      <c r="D353" s="30" t="n">
        <v>0.5275</v>
      </c>
      <c r="E353" s="30" t="inlineStr">
        <is>
          <t>Sr Non Preferred</t>
        </is>
      </c>
      <c r="F353" s="30" t="inlineStr">
        <is>
          <t>20.01.2028</t>
        </is>
      </c>
      <c r="G353" s="30" t="inlineStr">
        <is>
          <t>France</t>
        </is>
      </c>
      <c r="H353" s="30" t="inlineStr">
        <is>
          <t>Financial</t>
        </is>
      </c>
      <c r="I353" s="30" t="n">
        <v>200</v>
      </c>
      <c r="J353" s="30" t="n">
        <v>99.366</v>
      </c>
      <c r="K353" s="30" t="n">
        <v>0.781497</v>
      </c>
      <c r="L353" s="30" t="n">
        <v>0.002669</v>
      </c>
      <c r="M353" s="30" t="n">
        <v>0.06622699999999999</v>
      </c>
      <c r="N353" s="30" t="n">
        <v>80.84424224</v>
      </c>
      <c r="O353" s="30" t="n">
        <v>2.862147282</v>
      </c>
      <c r="P353" s="30" t="n">
        <v>80</v>
      </c>
      <c r="Q353" s="30" t="inlineStr">
        <is>
          <t>France's largest bank with a world leading position</t>
        </is>
      </c>
      <c r="R353" s="30" t="inlineStr">
        <is>
          <t>CHF</t>
        </is>
      </c>
      <c r="S353" s="30" t="inlineStr">
        <is>
          <t>Investment Grade</t>
        </is>
      </c>
      <c r="T353" s="30" t="inlineStr">
        <is>
          <t>A-</t>
        </is>
      </c>
      <c r="U353" s="30" t="inlineStr">
        <is>
          <t>A-</t>
        </is>
      </c>
      <c r="V353" s="30" t="n"/>
    </row>
    <row r="354">
      <c r="A354" s="30" t="inlineStr">
        <is>
          <t>USP2205JAQ33</t>
        </is>
      </c>
      <c r="B354" s="30" t="inlineStr">
        <is>
          <t xml:space="preserve">Hold </t>
        </is>
      </c>
      <c r="C354" s="30" t="inlineStr">
        <is>
          <t>Cencosud Sa</t>
        </is>
      </c>
      <c r="D354" s="30" t="n">
        <v>4.375</v>
      </c>
      <c r="E354" s="30" t="inlineStr">
        <is>
          <t>Sr Unsecured</t>
        </is>
      </c>
      <c r="F354" s="30" t="inlineStr">
        <is>
          <t>17.07.2027</t>
        </is>
      </c>
      <c r="G354" s="30" t="inlineStr">
        <is>
          <t>Chile</t>
        </is>
      </c>
      <c r="H354" s="30" t="inlineStr">
        <is>
          <t>Consumer, Non-cyclical</t>
        </is>
      </c>
      <c r="I354" s="30" t="n">
        <v>200</v>
      </c>
      <c r="J354" s="30" t="n">
        <v>99.328</v>
      </c>
      <c r="K354" s="30" t="n">
        <v>4.726251</v>
      </c>
      <c r="L354" s="30" t="n">
        <v>-0.103003</v>
      </c>
      <c r="M354" s="30" t="n">
        <v>-0.20954</v>
      </c>
      <c r="N354" s="30" t="n">
        <v>80.7684696</v>
      </c>
      <c r="O354" s="30" t="n">
        <v>2.242237908</v>
      </c>
      <c r="P354" s="30" t="n">
        <v>0</v>
      </c>
      <c r="Q354" s="30" t="inlineStr">
        <is>
          <t xml:space="preserve">Food and non-food retailers </t>
        </is>
      </c>
      <c r="R354" s="30" t="inlineStr">
        <is>
          <t>USD</t>
        </is>
      </c>
      <c r="S354" s="30" t="inlineStr">
        <is>
          <t>Latin America</t>
        </is>
      </c>
      <c r="T354" s="30" t="inlineStr">
        <is>
          <t>BBB-</t>
        </is>
      </c>
      <c r="U354" s="30" t="inlineStr">
        <is>
          <t>BBB-</t>
        </is>
      </c>
      <c r="V354" s="30" t="n"/>
    </row>
    <row r="355">
      <c r="A355" s="30" t="inlineStr">
        <is>
          <t>CH1371736831</t>
        </is>
      </c>
      <c r="B355" s="30" t="inlineStr">
        <is>
          <t>Hold</t>
        </is>
      </c>
      <c r="C355" s="30" t="inlineStr">
        <is>
          <t>Fed Caisses Desjardins</t>
        </is>
      </c>
      <c r="D355" s="30" t="n">
        <v>1.4875</v>
      </c>
      <c r="E355" s="30" t="inlineStr">
        <is>
          <t>Sr Unsecured</t>
        </is>
      </c>
      <c r="F355" s="30" t="inlineStr">
        <is>
          <t>11.09.2029</t>
        </is>
      </c>
      <c r="G355" s="30" t="inlineStr">
        <is>
          <t>Canada</t>
        </is>
      </c>
      <c r="H355" s="30" t="inlineStr">
        <is>
          <t>Financial</t>
        </is>
      </c>
      <c r="I355" s="30" t="n">
        <v>5</v>
      </c>
      <c r="J355" s="30" t="n">
        <v>102.432</v>
      </c>
      <c r="K355" s="30" t="n">
        <v>0.8908740000000001</v>
      </c>
      <c r="L355" s="30" t="n">
        <v>0.026339</v>
      </c>
      <c r="M355" s="30" t="n">
        <v>0.188597</v>
      </c>
      <c r="N355" s="30" t="n">
        <v>80.60453396</v>
      </c>
      <c r="O355" s="30" t="n">
        <v>4.362146329</v>
      </c>
      <c r="P355" s="30" t="n">
        <v>0</v>
      </c>
      <c r="Q355" s="30" t="inlineStr">
        <is>
          <t xml:space="preserve">Candian cooperative financial group </t>
        </is>
      </c>
      <c r="R355" s="30" t="inlineStr">
        <is>
          <t>CHF</t>
        </is>
      </c>
      <c r="S355" s="30" t="inlineStr">
        <is>
          <t>Investment Grade</t>
        </is>
      </c>
      <c r="T355" s="30" t="inlineStr">
        <is>
          <t>A</t>
        </is>
      </c>
      <c r="U355" s="30" t="inlineStr">
        <is>
          <t>A</t>
        </is>
      </c>
      <c r="V355" s="30" t="n"/>
    </row>
    <row r="356">
      <c r="A356" s="30" t="inlineStr">
        <is>
          <t>FR0013518057</t>
        </is>
      </c>
      <c r="B356" s="30" t="inlineStr">
        <is>
          <t>Hold</t>
        </is>
      </c>
      <c r="C356" s="30" t="inlineStr">
        <is>
          <t>Societe Generale</t>
        </is>
      </c>
      <c r="D356" s="30" t="n">
        <v>1.25</v>
      </c>
      <c r="E356" s="30" t="inlineStr">
        <is>
          <t>Sr Non Preferred</t>
        </is>
      </c>
      <c r="F356" s="30" t="inlineStr">
        <is>
          <t>12.06.2030</t>
        </is>
      </c>
      <c r="G356" s="30" t="inlineStr">
        <is>
          <t>France</t>
        </is>
      </c>
      <c r="H356" s="30" t="inlineStr">
        <is>
          <t>Financial</t>
        </is>
      </c>
      <c r="I356" s="30" t="n">
        <v>100</v>
      </c>
      <c r="J356" s="30" t="n">
        <v>91.679</v>
      </c>
      <c r="K356" s="30" t="n">
        <v>3.096417</v>
      </c>
      <c r="L356" s="30" t="n">
        <v>-0.060332</v>
      </c>
      <c r="M356" s="30" t="n">
        <v>-0.145992</v>
      </c>
      <c r="N356" s="30" t="n">
        <v>80.41958102</v>
      </c>
      <c r="O356" s="30" t="n">
        <v>4.936566993</v>
      </c>
      <c r="P356" s="30" t="n">
        <v>60</v>
      </c>
      <c r="Q356" s="30" t="inlineStr">
        <is>
          <t>One of the largest banks in Europe</t>
        </is>
      </c>
      <c r="R356" s="30" t="inlineStr">
        <is>
          <t>EUR</t>
        </is>
      </c>
      <c r="S356" s="30" t="inlineStr">
        <is>
          <t>Investment Grade</t>
        </is>
      </c>
      <c r="T356" s="30" t="inlineStr">
        <is>
          <t>BBB</t>
        </is>
      </c>
      <c r="U356" s="30" t="inlineStr">
        <is>
          <t>BBB</t>
        </is>
      </c>
      <c r="V356" s="30" t="n"/>
    </row>
    <row r="357">
      <c r="A357" s="30" t="inlineStr">
        <is>
          <t>XS2801963716</t>
        </is>
      </c>
      <c r="B357" s="30" t="inlineStr">
        <is>
          <t>Top Pick</t>
        </is>
      </c>
      <c r="C357" s="30" t="inlineStr">
        <is>
          <t>Jefferies Fin Group Inc</t>
        </is>
      </c>
      <c r="D357" s="30" t="n">
        <v>4</v>
      </c>
      <c r="E357" s="30" t="inlineStr">
        <is>
          <t>Sr Unsecured</t>
        </is>
      </c>
      <c r="F357" s="30" t="inlineStr">
        <is>
          <t>16.04.2029</t>
        </is>
      </c>
      <c r="G357" s="30" t="inlineStr">
        <is>
          <t>United states</t>
        </is>
      </c>
      <c r="H357" s="30" t="inlineStr">
        <is>
          <t>Financial</t>
        </is>
      </c>
      <c r="I357" s="30" t="n">
        <v>100</v>
      </c>
      <c r="J357" s="30" t="n">
        <v>103.802</v>
      </c>
      <c r="K357" s="30" t="n">
        <v>2.917485</v>
      </c>
      <c r="L357" s="30" t="n">
        <v>-0.059342</v>
      </c>
      <c r="M357" s="30" t="n">
        <v>-0.125767</v>
      </c>
      <c r="N357" s="30" t="n">
        <v>80.39695738</v>
      </c>
      <c r="O357" s="30" t="n">
        <v>3.661400272</v>
      </c>
      <c r="P357" s="30" t="n">
        <v>60</v>
      </c>
      <c r="Q357" s="30" t="inlineStr">
        <is>
          <t xml:space="preserve">US investment bank </t>
        </is>
      </c>
      <c r="R357" s="30" t="inlineStr">
        <is>
          <t>EUR</t>
        </is>
      </c>
      <c r="S357" s="30" t="inlineStr">
        <is>
          <t>Investment Grade</t>
        </is>
      </c>
      <c r="T357" s="30" t="inlineStr">
        <is>
          <t>BBB</t>
        </is>
      </c>
      <c r="U357" s="30" t="inlineStr">
        <is>
          <t>BBB</t>
        </is>
      </c>
      <c r="V357" s="30" t="n"/>
    </row>
    <row r="358">
      <c r="A358" s="30" t="inlineStr">
        <is>
          <t>FR0014008NE2</t>
        </is>
      </c>
      <c r="B358" s="30" t="inlineStr">
        <is>
          <t xml:space="preserve">Hold </t>
        </is>
      </c>
      <c r="C358" s="30" t="inlineStr">
        <is>
          <t>Bnp Paribas</t>
        </is>
      </c>
      <c r="D358" s="30" t="n">
        <v>2.875</v>
      </c>
      <c r="E358" s="30" t="inlineStr">
        <is>
          <t>Sr Non Preferred</t>
        </is>
      </c>
      <c r="F358" s="30" t="inlineStr">
        <is>
          <t>24.02.2029</t>
        </is>
      </c>
      <c r="G358" s="30" t="inlineStr">
        <is>
          <t>France</t>
        </is>
      </c>
      <c r="H358" s="30" t="inlineStr">
        <is>
          <t>Financial</t>
        </is>
      </c>
      <c r="I358" s="30" t="n">
        <v>100</v>
      </c>
      <c r="J358" s="30" t="n">
        <v>94.164</v>
      </c>
      <c r="K358" s="30" t="n">
        <v>4.60222</v>
      </c>
      <c r="L358" s="30" t="n">
        <v>-0.048085</v>
      </c>
      <c r="M358" s="30" t="n">
        <v>-0.295346</v>
      </c>
      <c r="N358" s="30" t="n">
        <v>80.39259534999999</v>
      </c>
      <c r="O358" s="30" t="n">
        <v>3.64311789</v>
      </c>
      <c r="P358" s="30" t="n">
        <v>85</v>
      </c>
      <c r="Q358" s="30" t="inlineStr">
        <is>
          <t>France's largest bank with a world leading position</t>
        </is>
      </c>
      <c r="R358" s="30" t="inlineStr">
        <is>
          <t>GBP</t>
        </is>
      </c>
      <c r="S358" s="30" t="inlineStr">
        <is>
          <t>Investment Grade</t>
        </is>
      </c>
      <c r="T358" s="30" t="inlineStr">
        <is>
          <t>A-</t>
        </is>
      </c>
      <c r="U358" s="30" t="inlineStr">
        <is>
          <t>A-</t>
        </is>
      </c>
      <c r="V358" s="30" t="n"/>
    </row>
    <row r="359">
      <c r="A359" s="30" t="inlineStr">
        <is>
          <t>US817565CE22</t>
        </is>
      </c>
      <c r="B359" s="30" t="inlineStr">
        <is>
          <t xml:space="preserve">Top Pick </t>
        </is>
      </c>
      <c r="C359" s="30" t="inlineStr">
        <is>
          <t>Service Corp Intl</t>
        </is>
      </c>
      <c r="D359" s="30" t="n">
        <v>5.125</v>
      </c>
      <c r="E359" s="30" t="inlineStr">
        <is>
          <t>Sr Unsecured</t>
        </is>
      </c>
      <c r="F359" s="30" t="inlineStr">
        <is>
          <t>01.06.2029</t>
        </is>
      </c>
      <c r="G359" s="30" t="inlineStr">
        <is>
          <t>United states</t>
        </is>
      </c>
      <c r="H359" s="30" t="inlineStr">
        <is>
          <t>Consumer, Non-cyclical</t>
        </is>
      </c>
      <c r="I359" s="30" t="n">
        <v>2</v>
      </c>
      <c r="J359" s="30" t="n">
        <v>99.91200000000001</v>
      </c>
      <c r="K359" s="30" t="n">
        <v>5.153418</v>
      </c>
      <c r="L359" s="30" t="n">
        <v>0.03072</v>
      </c>
      <c r="M359" s="30" t="n">
        <v>-0.116001</v>
      </c>
      <c r="N359" s="30" t="n">
        <v>80.35695805</v>
      </c>
      <c r="O359" s="30" t="n">
        <v>3.744823606</v>
      </c>
      <c r="P359" s="30" t="n">
        <v>0</v>
      </c>
      <c r="Q359" s="30" t="inlineStr">
        <is>
          <t>US leading funeral services provider</t>
        </is>
      </c>
      <c r="R359" s="30" t="inlineStr">
        <is>
          <t>USD</t>
        </is>
      </c>
      <c r="S359" s="30" t="inlineStr">
        <is>
          <t>High Yield</t>
        </is>
      </c>
      <c r="T359" s="30" t="inlineStr">
        <is>
          <t>BB-</t>
        </is>
      </c>
      <c r="U359" s="30" t="inlineStr">
        <is>
          <t>BB-</t>
        </is>
      </c>
      <c r="V359" s="30" t="n"/>
    </row>
    <row r="360">
      <c r="A360" s="30" t="inlineStr">
        <is>
          <t>US92338CAF05</t>
        </is>
      </c>
      <c r="B360" s="30" t="inlineStr">
        <is>
          <t>Top Pick</t>
        </is>
      </c>
      <c r="C360" s="30" t="inlineStr">
        <is>
          <t>Veralto Corp</t>
        </is>
      </c>
      <c r="D360" s="30" t="n">
        <v>5.45</v>
      </c>
      <c r="E360" s="30" t="inlineStr">
        <is>
          <t>Sr Unsecured</t>
        </is>
      </c>
      <c r="F360" s="30" t="inlineStr">
        <is>
          <t>18.09.2033</t>
        </is>
      </c>
      <c r="G360" s="30" t="inlineStr">
        <is>
          <t>United states</t>
        </is>
      </c>
      <c r="H360" s="30" t="inlineStr">
        <is>
          <t>Industrial</t>
        </is>
      </c>
      <c r="I360" s="30" t="n">
        <v>2</v>
      </c>
      <c r="J360" s="30" t="n">
        <v>102.668</v>
      </c>
      <c r="K360" s="30" t="n">
        <v>5.037894</v>
      </c>
      <c r="L360" s="30" t="n">
        <v>-0.004275</v>
      </c>
      <c r="M360" s="30" t="n">
        <v>-0.149055</v>
      </c>
      <c r="N360" s="30" t="n">
        <v>80.01549343000001</v>
      </c>
      <c r="O360" s="30" t="n">
        <v>6.483939938</v>
      </c>
      <c r="P360" s="30" t="n">
        <v>75</v>
      </c>
      <c r="Q360" s="30" t="inlineStr">
        <is>
          <t xml:space="preserve">Spinoff from Danaher, emerging as an independent company within the water treatment industry. </t>
        </is>
      </c>
      <c r="R360" s="30" t="inlineStr">
        <is>
          <t>USD</t>
        </is>
      </c>
      <c r="S360" s="30" t="inlineStr">
        <is>
          <t>Investment Grade</t>
        </is>
      </c>
      <c r="T360" s="30" t="inlineStr">
        <is>
          <t>BBB</t>
        </is>
      </c>
      <c r="U360" s="30" t="inlineStr">
        <is>
          <t>BBB</t>
        </is>
      </c>
      <c r="V360" s="30" t="n"/>
    </row>
    <row r="361">
      <c r="A361" s="30" t="inlineStr">
        <is>
          <t>XS2386287689</t>
        </is>
      </c>
      <c r="B361" s="30" t="inlineStr">
        <is>
          <t>Hold</t>
        </is>
      </c>
      <c r="C361" s="30" t="inlineStr">
        <is>
          <t>Mediobanca Di Cred Fin</t>
        </is>
      </c>
      <c r="D361" s="30" t="n">
        <v>0.75</v>
      </c>
      <c r="E361" s="30" t="inlineStr">
        <is>
          <t>Sr Non Preferred</t>
        </is>
      </c>
      <c r="F361" s="30" t="inlineStr">
        <is>
          <t>02.11.2028</t>
        </is>
      </c>
      <c r="G361" s="30" t="inlineStr">
        <is>
          <t>Italy</t>
        </is>
      </c>
      <c r="H361" s="30" t="inlineStr">
        <is>
          <t>Financial</t>
        </is>
      </c>
      <c r="I361" s="30" t="n">
        <v>250</v>
      </c>
      <c r="J361" s="30" t="n">
        <v>95.854</v>
      </c>
      <c r="K361" s="30" t="n">
        <v>2.616107</v>
      </c>
      <c r="L361" s="30" t="n">
        <v>-0.075271</v>
      </c>
      <c r="M361" s="30" t="n">
        <v>-0.06651600000000001</v>
      </c>
      <c r="N361" s="30" t="n">
        <v>79.96506787</v>
      </c>
      <c r="O361" s="30" t="n">
        <v>2.585887684</v>
      </c>
      <c r="P361" s="30" t="n">
        <v>60</v>
      </c>
      <c r="Q361" s="30" t="inlineStr">
        <is>
          <t>European investment banking boutique.</t>
        </is>
      </c>
      <c r="R361" s="30" t="inlineStr">
        <is>
          <t>EUR</t>
        </is>
      </c>
      <c r="S361" s="30" t="inlineStr">
        <is>
          <t>Investment Grade</t>
        </is>
      </c>
      <c r="T361" s="30" t="inlineStr">
        <is>
          <t>BBB-</t>
        </is>
      </c>
      <c r="U361" s="30" t="inlineStr">
        <is>
          <t>BBB-</t>
        </is>
      </c>
      <c r="V361" s="30" t="n"/>
    </row>
    <row r="362">
      <c r="A362" s="30" t="inlineStr">
        <is>
          <t>US458140BH27</t>
        </is>
      </c>
      <c r="B362" s="30" t="inlineStr">
        <is>
          <t>Hold</t>
        </is>
      </c>
      <c r="C362" s="30" t="inlineStr">
        <is>
          <t>Intel Corp</t>
        </is>
      </c>
      <c r="D362" s="30" t="n">
        <v>2.45</v>
      </c>
      <c r="E362" s="30" t="inlineStr">
        <is>
          <t>Sr Unsecured</t>
        </is>
      </c>
      <c r="F362" s="30" t="inlineStr">
        <is>
          <t>15.11.2029</t>
        </is>
      </c>
      <c r="G362" s="30" t="inlineStr">
        <is>
          <t>United states</t>
        </is>
      </c>
      <c r="H362" s="30" t="inlineStr">
        <is>
          <t>Technology</t>
        </is>
      </c>
      <c r="I362" s="30" t="n">
        <v>2</v>
      </c>
      <c r="J362" s="30" t="n">
        <v>91.211</v>
      </c>
      <c r="K362" s="30" t="n">
        <v>4.705982</v>
      </c>
      <c r="L362" s="30" t="n">
        <v>0.009612000000000001</v>
      </c>
      <c r="M362" s="30" t="n">
        <v>-0.168502</v>
      </c>
      <c r="N362" s="30" t="n">
        <v>79.77149249999999</v>
      </c>
      <c r="O362" s="30" t="n">
        <v>4.338210826</v>
      </c>
      <c r="P362" s="30" t="n">
        <v>80</v>
      </c>
      <c r="Q362" s="30" t="inlineStr">
        <is>
          <t>One of the world's largest semiconductor companies</t>
        </is>
      </c>
      <c r="R362" s="30" t="inlineStr">
        <is>
          <t>USD</t>
        </is>
      </c>
      <c r="S362" s="30" t="inlineStr">
        <is>
          <t>Investment Grade</t>
        </is>
      </c>
      <c r="T362" s="30" t="inlineStr">
        <is>
          <t>BBB</t>
        </is>
      </c>
      <c r="U362" s="30" t="inlineStr">
        <is>
          <t>BBB</t>
        </is>
      </c>
      <c r="V362" s="30" t="n"/>
    </row>
    <row r="363">
      <c r="A363" s="30" t="inlineStr">
        <is>
          <t>XS1985037974</t>
        </is>
      </c>
      <c r="B363" s="30" t="inlineStr">
        <is>
          <t>Hold</t>
        </is>
      </c>
      <c r="C363" s="30" t="inlineStr">
        <is>
          <t>Next Group Plc</t>
        </is>
      </c>
      <c r="D363" s="30" t="n">
        <v>3</v>
      </c>
      <c r="E363" s="30" t="inlineStr">
        <is>
          <t>Sr Unsecured</t>
        </is>
      </c>
      <c r="F363" s="30" t="inlineStr">
        <is>
          <t>26.08.2025</t>
        </is>
      </c>
      <c r="G363" s="30" t="inlineStr">
        <is>
          <t>United Kingdom</t>
        </is>
      </c>
      <c r="H363" s="30" t="inlineStr">
        <is>
          <t>Consumer, Cyclical</t>
        </is>
      </c>
      <c r="I363" s="30" t="n">
        <v>100</v>
      </c>
      <c r="J363" s="30" t="n">
        <v>99.773</v>
      </c>
      <c r="K363" s="30" t="n">
        <v>4.655754</v>
      </c>
      <c r="L363" s="30" t="n">
        <v>0.000924</v>
      </c>
      <c r="M363" s="30" t="n">
        <v>-0.522828</v>
      </c>
      <c r="N363" s="30" t="n">
        <v>79.66191015</v>
      </c>
      <c r="O363" s="30" t="n">
        <v>0.490446282</v>
      </c>
      <c r="P363" s="30" t="n">
        <v>60</v>
      </c>
      <c r="Q363" s="30" t="inlineStr">
        <is>
          <t>British clothing, footwear and home products company</t>
        </is>
      </c>
      <c r="R363" s="30" t="inlineStr">
        <is>
          <t>GBP</t>
        </is>
      </c>
      <c r="S363" s="30" t="inlineStr">
        <is>
          <t>Investment Grade</t>
        </is>
      </c>
      <c r="T363" s="30" t="inlineStr">
        <is>
          <t>BBB</t>
        </is>
      </c>
      <c r="U363" s="30" t="inlineStr">
        <is>
          <t>BBB</t>
        </is>
      </c>
      <c r="V363" s="30" t="n"/>
    </row>
    <row r="364">
      <c r="A364" s="30" t="inlineStr">
        <is>
          <t>XS1910948329</t>
        </is>
      </c>
      <c r="B364" s="30" t="inlineStr">
        <is>
          <t>Hold</t>
        </is>
      </c>
      <c r="C364" s="30" t="inlineStr">
        <is>
          <t>Volkswagen Intl Fin Nv</t>
        </is>
      </c>
      <c r="D364" s="30" t="n">
        <v>3.25</v>
      </c>
      <c r="E364" s="30" t="inlineStr">
        <is>
          <t>Sr Unsecured</t>
        </is>
      </c>
      <c r="F364" s="30" t="inlineStr">
        <is>
          <t>18.11.2030</t>
        </is>
      </c>
      <c r="G364" s="30" t="inlineStr">
        <is>
          <t>Germany</t>
        </is>
      </c>
      <c r="H364" s="30" t="inlineStr">
        <is>
          <t>Consumer, Cyclical</t>
        </is>
      </c>
      <c r="I364" s="30" t="n">
        <v>100</v>
      </c>
      <c r="J364" s="30" t="n">
        <v>100.477</v>
      </c>
      <c r="K364" s="30" t="n">
        <v>3.149628</v>
      </c>
      <c r="L364" s="30" t="n">
        <v>-0.110362</v>
      </c>
      <c r="M364" s="30" t="n">
        <v>-0.170393</v>
      </c>
      <c r="N364" s="30" t="n">
        <v>79.64646025</v>
      </c>
      <c r="O364" s="30" t="n">
        <v>5.097755247</v>
      </c>
      <c r="P364" s="30" t="n">
        <v>60</v>
      </c>
      <c r="Q364" s="30" t="inlineStr">
        <is>
          <t>Financial arm of multinational auto manufacturing company</t>
        </is>
      </c>
      <c r="R364" s="30" t="inlineStr">
        <is>
          <t>EUR</t>
        </is>
      </c>
      <c r="S364" s="30" t="inlineStr">
        <is>
          <t>Investment Grade</t>
        </is>
      </c>
      <c r="T364" s="30" t="inlineStr">
        <is>
          <t>BBB+</t>
        </is>
      </c>
      <c r="U364" s="30" t="inlineStr">
        <is>
          <t>BBB+</t>
        </is>
      </c>
      <c r="V364" s="30" t="n"/>
    </row>
    <row r="365">
      <c r="A365" s="30" t="inlineStr">
        <is>
          <t>XS2533094400</t>
        </is>
      </c>
      <c r="B365" s="30" t="inlineStr">
        <is>
          <t>Hold</t>
        </is>
      </c>
      <c r="C365" s="30" t="inlineStr">
        <is>
          <t>Mediobanca Di Cred Fin</t>
        </is>
      </c>
      <c r="D365" s="30" t="n">
        <v>3.4</v>
      </c>
      <c r="E365" s="30" t="inlineStr">
        <is>
          <t>Sr Preferred</t>
        </is>
      </c>
      <c r="F365" s="30" t="inlineStr">
        <is>
          <t>21.10.2026</t>
        </is>
      </c>
      <c r="G365" s="30" t="inlineStr">
        <is>
          <t>Italy</t>
        </is>
      </c>
      <c r="H365" s="30" t="inlineStr">
        <is>
          <t>Financial</t>
        </is>
      </c>
      <c r="I365" s="30" t="n">
        <v>1</v>
      </c>
      <c r="J365" s="30" t="n">
        <v>100.929</v>
      </c>
      <c r="K365" s="30" t="n">
        <v>2.647438</v>
      </c>
      <c r="L365" s="30" t="n">
        <v>-0.045753</v>
      </c>
      <c r="M365" s="30" t="n">
        <v>-0.10343</v>
      </c>
      <c r="N365" s="30" t="n">
        <v>79.41251908</v>
      </c>
      <c r="O365" s="30" t="n">
        <v>1.575451478</v>
      </c>
      <c r="P365" s="30" t="n">
        <v>80</v>
      </c>
      <c r="Q365" s="30" t="inlineStr">
        <is>
          <t>European Investment banking boutique</t>
        </is>
      </c>
      <c r="R365" s="30" t="inlineStr">
        <is>
          <t>EUR</t>
        </is>
      </c>
      <c r="S365" s="30" t="inlineStr">
        <is>
          <t>Investment Grade</t>
        </is>
      </c>
      <c r="T365" s="30" t="inlineStr">
        <is>
          <t>BBB</t>
        </is>
      </c>
      <c r="U365" s="30" t="inlineStr">
        <is>
          <t>BBB</t>
        </is>
      </c>
      <c r="V365" s="30" t="n"/>
    </row>
    <row r="366">
      <c r="A366" s="30" t="inlineStr">
        <is>
          <t>XS2989441899</t>
        </is>
      </c>
      <c r="B366" s="30" t="inlineStr">
        <is>
          <t xml:space="preserve">Hold </t>
        </is>
      </c>
      <c r="C366" s="30" t="inlineStr">
        <is>
          <t>J Sainsbury Plc</t>
        </is>
      </c>
      <c r="D366" s="30" t="n">
        <v>5.125</v>
      </c>
      <c r="E366" s="30" t="inlineStr">
        <is>
          <t>Sr Unsecured</t>
        </is>
      </c>
      <c r="F366" s="30" t="inlineStr">
        <is>
          <t>29.06.2030</t>
        </is>
      </c>
      <c r="G366" s="30" t="inlineStr">
        <is>
          <t>United Kingdom</t>
        </is>
      </c>
      <c r="H366" s="30" t="inlineStr">
        <is>
          <t>Consumer, Non-cyclical</t>
        </is>
      </c>
      <c r="I366" s="30" t="n">
        <v>100</v>
      </c>
      <c r="J366" s="30" t="n">
        <v>101.596</v>
      </c>
      <c r="K366" s="30" t="n">
        <v>4.744793</v>
      </c>
      <c r="L366" s="30" t="n">
        <v>-0.070425</v>
      </c>
      <c r="M366" s="30" t="n">
        <v>-0.31912</v>
      </c>
      <c r="N366" s="30" t="n">
        <v>79.17403519</v>
      </c>
      <c r="O366" s="30" t="n">
        <v>4.416086361</v>
      </c>
      <c r="P366" s="30" t="n">
        <v>0</v>
      </c>
      <c r="Q366" s="30" t="inlineStr">
        <is>
          <t>UK supermarket</t>
        </is>
      </c>
      <c r="R366" s="30" t="inlineStr">
        <is>
          <t>GBP</t>
        </is>
      </c>
      <c r="S366" s="30" t="inlineStr">
        <is>
          <t>Investment Grade</t>
        </is>
      </c>
      <c r="T366" s="30" t="inlineStr">
        <is>
          <t>BBB-</t>
        </is>
      </c>
      <c r="U366" s="30" t="inlineStr">
        <is>
          <t>BBB-</t>
        </is>
      </c>
      <c r="V366" s="30" t="n"/>
    </row>
    <row r="367">
      <c r="A367" s="30" t="inlineStr">
        <is>
          <t>US24703DBL47</t>
        </is>
      </c>
      <c r="B367" s="30" t="inlineStr">
        <is>
          <t>Hold</t>
        </is>
      </c>
      <c r="C367" s="30" t="inlineStr">
        <is>
          <t>Dell Int Llc / Emc Corp</t>
        </is>
      </c>
      <c r="D367" s="30" t="n">
        <v>5.75</v>
      </c>
      <c r="E367" s="30" t="inlineStr">
        <is>
          <t>Sr Unsecured</t>
        </is>
      </c>
      <c r="F367" s="30" t="inlineStr">
        <is>
          <t>01.02.2033</t>
        </is>
      </c>
      <c r="G367" s="30" t="inlineStr">
        <is>
          <t>United states</t>
        </is>
      </c>
      <c r="H367" s="30" t="inlineStr">
        <is>
          <t>Technology</t>
        </is>
      </c>
      <c r="I367" s="30" t="n">
        <v>2</v>
      </c>
      <c r="J367" s="30" t="n">
        <v>104.728</v>
      </c>
      <c r="K367" s="30" t="n">
        <v>4.971379</v>
      </c>
      <c r="L367" s="30" t="n">
        <v>-0.037618</v>
      </c>
      <c r="M367" s="30" t="n">
        <v>-0.229988</v>
      </c>
      <c r="N367" s="30" t="n">
        <v>79.12618187</v>
      </c>
      <c r="O367" s="30" t="n">
        <v>6.16833289</v>
      </c>
      <c r="P367" s="30" t="n">
        <v>85</v>
      </c>
      <c r="Q367" s="30" t="inlineStr">
        <is>
          <t>Tobacco company</t>
        </is>
      </c>
      <c r="R367" s="30" t="inlineStr">
        <is>
          <t>USD</t>
        </is>
      </c>
      <c r="S367" s="30" t="inlineStr">
        <is>
          <t>Investment Grade</t>
        </is>
      </c>
      <c r="T367" s="30" t="inlineStr">
        <is>
          <t>BBB</t>
        </is>
      </c>
      <c r="U367" s="30" t="inlineStr">
        <is>
          <t>BBB</t>
        </is>
      </c>
      <c r="V367" s="30" t="n"/>
    </row>
    <row r="368">
      <c r="A368" s="30" t="inlineStr">
        <is>
          <t>CH1239495042</t>
        </is>
      </c>
      <c r="B368" s="30" t="inlineStr">
        <is>
          <t xml:space="preserve">Hold </t>
        </is>
      </c>
      <c r="C368" s="30" t="inlineStr">
        <is>
          <t>Hyundai Capital Services</t>
        </is>
      </c>
      <c r="D368" s="30" t="n">
        <v>3.0325</v>
      </c>
      <c r="E368" s="30" t="inlineStr">
        <is>
          <t>Sr Unsecured</t>
        </is>
      </c>
      <c r="F368" s="30" t="inlineStr">
        <is>
          <t>01.02.2028</t>
        </is>
      </c>
      <c r="G368" s="30" t="inlineStr">
        <is>
          <t>South Korea</t>
        </is>
      </c>
      <c r="H368" s="30" t="inlineStr">
        <is>
          <t>Consumer, Cyclical</t>
        </is>
      </c>
      <c r="I368" s="30" t="n">
        <v>5</v>
      </c>
      <c r="J368" s="30" t="n">
        <v>105.725</v>
      </c>
      <c r="K368" s="30" t="n">
        <v>0.765487</v>
      </c>
      <c r="L368" s="30" t="n">
        <v>0.003234</v>
      </c>
      <c r="M368" s="30" t="n">
        <v>0.105159</v>
      </c>
      <c r="N368" s="30" t="n">
        <v>79.06754234</v>
      </c>
      <c r="O368" s="30" t="n">
        <v>2.824639823</v>
      </c>
      <c r="P368" s="30" t="n">
        <v>80</v>
      </c>
      <c r="Q368" s="30" t="inlineStr">
        <is>
          <t>Offers auto financing, durable goods financing, leasing services, and loans in Korea</t>
        </is>
      </c>
      <c r="R368" s="30" t="inlineStr">
        <is>
          <t>CHF</t>
        </is>
      </c>
      <c r="S368" s="30" t="inlineStr">
        <is>
          <t>Investment Grade</t>
        </is>
      </c>
      <c r="T368" s="30" t="inlineStr">
        <is>
          <t>NR</t>
        </is>
      </c>
      <c r="U368" s="30" t="inlineStr">
        <is>
          <t>NR</t>
        </is>
      </c>
      <c r="V368" s="30" t="n"/>
    </row>
    <row r="369">
      <c r="A369" s="30" t="inlineStr">
        <is>
          <t>XS2627338580</t>
        </is>
      </c>
      <c r="B369" s="30" t="inlineStr">
        <is>
          <t>Hold</t>
        </is>
      </c>
      <c r="C369" s="30" t="inlineStr">
        <is>
          <t>Aldar Investment Propert</t>
        </is>
      </c>
      <c r="D369" s="30" t="n">
        <v>4.875</v>
      </c>
      <c r="E369" s="30" t="inlineStr">
        <is>
          <t>Sr Unsecured</t>
        </is>
      </c>
      <c r="F369" s="30" t="inlineStr">
        <is>
          <t>24.05.2033</t>
        </is>
      </c>
      <c r="G369" s="30" t="inlineStr">
        <is>
          <t>U.A.E</t>
        </is>
      </c>
      <c r="H369" s="30" t="inlineStr">
        <is>
          <t>Financial</t>
        </is>
      </c>
      <c r="I369" s="30" t="n">
        <v>200</v>
      </c>
      <c r="J369" s="30" t="n">
        <v>99.267</v>
      </c>
      <c r="K369" s="30" t="n">
        <v>4.987746</v>
      </c>
      <c r="L369" s="30" t="n">
        <v>-0.029336</v>
      </c>
      <c r="M369" s="30" t="n">
        <v>-0.094113</v>
      </c>
      <c r="N369" s="30" t="n">
        <v>78.75485048</v>
      </c>
      <c r="O369" s="30" t="n">
        <v>6.60405166</v>
      </c>
      <c r="P369" s="30" t="n">
        <v>50</v>
      </c>
      <c r="Q369" s="30" t="inlineStr">
        <is>
          <t>Abu Dhabi property company with partial state ownership</t>
        </is>
      </c>
      <c r="R369" s="30" t="inlineStr">
        <is>
          <t>USD</t>
        </is>
      </c>
      <c r="S369" s="30" t="inlineStr">
        <is>
          <t>Investment Grade</t>
        </is>
      </c>
      <c r="T369" s="30" t="inlineStr">
        <is>
          <t>NR</t>
        </is>
      </c>
      <c r="U369" s="30" t="inlineStr">
        <is>
          <t>NR</t>
        </is>
      </c>
      <c r="V369" s="30" t="n"/>
    </row>
    <row r="370">
      <c r="A370" s="30" t="inlineStr">
        <is>
          <t>US05526DBW48</t>
        </is>
      </c>
      <c r="B370" s="30" t="inlineStr">
        <is>
          <t>Top Pick</t>
        </is>
      </c>
      <c r="C370" s="30" t="inlineStr">
        <is>
          <t>Bat Capital Corp</t>
        </is>
      </c>
      <c r="D370" s="30" t="n">
        <v>4.742</v>
      </c>
      <c r="E370" s="30" t="inlineStr">
        <is>
          <t>Sr Unsecured</t>
        </is>
      </c>
      <c r="F370" s="30" t="inlineStr">
        <is>
          <t>16.03.2032</t>
        </is>
      </c>
      <c r="G370" s="30" t="inlineStr">
        <is>
          <t>United Kingdom</t>
        </is>
      </c>
      <c r="H370" s="30" t="inlineStr">
        <is>
          <t>Consumer, Non-cyclical</t>
        </is>
      </c>
      <c r="I370" s="30" t="n">
        <v>2</v>
      </c>
      <c r="J370" s="30" t="n">
        <v>99.126</v>
      </c>
      <c r="K370" s="30" t="n">
        <v>4.895519</v>
      </c>
      <c r="L370" s="30" t="n">
        <v>-0.027335</v>
      </c>
      <c r="M370" s="30" t="n">
        <v>-0.202385</v>
      </c>
      <c r="N370" s="30" t="n">
        <v>78.28746568</v>
      </c>
      <c r="O370" s="30" t="n">
        <v>5.791818061</v>
      </c>
      <c r="P370" s="30" t="n">
        <v>60</v>
      </c>
      <c r="Q370" s="30" t="inlineStr">
        <is>
          <t>Tobacco company</t>
        </is>
      </c>
      <c r="R370" s="30" t="inlineStr">
        <is>
          <t>USD</t>
        </is>
      </c>
      <c r="S370" s="30" t="inlineStr">
        <is>
          <t>Investment Grade</t>
        </is>
      </c>
      <c r="T370" s="30" t="inlineStr">
        <is>
          <t>BBB+</t>
        </is>
      </c>
      <c r="U370" s="30" t="inlineStr">
        <is>
          <t>BBB+</t>
        </is>
      </c>
      <c r="V370" s="30" t="n"/>
    </row>
    <row r="371">
      <c r="A371" s="30" t="inlineStr">
        <is>
          <t>US03938LBC72</t>
        </is>
      </c>
      <c r="B371" s="30" t="inlineStr">
        <is>
          <t>Top Pick</t>
        </is>
      </c>
      <c r="C371" s="30" t="inlineStr">
        <is>
          <t>Arcelormittal</t>
        </is>
      </c>
      <c r="D371" s="30" t="n">
        <v>4.25</v>
      </c>
      <c r="E371" s="30" t="inlineStr">
        <is>
          <t>Sr Unsecured</t>
        </is>
      </c>
      <c r="F371" s="30" t="inlineStr">
        <is>
          <t>16.07.2029</t>
        </is>
      </c>
      <c r="G371" s="30" t="inlineStr">
        <is>
          <t>Luxembourg</t>
        </is>
      </c>
      <c r="H371" s="30" t="inlineStr">
        <is>
          <t>Basic Materials</t>
        </is>
      </c>
      <c r="I371" s="30" t="n">
        <v>2</v>
      </c>
      <c r="J371" s="30" t="n">
        <v>98.468</v>
      </c>
      <c r="K371" s="30" t="n">
        <v>4.671922</v>
      </c>
      <c r="L371" s="30" t="n">
        <v>0.040566</v>
      </c>
      <c r="M371" s="30" t="n">
        <v>-0.219396</v>
      </c>
      <c r="N371" s="30" t="n">
        <v>78.27461259</v>
      </c>
      <c r="O371" s="30" t="n">
        <v>3.943280682</v>
      </c>
      <c r="P371" s="30" t="n">
        <v>60</v>
      </c>
      <c r="Q371" s="30" t="inlineStr">
        <is>
          <t>World's largest producer of steel</t>
        </is>
      </c>
      <c r="R371" s="30" t="inlineStr">
        <is>
          <t>USD</t>
        </is>
      </c>
      <c r="S371" s="30" t="inlineStr">
        <is>
          <t>Investment Grade</t>
        </is>
      </c>
      <c r="T371" s="30" t="inlineStr">
        <is>
          <t>BBB-</t>
        </is>
      </c>
      <c r="U371" s="30" t="inlineStr">
        <is>
          <t>BBB-</t>
        </is>
      </c>
      <c r="V371" s="30" t="n"/>
    </row>
    <row r="372">
      <c r="A372" s="30" t="inlineStr">
        <is>
          <t>XS2554488978</t>
        </is>
      </c>
      <c r="B372" s="30" t="inlineStr">
        <is>
          <t xml:space="preserve">Hold </t>
        </is>
      </c>
      <c r="C372" s="30" t="inlineStr">
        <is>
          <t>Volkswagen Intl Fin Nv</t>
        </is>
      </c>
      <c r="D372" s="30" t="n">
        <v>4.25</v>
      </c>
      <c r="E372" s="30" t="inlineStr">
        <is>
          <t>Sr Unsecured</t>
        </is>
      </c>
      <c r="F372" s="30" t="inlineStr">
        <is>
          <t>15.02.2028</t>
        </is>
      </c>
      <c r="G372" s="30" t="inlineStr">
        <is>
          <t>Germany</t>
        </is>
      </c>
      <c r="H372" s="30" t="inlineStr">
        <is>
          <t>Consumer, Cyclical</t>
        </is>
      </c>
      <c r="I372" s="30" t="n">
        <v>100</v>
      </c>
      <c r="J372" s="30" t="n">
        <v>103.755</v>
      </c>
      <c r="K372" s="30" t="n">
        <v>2.732009</v>
      </c>
      <c r="L372" s="30" t="n">
        <v>-0.044377</v>
      </c>
      <c r="M372" s="30" t="n">
        <v>-0.020586</v>
      </c>
      <c r="N372" s="30" t="n">
        <v>78.25141716</v>
      </c>
      <c r="O372" s="30" t="n">
        <v>2.771371955</v>
      </c>
      <c r="P372" s="30" t="n">
        <v>60</v>
      </c>
      <c r="Q372" s="30" t="inlineStr">
        <is>
          <t>Financial arm of multinational auto manufacturing company</t>
        </is>
      </c>
      <c r="R372" s="30" t="inlineStr">
        <is>
          <t>EUR</t>
        </is>
      </c>
      <c r="S372" s="30" t="inlineStr">
        <is>
          <t>Investment Grade</t>
        </is>
      </c>
      <c r="T372" s="30" t="inlineStr">
        <is>
          <t>BBB+</t>
        </is>
      </c>
      <c r="U372" s="30" t="inlineStr">
        <is>
          <t>BBB+</t>
        </is>
      </c>
      <c r="V372" s="30" t="n"/>
    </row>
    <row r="373">
      <c r="A373" s="30" t="inlineStr">
        <is>
          <t>US03027XBW92</t>
        </is>
      </c>
      <c r="B373" s="30" t="inlineStr">
        <is>
          <t>Top Pick</t>
        </is>
      </c>
      <c r="C373" s="30" t="inlineStr">
        <is>
          <t>American Tower Corp</t>
        </is>
      </c>
      <c r="D373" s="30" t="n">
        <v>4.05</v>
      </c>
      <c r="E373" s="30" t="inlineStr">
        <is>
          <t>Sr Unsecured</t>
        </is>
      </c>
      <c r="F373" s="30" t="inlineStr">
        <is>
          <t>15.03.2032</t>
        </is>
      </c>
      <c r="G373" s="30" t="inlineStr">
        <is>
          <t>United states</t>
        </is>
      </c>
      <c r="H373" s="30" t="inlineStr">
        <is>
          <t>Financial</t>
        </is>
      </c>
      <c r="I373" s="30" t="n">
        <v>2</v>
      </c>
      <c r="J373" s="30" t="n">
        <v>95.268</v>
      </c>
      <c r="K373" s="30" t="n">
        <v>4.887177</v>
      </c>
      <c r="L373" s="30" t="n">
        <v>0.004289</v>
      </c>
      <c r="M373" s="30" t="n">
        <v>-0.103751</v>
      </c>
      <c r="N373" s="30" t="n">
        <v>78.08029117</v>
      </c>
      <c r="O373" s="30" t="n">
        <v>5.914366614</v>
      </c>
      <c r="P373" s="30" t="n">
        <v>60</v>
      </c>
      <c r="Q373" s="30" t="inlineStr">
        <is>
          <t xml:space="preserve">Owns and operate telecom towers </t>
        </is>
      </c>
      <c r="R373" s="30" t="inlineStr">
        <is>
          <t>USD</t>
        </is>
      </c>
      <c r="S373" s="30" t="inlineStr">
        <is>
          <t>Investment Grade</t>
        </is>
      </c>
      <c r="T373" s="30" t="inlineStr">
        <is>
          <t>BBB</t>
        </is>
      </c>
      <c r="U373" s="30" t="inlineStr">
        <is>
          <t>BBB</t>
        </is>
      </c>
      <c r="V373" s="30" t="n"/>
    </row>
    <row r="374">
      <c r="A374" s="30" t="inlineStr">
        <is>
          <t>US47233WBM01</t>
        </is>
      </c>
      <c r="B374" s="30" t="inlineStr">
        <is>
          <t>Top Pick</t>
        </is>
      </c>
      <c r="C374" s="30" t="inlineStr">
        <is>
          <t>Jefferies Fin Group Inc</t>
        </is>
      </c>
      <c r="D374" s="30" t="n">
        <v>5.875</v>
      </c>
      <c r="E374" s="30" t="inlineStr">
        <is>
          <t>Sr Unsecured</t>
        </is>
      </c>
      <c r="F374" s="30" t="inlineStr">
        <is>
          <t>21.07.2028</t>
        </is>
      </c>
      <c r="G374" s="30" t="inlineStr">
        <is>
          <t>United states</t>
        </is>
      </c>
      <c r="H374" s="30" t="inlineStr">
        <is>
          <t>Financial</t>
        </is>
      </c>
      <c r="I374" s="30" t="n">
        <v>1</v>
      </c>
      <c r="J374" s="30" t="n">
        <v>103.43</v>
      </c>
      <c r="K374" s="30" t="n">
        <v>4.619858</v>
      </c>
      <c r="L374" s="30" t="n">
        <v>0.010161</v>
      </c>
      <c r="M374" s="30" t="n">
        <v>-0.260162</v>
      </c>
      <c r="N374" s="30" t="n">
        <v>78.08011775</v>
      </c>
      <c r="O374" s="30" t="n">
        <v>2.991135184</v>
      </c>
      <c r="P374" s="30" t="n">
        <v>0</v>
      </c>
      <c r="Q374" s="30" t="inlineStr">
        <is>
          <t xml:space="preserve">US investment bank </t>
        </is>
      </c>
      <c r="R374" s="30" t="inlineStr">
        <is>
          <t>USD</t>
        </is>
      </c>
      <c r="S374" s="30" t="inlineStr">
        <is>
          <t>Investment Grade</t>
        </is>
      </c>
      <c r="T374" s="30" t="inlineStr">
        <is>
          <t>BBB</t>
        </is>
      </c>
      <c r="U374" s="30" t="inlineStr">
        <is>
          <t>BBB</t>
        </is>
      </c>
      <c r="V374" s="30" t="n"/>
    </row>
    <row r="375">
      <c r="A375" s="30" t="inlineStr">
        <is>
          <t>US44891CBG78</t>
        </is>
      </c>
      <c r="B375" s="30" t="inlineStr">
        <is>
          <t xml:space="preserve">Hold </t>
        </is>
      </c>
      <c r="C375" s="30" t="inlineStr">
        <is>
          <t>Hyundai Capital America</t>
        </is>
      </c>
      <c r="D375" s="30" t="n">
        <v>3</v>
      </c>
      <c r="E375" s="30" t="inlineStr">
        <is>
          <t>Sr Unsecured</t>
        </is>
      </c>
      <c r="F375" s="30" t="inlineStr">
        <is>
          <t>10.02.2027</t>
        </is>
      </c>
      <c r="G375" s="30" t="inlineStr">
        <is>
          <t>United states</t>
        </is>
      </c>
      <c r="H375" s="30" t="inlineStr">
        <is>
          <t>Consumer, Cyclical</t>
        </is>
      </c>
      <c r="I375" s="30" t="n">
        <v>2</v>
      </c>
      <c r="J375" s="30" t="n">
        <v>97.426</v>
      </c>
      <c r="K375" s="30" t="n">
        <v>4.698483</v>
      </c>
      <c r="L375" s="30" t="n">
        <v>0.071046</v>
      </c>
      <c r="M375" s="30" t="n">
        <v>-0.12524</v>
      </c>
      <c r="N375" s="30" t="n">
        <v>77.88364227</v>
      </c>
      <c r="O375" s="30" t="n">
        <v>1.879464953</v>
      </c>
      <c r="P375" s="30" t="n">
        <v>60</v>
      </c>
      <c r="Q375" s="30" t="inlineStr">
        <is>
          <t>Provides commercial finance services</t>
        </is>
      </c>
      <c r="R375" s="30" t="inlineStr">
        <is>
          <t>USD</t>
        </is>
      </c>
      <c r="S375" s="30" t="inlineStr">
        <is>
          <t>Investment Grade</t>
        </is>
      </c>
      <c r="T375" s="30" t="inlineStr">
        <is>
          <t>A-</t>
        </is>
      </c>
      <c r="U375" s="30" t="inlineStr">
        <is>
          <t>A-</t>
        </is>
      </c>
      <c r="V375" s="30" t="n"/>
    </row>
    <row r="376">
      <c r="A376" s="30" t="inlineStr">
        <is>
          <t>US05526DBY04</t>
        </is>
      </c>
      <c r="B376" s="30" t="inlineStr">
        <is>
          <t>Top Pick</t>
        </is>
      </c>
      <c r="C376" s="30" t="inlineStr">
        <is>
          <t>Bat Capital Corp</t>
        </is>
      </c>
      <c r="D376" s="30" t="n">
        <v>5.834</v>
      </c>
      <c r="E376" s="30" t="inlineStr">
        <is>
          <t>Sr Unsecured</t>
        </is>
      </c>
      <c r="F376" s="30" t="inlineStr">
        <is>
          <t>20.02.2031</t>
        </is>
      </c>
      <c r="G376" s="30" t="inlineStr">
        <is>
          <t>United Kingdom</t>
        </is>
      </c>
      <c r="H376" s="30" t="inlineStr">
        <is>
          <t>Consumer, Non-cyclical</t>
        </is>
      </c>
      <c r="I376" s="30" t="n">
        <v>2</v>
      </c>
      <c r="J376" s="30" t="n">
        <v>104.997</v>
      </c>
      <c r="K376" s="30" t="n">
        <v>4.78156</v>
      </c>
      <c r="L376" s="30" t="n">
        <v>0.01031</v>
      </c>
      <c r="M376" s="30" t="n">
        <v>-0.186288</v>
      </c>
      <c r="N376" s="30" t="n">
        <v>77.69301563</v>
      </c>
      <c r="O376" s="30" t="n">
        <v>4.910397476</v>
      </c>
      <c r="P376" s="30" t="n">
        <v>60</v>
      </c>
      <c r="Q376" s="30" t="inlineStr">
        <is>
          <t>Tobacco company</t>
        </is>
      </c>
      <c r="R376" s="30" t="inlineStr">
        <is>
          <t>USD</t>
        </is>
      </c>
      <c r="S376" s="30" t="inlineStr">
        <is>
          <t>Investment Grade</t>
        </is>
      </c>
      <c r="T376" s="30" t="inlineStr">
        <is>
          <t>BBB+</t>
        </is>
      </c>
      <c r="U376" s="30" t="inlineStr">
        <is>
          <t>BBB+</t>
        </is>
      </c>
      <c r="V376" s="30" t="n"/>
    </row>
    <row r="377">
      <c r="A377" s="30" t="inlineStr">
        <is>
          <t>XS1795261822</t>
        </is>
      </c>
      <c r="B377" s="30" t="inlineStr">
        <is>
          <t>Hold</t>
        </is>
      </c>
      <c r="C377" s="30" t="inlineStr">
        <is>
          <t>Natwest Group Plc</t>
        </is>
      </c>
      <c r="D377" s="30" t="n">
        <v>2.875</v>
      </c>
      <c r="E377" s="30" t="inlineStr">
        <is>
          <t>Sr Unsecured</t>
        </is>
      </c>
      <c r="F377" s="30" t="inlineStr">
        <is>
          <t>19.09.2026</t>
        </is>
      </c>
      <c r="G377" s="30" t="inlineStr">
        <is>
          <t>United Kingdom</t>
        </is>
      </c>
      <c r="H377" s="30" t="inlineStr">
        <is>
          <t>Financial</t>
        </is>
      </c>
      <c r="I377" s="30" t="n">
        <v>100</v>
      </c>
      <c r="J377" s="30" t="n">
        <v>99.59</v>
      </c>
      <c r="K377" s="30" t="n">
        <v>2.786796</v>
      </c>
      <c r="L377" s="30" t="n">
        <v>-0.052885</v>
      </c>
      <c r="M377" s="30" t="n">
        <v>-0.20203</v>
      </c>
      <c r="N377" s="30" t="n">
        <v>77.66829362</v>
      </c>
      <c r="O377" s="30" t="n">
        <v>0.551922018</v>
      </c>
      <c r="P377" s="30" t="n">
        <v>60</v>
      </c>
      <c r="Q377" s="30" t="inlineStr">
        <is>
          <t>Banking and Financial service company</t>
        </is>
      </c>
      <c r="R377" s="30" t="inlineStr">
        <is>
          <t>GBP</t>
        </is>
      </c>
      <c r="S377" s="30" t="inlineStr">
        <is>
          <t>Investment Grade</t>
        </is>
      </c>
      <c r="T377" s="30" t="inlineStr">
        <is>
          <t>A-</t>
        </is>
      </c>
      <c r="U377" s="30" t="inlineStr">
        <is>
          <t>A-</t>
        </is>
      </c>
      <c r="V377" s="30" t="n"/>
    </row>
    <row r="378">
      <c r="A378" s="30" t="inlineStr">
        <is>
          <t>US30216KAG76</t>
        </is>
      </c>
      <c r="B378" s="30" t="inlineStr">
        <is>
          <t xml:space="preserve">Hold </t>
        </is>
      </c>
      <c r="C378" s="30" t="inlineStr">
        <is>
          <t>Export-Import Bk India</t>
        </is>
      </c>
      <c r="D378" s="30" t="n">
        <v>5.5</v>
      </c>
      <c r="E378" s="30" t="inlineStr">
        <is>
          <t>Sr Unsecured</t>
        </is>
      </c>
      <c r="F378" s="30" t="inlineStr">
        <is>
          <t>18.01.2033</t>
        </is>
      </c>
      <c r="G378" s="30" t="inlineStr">
        <is>
          <t>India</t>
        </is>
      </c>
      <c r="H378" s="30" t="inlineStr">
        <is>
          <t>Government</t>
        </is>
      </c>
      <c r="I378" s="30" t="n">
        <v>200</v>
      </c>
      <c r="J378" s="30" t="n">
        <v>103.46</v>
      </c>
      <c r="K378" s="30" t="n">
        <v>4.943673</v>
      </c>
      <c r="L378" s="30" t="n">
        <v>0.027037</v>
      </c>
      <c r="M378" s="30" t="n">
        <v>-0.146303</v>
      </c>
      <c r="N378" s="30" t="n">
        <v>77.60742203</v>
      </c>
      <c r="O378" s="30" t="n">
        <v>6.32585646</v>
      </c>
      <c r="P378" s="30" t="n">
        <v>60</v>
      </c>
      <c r="Q378" s="30" t="inlineStr">
        <is>
          <t>Operates as a bank to exporters and importers, 100% state-owned</t>
        </is>
      </c>
      <c r="R378" s="30" t="inlineStr">
        <is>
          <t>USD</t>
        </is>
      </c>
      <c r="S378" s="30" t="inlineStr">
        <is>
          <t>Investment Grade</t>
        </is>
      </c>
      <c r="T378" s="30" t="inlineStr">
        <is>
          <t>BBB-</t>
        </is>
      </c>
      <c r="U378" s="30" t="inlineStr">
        <is>
          <t>BBB-</t>
        </is>
      </c>
      <c r="V378" s="30" t="n"/>
    </row>
    <row r="379">
      <c r="A379" s="30" t="inlineStr">
        <is>
          <t>US30303M8Q83</t>
        </is>
      </c>
      <c r="B379" s="30" t="inlineStr">
        <is>
          <t>Hold</t>
        </is>
      </c>
      <c r="C379" s="30" t="inlineStr">
        <is>
          <t>Meta Platforms Inc</t>
        </is>
      </c>
      <c r="D379" s="30" t="n">
        <v>5.6</v>
      </c>
      <c r="E379" s="30" t="inlineStr">
        <is>
          <t>Sr Unsecured</t>
        </is>
      </c>
      <c r="F379" s="30" t="inlineStr">
        <is>
          <t>15.05.2053</t>
        </is>
      </c>
      <c r="G379" s="30" t="inlineStr">
        <is>
          <t>United states</t>
        </is>
      </c>
      <c r="H379" s="30" t="inlineStr">
        <is>
          <t>Communications</t>
        </is>
      </c>
      <c r="I379" s="30" t="n">
        <v>2</v>
      </c>
      <c r="J379" s="30" t="n">
        <v>99.426</v>
      </c>
      <c r="K379" s="30" t="n">
        <v>5.640494</v>
      </c>
      <c r="L379" s="30" t="n">
        <v>-0.025186</v>
      </c>
      <c r="M379" s="30" t="n">
        <v>-0.056893</v>
      </c>
      <c r="N379" s="30" t="n">
        <v>77.53659888999999</v>
      </c>
      <c r="O379" s="30" t="n">
        <v>13.82570311</v>
      </c>
      <c r="P379" s="30" t="n">
        <v>80</v>
      </c>
      <c r="Q379" s="30" t="inlineStr">
        <is>
          <t>A social technology company</t>
        </is>
      </c>
      <c r="R379" s="30" t="inlineStr">
        <is>
          <t>USD</t>
        </is>
      </c>
      <c r="S379" s="30" t="inlineStr">
        <is>
          <t>Investment Grade</t>
        </is>
      </c>
      <c r="T379" s="30" t="inlineStr">
        <is>
          <t>AA-</t>
        </is>
      </c>
      <c r="U379" s="30" t="inlineStr">
        <is>
          <t>AA-</t>
        </is>
      </c>
      <c r="V379" s="30" t="n"/>
    </row>
    <row r="380">
      <c r="A380" s="30" t="inlineStr">
        <is>
          <t>XS2057072121</t>
        </is>
      </c>
      <c r="B380" s="30" t="inlineStr">
        <is>
          <t>Top Pick</t>
        </is>
      </c>
      <c r="C380" s="30" t="inlineStr">
        <is>
          <t>Ck Hutchison Group</t>
        </is>
      </c>
      <c r="D380" s="30" t="n">
        <v>2</v>
      </c>
      <c r="E380" s="30" t="inlineStr">
        <is>
          <t>Sr Unsecured</t>
        </is>
      </c>
      <c r="F380" s="30" t="inlineStr">
        <is>
          <t>17.10.2027</t>
        </is>
      </c>
      <c r="G380" s="30" t="inlineStr">
        <is>
          <t>United Kingdom</t>
        </is>
      </c>
      <c r="H380" s="30" t="inlineStr">
        <is>
          <t>Communications</t>
        </is>
      </c>
      <c r="I380" s="30" t="n">
        <v>200</v>
      </c>
      <c r="J380" s="30" t="n">
        <v>94.61</v>
      </c>
      <c r="K380" s="30" t="n">
        <v>4.496734</v>
      </c>
      <c r="L380" s="30" t="n">
        <v>0.043999</v>
      </c>
      <c r="M380" s="30" t="n">
        <v>-0.027916</v>
      </c>
      <c r="N380" s="30" t="n">
        <v>77.50002369000001</v>
      </c>
      <c r="O380" s="30" t="n">
        <v>2.456727983</v>
      </c>
      <c r="P380" s="30" t="n">
        <v>60</v>
      </c>
      <c r="Q380" s="30" t="inlineStr">
        <is>
          <t xml:space="preserve">Investment group active in services, telecommunication and retail </t>
        </is>
      </c>
      <c r="R380" s="30" t="inlineStr">
        <is>
          <t>GBP</t>
        </is>
      </c>
      <c r="S380" s="30" t="inlineStr">
        <is>
          <t>Investment Grade</t>
        </is>
      </c>
      <c r="T380" s="30" t="inlineStr">
        <is>
          <t>BBB+</t>
        </is>
      </c>
      <c r="U380" s="30" t="inlineStr">
        <is>
          <t>BBB+</t>
        </is>
      </c>
      <c r="V380" s="30" t="n"/>
    </row>
    <row r="381">
      <c r="A381" s="30" t="inlineStr">
        <is>
          <t>US455780DS23</t>
        </is>
      </c>
      <c r="B381" s="30" t="inlineStr">
        <is>
          <t xml:space="preserve">Hold </t>
        </is>
      </c>
      <c r="C381" s="30" t="inlineStr">
        <is>
          <t>Republic Of Indonesia</t>
        </is>
      </c>
      <c r="D381" s="30" t="n">
        <v>5.65</v>
      </c>
      <c r="E381" s="30" t="inlineStr">
        <is>
          <t>Sr Unsecured</t>
        </is>
      </c>
      <c r="F381" s="30" t="inlineStr">
        <is>
          <t>11.01.2053</t>
        </is>
      </c>
      <c r="G381" s="30" t="inlineStr">
        <is>
          <t>Indonesia</t>
        </is>
      </c>
      <c r="H381" s="30" t="inlineStr">
        <is>
          <t>Government</t>
        </is>
      </c>
      <c r="I381" s="30" t="n">
        <v>200</v>
      </c>
      <c r="J381" s="30" t="n">
        <v>100.139</v>
      </c>
      <c r="K381" s="30" t="n">
        <v>5.639868</v>
      </c>
      <c r="L381" s="30" t="n">
        <v>-0.07436</v>
      </c>
      <c r="M381" s="30" t="n">
        <v>-0.159804</v>
      </c>
      <c r="N381" s="30" t="n">
        <v>77.47469867</v>
      </c>
      <c r="O381" s="30" t="n">
        <v>13.85087729</v>
      </c>
      <c r="P381" s="30" t="n">
        <v>50</v>
      </c>
      <c r="Q381" s="30" t="inlineStr">
        <is>
          <t>Republic Of Indonesia</t>
        </is>
      </c>
      <c r="R381" s="30" t="inlineStr">
        <is>
          <t>USD</t>
        </is>
      </c>
      <c r="S381" s="30" t="inlineStr">
        <is>
          <t>Investment Grade</t>
        </is>
      </c>
      <c r="T381" s="30" t="inlineStr">
        <is>
          <t>BBB</t>
        </is>
      </c>
      <c r="U381" s="30" t="inlineStr">
        <is>
          <t>BBB</t>
        </is>
      </c>
      <c r="V381" s="30" t="n"/>
    </row>
    <row r="382">
      <c r="A382" s="30" t="inlineStr">
        <is>
          <t>US87264ACY91</t>
        </is>
      </c>
      <c r="B382" s="30" t="inlineStr">
        <is>
          <t>Top Pick</t>
        </is>
      </c>
      <c r="C382" s="30" t="inlineStr">
        <is>
          <t>T-Mobile Usa Inc</t>
        </is>
      </c>
      <c r="D382" s="30" t="n">
        <v>5.05</v>
      </c>
      <c r="E382" s="30" t="inlineStr">
        <is>
          <t>Sr Unsecured</t>
        </is>
      </c>
      <c r="F382" s="30" t="inlineStr">
        <is>
          <t>15.07.2033</t>
        </is>
      </c>
      <c r="G382" s="30" t="inlineStr">
        <is>
          <t>United states</t>
        </is>
      </c>
      <c r="H382" s="30" t="inlineStr">
        <is>
          <t>Communications</t>
        </is>
      </c>
      <c r="I382" s="30" t="n">
        <v>2</v>
      </c>
      <c r="J382" s="30" t="n">
        <v>100.32</v>
      </c>
      <c r="K382" s="30" t="n">
        <v>5.000517</v>
      </c>
      <c r="L382" s="30" t="n">
        <v>-0.017233</v>
      </c>
      <c r="M382" s="30" t="n">
        <v>-0.169317</v>
      </c>
      <c r="N382" s="30" t="n">
        <v>77.05508312000001</v>
      </c>
      <c r="O382" s="30" t="n">
        <v>6.724358611</v>
      </c>
      <c r="P382" s="30" t="n">
        <v>60</v>
      </c>
      <c r="Q382" s="30" t="inlineStr">
        <is>
          <t>Provides telecommunications services</t>
        </is>
      </c>
      <c r="R382" s="30" t="inlineStr">
        <is>
          <t>USD</t>
        </is>
      </c>
      <c r="S382" s="30" t="inlineStr">
        <is>
          <t>Investment Grade</t>
        </is>
      </c>
      <c r="T382" s="30" t="inlineStr">
        <is>
          <t>BBB</t>
        </is>
      </c>
      <c r="U382" s="30" t="inlineStr">
        <is>
          <t>BBB</t>
        </is>
      </c>
      <c r="V382" s="30" t="n"/>
    </row>
    <row r="383">
      <c r="A383" s="30" t="inlineStr">
        <is>
          <t>XS1792122266</t>
        </is>
      </c>
      <c r="B383" s="30" t="inlineStr">
        <is>
          <t xml:space="preserve">Hold </t>
        </is>
      </c>
      <c r="C383" s="30" t="inlineStr">
        <is>
          <t>Ntpc Ltd</t>
        </is>
      </c>
      <c r="D383" s="30" t="n">
        <v>4.5</v>
      </c>
      <c r="E383" s="30" t="inlineStr">
        <is>
          <t>Sr Unsecured</t>
        </is>
      </c>
      <c r="F383" s="30" t="inlineStr">
        <is>
          <t>19.03.2028</t>
        </is>
      </c>
      <c r="G383" s="30" t="inlineStr">
        <is>
          <t>India</t>
        </is>
      </c>
      <c r="H383" s="30" t="inlineStr">
        <is>
          <t>Utilities</t>
        </is>
      </c>
      <c r="I383" s="30" t="n">
        <v>200</v>
      </c>
      <c r="J383" s="30" t="n">
        <v>99.74299999999999</v>
      </c>
      <c r="K383" s="30" t="n">
        <v>4.600079</v>
      </c>
      <c r="L383" s="30" t="n">
        <v>0.090074</v>
      </c>
      <c r="M383" s="30" t="n">
        <v>-0.08021300000000001</v>
      </c>
      <c r="N383" s="30" t="n">
        <v>76.98154196</v>
      </c>
      <c r="O383" s="30" t="n">
        <v>2.775367546</v>
      </c>
      <c r="P383" s="30" t="n">
        <v>85</v>
      </c>
      <c r="Q383" s="30" t="inlineStr">
        <is>
          <t xml:space="preserve">Majority state-owned power generation company </t>
        </is>
      </c>
      <c r="R383" s="30" t="inlineStr">
        <is>
          <t>USD</t>
        </is>
      </c>
      <c r="S383" s="30" t="inlineStr">
        <is>
          <t>Investment Grade</t>
        </is>
      </c>
      <c r="T383" s="30" t="inlineStr">
        <is>
          <t>BBB-</t>
        </is>
      </c>
      <c r="U383" s="30" t="inlineStr">
        <is>
          <t>BBB-</t>
        </is>
      </c>
      <c r="V383" s="30" t="n"/>
    </row>
    <row r="384">
      <c r="A384" s="30" t="inlineStr">
        <is>
          <t>US44891CCT80</t>
        </is>
      </c>
      <c r="B384" s="30" t="inlineStr">
        <is>
          <t xml:space="preserve">Hold </t>
        </is>
      </c>
      <c r="C384" s="30" t="inlineStr">
        <is>
          <t>Hyundai Capital America</t>
        </is>
      </c>
      <c r="D384" s="30" t="n">
        <v>5.25</v>
      </c>
      <c r="E384" s="30" t="inlineStr">
        <is>
          <t>Sr Unsecured</t>
        </is>
      </c>
      <c r="F384" s="30" t="inlineStr">
        <is>
          <t>08.01.2027</t>
        </is>
      </c>
      <c r="G384" s="30" t="inlineStr">
        <is>
          <t>United states</t>
        </is>
      </c>
      <c r="H384" s="30" t="inlineStr">
        <is>
          <t>Consumer, Cyclical</t>
        </is>
      </c>
      <c r="I384" s="30" t="n">
        <v>2</v>
      </c>
      <c r="J384" s="30" t="n">
        <v>100.793</v>
      </c>
      <c r="K384" s="30" t="n">
        <v>4.696313</v>
      </c>
      <c r="L384" s="30" t="n">
        <v>0.07877000000000001</v>
      </c>
      <c r="M384" s="30" t="n">
        <v>-0.200901</v>
      </c>
      <c r="N384" s="30" t="n">
        <v>76.96620568</v>
      </c>
      <c r="O384" s="30" t="n">
        <v>1.763080704</v>
      </c>
      <c r="P384" s="30" t="n">
        <v>0</v>
      </c>
      <c r="Q384" s="30" t="inlineStr">
        <is>
          <t>Provides commercial finance services</t>
        </is>
      </c>
      <c r="R384" s="30" t="inlineStr">
        <is>
          <t>USD</t>
        </is>
      </c>
      <c r="S384" s="30" t="inlineStr">
        <is>
          <t>Investment Grade</t>
        </is>
      </c>
      <c r="T384" s="30" t="inlineStr">
        <is>
          <t>A-</t>
        </is>
      </c>
      <c r="U384" s="30" t="inlineStr">
        <is>
          <t>A-</t>
        </is>
      </c>
      <c r="V384" s="30" t="n"/>
    </row>
    <row r="385">
      <c r="A385" s="30" t="inlineStr">
        <is>
          <t>US03027XBG43</t>
        </is>
      </c>
      <c r="B385" s="30" t="inlineStr">
        <is>
          <t>Top Pick</t>
        </is>
      </c>
      <c r="C385" s="30" t="inlineStr">
        <is>
          <t>American Tower Corp</t>
        </is>
      </c>
      <c r="D385" s="30" t="n">
        <v>1.875</v>
      </c>
      <c r="E385" s="30" t="inlineStr">
        <is>
          <t>Sr Unsecured</t>
        </is>
      </c>
      <c r="F385" s="30" t="inlineStr">
        <is>
          <t>15.10.2030</t>
        </is>
      </c>
      <c r="G385" s="30" t="inlineStr">
        <is>
          <t>United states</t>
        </is>
      </c>
      <c r="H385" s="30" t="inlineStr">
        <is>
          <t>Financial</t>
        </is>
      </c>
      <c r="I385" s="30" t="n">
        <v>2</v>
      </c>
      <c r="J385" s="30" t="n">
        <v>86.80800000000001</v>
      </c>
      <c r="K385" s="30" t="n">
        <v>4.732241</v>
      </c>
      <c r="L385" s="30" t="n">
        <v>0.001884</v>
      </c>
      <c r="M385" s="30" t="n">
        <v>-0.167177</v>
      </c>
      <c r="N385" s="30" t="n">
        <v>76.63925244000001</v>
      </c>
      <c r="O385" s="30" t="n">
        <v>5.18619177</v>
      </c>
      <c r="P385" s="30" t="n">
        <v>60</v>
      </c>
      <c r="Q385" s="30" t="inlineStr">
        <is>
          <t xml:space="preserve">Owns and operate telecom towers </t>
        </is>
      </c>
      <c r="R385" s="30" t="inlineStr">
        <is>
          <t>USD</t>
        </is>
      </c>
      <c r="S385" s="30" t="inlineStr">
        <is>
          <t>Investment Grade</t>
        </is>
      </c>
      <c r="T385" s="30" t="inlineStr">
        <is>
          <t>BBB</t>
        </is>
      </c>
      <c r="U385" s="30" t="inlineStr">
        <is>
          <t>BBB</t>
        </is>
      </c>
      <c r="V385" s="30" t="n"/>
    </row>
    <row r="386">
      <c r="A386" s="30" t="inlineStr">
        <is>
          <t>XS2384274366</t>
        </is>
      </c>
      <c r="B386" s="30" t="inlineStr">
        <is>
          <t>Hold</t>
        </is>
      </c>
      <c r="C386" s="30" t="inlineStr">
        <is>
          <t>General Motors Finl Co</t>
        </is>
      </c>
      <c r="D386" s="30" t="n">
        <v>0.65</v>
      </c>
      <c r="E386" s="30" t="inlineStr">
        <is>
          <t>Sr Unsecured</t>
        </is>
      </c>
      <c r="F386" s="30" t="inlineStr">
        <is>
          <t>07.09.2028</t>
        </is>
      </c>
      <c r="G386" s="30" t="inlineStr">
        <is>
          <t>United states</t>
        </is>
      </c>
      <c r="H386" s="30" t="inlineStr">
        <is>
          <t>Consumer, Cyclical</t>
        </is>
      </c>
      <c r="I386" s="30" t="n">
        <v>100</v>
      </c>
      <c r="J386" s="30" t="n">
        <v>93.607</v>
      </c>
      <c r="K386" s="30" t="n">
        <v>2.788521</v>
      </c>
      <c r="L386" s="30" t="n">
        <v>-0.07809099999999999</v>
      </c>
      <c r="M386" s="30" t="n">
        <v>-0.115364</v>
      </c>
      <c r="N386" s="30" t="n">
        <v>76.40114677</v>
      </c>
      <c r="O386" s="30" t="n">
        <v>3.390971889</v>
      </c>
      <c r="P386" s="30" t="n">
        <v>75</v>
      </c>
      <c r="Q386" s="30" t="inlineStr">
        <is>
          <t>World's third largest automaker owning Chevrolet, Buick and Cadillac</t>
        </is>
      </c>
      <c r="R386" s="30" t="inlineStr">
        <is>
          <t>EUR</t>
        </is>
      </c>
      <c r="S386" s="30" t="inlineStr">
        <is>
          <t>Investment Grade</t>
        </is>
      </c>
      <c r="T386" s="30" t="inlineStr">
        <is>
          <t>BBB</t>
        </is>
      </c>
      <c r="U386" s="30" t="inlineStr">
        <is>
          <t>BBB</t>
        </is>
      </c>
      <c r="V386" s="30" t="n"/>
    </row>
    <row r="387">
      <c r="A387" s="30" t="inlineStr">
        <is>
          <t>XS2861550817</t>
        </is>
      </c>
      <c r="B387" s="30" t="inlineStr">
        <is>
          <t xml:space="preserve">Hold </t>
        </is>
      </c>
      <c r="C387" s="30" t="inlineStr">
        <is>
          <t>Saudi Arabian Oil Co</t>
        </is>
      </c>
      <c r="D387" s="30" t="n">
        <v>5.25</v>
      </c>
      <c r="E387" s="30" t="inlineStr">
        <is>
          <t>Sr Unsecured</t>
        </is>
      </c>
      <c r="F387" s="30" t="inlineStr">
        <is>
          <t>17.07.2034</t>
        </is>
      </c>
      <c r="G387" s="30" t="inlineStr">
        <is>
          <t>Saudi Arabia</t>
        </is>
      </c>
      <c r="H387" s="30" t="inlineStr">
        <is>
          <t>Energy</t>
        </is>
      </c>
      <c r="I387" s="30" t="n">
        <v>200</v>
      </c>
      <c r="J387" s="30" t="n">
        <v>101.312</v>
      </c>
      <c r="K387" s="30" t="n">
        <v>5.06354</v>
      </c>
      <c r="L387" s="30" t="n">
        <v>-0.022529</v>
      </c>
      <c r="M387" s="30" t="n">
        <v>-0.131312</v>
      </c>
      <c r="N387" s="30" t="n">
        <v>76.34220834</v>
      </c>
      <c r="O387" s="30" t="n">
        <v>7.288482067</v>
      </c>
      <c r="P387" s="30" t="n">
        <v>0</v>
      </c>
      <c r="Q387" s="30" t="inlineStr">
        <is>
          <t>Saudi state-owned integrated energy company</t>
        </is>
      </c>
      <c r="R387" s="30" t="inlineStr">
        <is>
          <t>USD</t>
        </is>
      </c>
      <c r="S387" s="30" t="inlineStr">
        <is>
          <t>Investment Grade</t>
        </is>
      </c>
      <c r="T387" s="30" t="inlineStr">
        <is>
          <t>A+</t>
        </is>
      </c>
      <c r="U387" s="30" t="inlineStr">
        <is>
          <t>A+</t>
        </is>
      </c>
      <c r="V387" s="30" t="n"/>
    </row>
    <row r="388">
      <c r="A388" s="30" t="inlineStr">
        <is>
          <t>USN29505AA70</t>
        </is>
      </c>
      <c r="B388" s="30" t="inlineStr">
        <is>
          <t xml:space="preserve">Hold </t>
        </is>
      </c>
      <c r="C388" s="30" t="inlineStr">
        <is>
          <t>Embraer Netherlands Fina</t>
        </is>
      </c>
      <c r="D388" s="30" t="n">
        <v>6.95</v>
      </c>
      <c r="E388" s="30" t="inlineStr">
        <is>
          <t>Sr Unsecured</t>
        </is>
      </c>
      <c r="F388" s="30" t="inlineStr">
        <is>
          <t>17.01.2028</t>
        </is>
      </c>
      <c r="G388" s="30" t="inlineStr">
        <is>
          <t>Brazil</t>
        </is>
      </c>
      <c r="H388" s="30" t="inlineStr">
        <is>
          <t>Industrial</t>
        </is>
      </c>
      <c r="I388" s="30" t="n">
        <v>200</v>
      </c>
      <c r="J388" s="30" t="n">
        <v>104.969</v>
      </c>
      <c r="K388" s="30" t="n">
        <v>4.626781</v>
      </c>
      <c r="L388" s="30" t="n">
        <v>0.003488</v>
      </c>
      <c r="M388" s="30" t="n">
        <v>-0.156058</v>
      </c>
      <c r="N388" s="30" t="n">
        <v>76.1056103</v>
      </c>
      <c r="O388" s="30" t="n">
        <v>2.400698385</v>
      </c>
      <c r="P388" s="30" t="n">
        <v>25</v>
      </c>
      <c r="Q388" s="30" t="inlineStr">
        <is>
          <t>Leading manufacturer of regional jet airplanes</t>
        </is>
      </c>
      <c r="R388" s="30" t="inlineStr">
        <is>
          <t>USD</t>
        </is>
      </c>
      <c r="S388" s="30" t="inlineStr">
        <is>
          <t>Latin America</t>
        </is>
      </c>
      <c r="T388" s="30" t="inlineStr">
        <is>
          <t>BBB-</t>
        </is>
      </c>
      <c r="U388" s="30" t="inlineStr">
        <is>
          <t>BBB-</t>
        </is>
      </c>
      <c r="V388" s="30" t="n"/>
    </row>
    <row r="389">
      <c r="A389" s="30" t="inlineStr">
        <is>
          <t>XS2771418097</t>
        </is>
      </c>
      <c r="B389" s="30" t="inlineStr">
        <is>
          <t>Top Pick</t>
        </is>
      </c>
      <c r="C389" s="30" t="inlineStr">
        <is>
          <t>Securitas Treasury Irela</t>
        </is>
      </c>
      <c r="D389" s="30" t="n">
        <v>3.875</v>
      </c>
      <c r="E389" s="30" t="inlineStr">
        <is>
          <t>Sr Unsecured</t>
        </is>
      </c>
      <c r="F389" s="30" t="inlineStr">
        <is>
          <t>23.02.2030</t>
        </is>
      </c>
      <c r="G389" s="30" t="inlineStr">
        <is>
          <t>Sweden</t>
        </is>
      </c>
      <c r="H389" s="30" t="inlineStr">
        <is>
          <t>Consumer, Non-cyclical</t>
        </is>
      </c>
      <c r="I389" s="30" t="n">
        <v>100</v>
      </c>
      <c r="J389" s="30" t="n">
        <v>103.544</v>
      </c>
      <c r="K389" s="30" t="n">
        <v>2.997829</v>
      </c>
      <c r="L389" s="30" t="n">
        <v>-0.043717</v>
      </c>
      <c r="M389" s="30" t="n">
        <v>-0.030557</v>
      </c>
      <c r="N389" s="30" t="n">
        <v>75.85512454000001</v>
      </c>
      <c r="O389" s="30" t="n">
        <v>4.288950222</v>
      </c>
      <c r="P389" s="30" t="n">
        <v>60</v>
      </c>
      <c r="Q389" s="30" t="inlineStr">
        <is>
          <t xml:space="preserve">Security services provider </t>
        </is>
      </c>
      <c r="R389" s="30" t="inlineStr">
        <is>
          <t>EUR</t>
        </is>
      </c>
      <c r="S389" s="30" t="inlineStr">
        <is>
          <t>Investment Grade</t>
        </is>
      </c>
      <c r="T389" s="30" t="inlineStr">
        <is>
          <t>NR</t>
        </is>
      </c>
      <c r="U389" s="30" t="inlineStr">
        <is>
          <t>NR</t>
        </is>
      </c>
      <c r="V389" s="30" t="n"/>
    </row>
    <row r="390">
      <c r="A390" s="30" t="inlineStr">
        <is>
          <t>XS2247936342</t>
        </is>
      </c>
      <c r="B390" s="30" t="inlineStr">
        <is>
          <t>Hold</t>
        </is>
      </c>
      <c r="C390" s="30" t="inlineStr">
        <is>
          <t>Banco Santander Sa</t>
        </is>
      </c>
      <c r="D390" s="30" t="n">
        <v>1.625</v>
      </c>
      <c r="E390" s="30" t="inlineStr">
        <is>
          <t>Subordinated</t>
        </is>
      </c>
      <c r="F390" s="30" t="inlineStr">
        <is>
          <t>22.10.2030</t>
        </is>
      </c>
      <c r="G390" s="30" t="inlineStr">
        <is>
          <t>Spain</t>
        </is>
      </c>
      <c r="H390" s="30" t="inlineStr">
        <is>
          <t>Financial</t>
        </is>
      </c>
      <c r="I390" s="30" t="n">
        <v>100</v>
      </c>
      <c r="J390" s="30" t="n">
        <v>92.861</v>
      </c>
      <c r="K390" s="30" t="n">
        <v>3.109013</v>
      </c>
      <c r="L390" s="30" t="n">
        <v>-0.077449</v>
      </c>
      <c r="M390" s="30" t="n">
        <v>-0.122449</v>
      </c>
      <c r="N390" s="30" t="n">
        <v>75.82480218000001</v>
      </c>
      <c r="O390" s="30" t="n">
        <v>5.242177866</v>
      </c>
      <c r="P390" s="30" t="n">
        <v>60</v>
      </c>
      <c r="Q390" s="30" t="inlineStr">
        <is>
          <t>Spain's largest banking group</t>
        </is>
      </c>
      <c r="R390" s="30" t="inlineStr">
        <is>
          <t>EUR</t>
        </is>
      </c>
      <c r="S390" s="30" t="inlineStr">
        <is>
          <t>Investment Grade</t>
        </is>
      </c>
      <c r="T390" s="30" t="inlineStr">
        <is>
          <t>BBB</t>
        </is>
      </c>
      <c r="U390" s="30" t="inlineStr">
        <is>
          <t>BBB</t>
        </is>
      </c>
      <c r="V390" s="30" t="n"/>
    </row>
    <row r="391">
      <c r="A391" s="30" t="inlineStr">
        <is>
          <t>US817565CD49</t>
        </is>
      </c>
      <c r="B391" s="30" t="inlineStr">
        <is>
          <t xml:space="preserve">Hold </t>
        </is>
      </c>
      <c r="C391" s="30" t="inlineStr">
        <is>
          <t>Service Corp Intl</t>
        </is>
      </c>
      <c r="D391" s="30" t="n">
        <v>4.625</v>
      </c>
      <c r="E391" s="30" t="inlineStr">
        <is>
          <t>Sr Unsecured</t>
        </is>
      </c>
      <c r="F391" s="30" t="inlineStr">
        <is>
          <t>15.12.2027</t>
        </is>
      </c>
      <c r="G391" s="30" t="inlineStr">
        <is>
          <t>United states</t>
        </is>
      </c>
      <c r="H391" s="30" t="inlineStr">
        <is>
          <t>Consumer, Non-cyclical</t>
        </is>
      </c>
      <c r="I391" s="30" t="n">
        <v>2</v>
      </c>
      <c r="J391" s="30" t="n">
        <v>99.244</v>
      </c>
      <c r="K391" s="30" t="n">
        <v>4.956662</v>
      </c>
      <c r="L391" s="30" t="n">
        <v>0.020199</v>
      </c>
      <c r="M391" s="30" t="n">
        <v>-0.188608</v>
      </c>
      <c r="N391" s="30" t="n">
        <v>75.76803119</v>
      </c>
      <c r="O391" s="30" t="n">
        <v>2.582549548</v>
      </c>
      <c r="P391" s="30" t="n">
        <v>0</v>
      </c>
      <c r="Q391" s="30" t="inlineStr">
        <is>
          <t>US leading funeral services provider</t>
        </is>
      </c>
      <c r="R391" s="30" t="inlineStr">
        <is>
          <t>USD</t>
        </is>
      </c>
      <c r="S391" s="30" t="inlineStr">
        <is>
          <t>High Yield</t>
        </is>
      </c>
      <c r="T391" s="30" t="inlineStr">
        <is>
          <t>BB-</t>
        </is>
      </c>
      <c r="U391" s="30" t="inlineStr">
        <is>
          <t>BB-</t>
        </is>
      </c>
      <c r="V391" s="30" t="n"/>
    </row>
    <row r="392">
      <c r="A392" s="30" t="inlineStr">
        <is>
          <t>FR001400FAR2</t>
        </is>
      </c>
      <c r="B392" s="30" t="inlineStr">
        <is>
          <t xml:space="preserve">Hold </t>
        </is>
      </c>
      <c r="C392" s="30" t="inlineStr">
        <is>
          <t>Credit Agricole Sa</t>
        </is>
      </c>
      <c r="D392" s="30" t="n">
        <v>4.875</v>
      </c>
      <c r="E392" s="30" t="inlineStr">
        <is>
          <t>Sr Preferred</t>
        </is>
      </c>
      <c r="F392" s="30" t="inlineStr">
        <is>
          <t>23.10.2029</t>
        </is>
      </c>
      <c r="G392" s="30" t="inlineStr">
        <is>
          <t>France</t>
        </is>
      </c>
      <c r="H392" s="30" t="inlineStr">
        <is>
          <t>Financial</t>
        </is>
      </c>
      <c r="I392" s="30" t="n">
        <v>100</v>
      </c>
      <c r="J392" s="30" t="n">
        <v>100.76</v>
      </c>
      <c r="K392" s="30" t="n">
        <v>4.616252</v>
      </c>
      <c r="L392" s="30" t="n">
        <v>0.003934</v>
      </c>
      <c r="M392" s="30" t="n">
        <v>-0.204446</v>
      </c>
      <c r="N392" s="30" t="n">
        <v>75.71545741</v>
      </c>
      <c r="O392" s="30" t="n">
        <v>4.013484574</v>
      </c>
      <c r="P392" s="30" t="n">
        <v>80</v>
      </c>
      <c r="Q392" s="30" t="inlineStr">
        <is>
          <t>One of the largest retail bank in Europe</t>
        </is>
      </c>
      <c r="R392" s="30" t="inlineStr">
        <is>
          <t>GBP</t>
        </is>
      </c>
      <c r="S392" s="30" t="inlineStr">
        <is>
          <t>Investment Grade</t>
        </is>
      </c>
      <c r="T392" s="30" t="inlineStr">
        <is>
          <t>A+</t>
        </is>
      </c>
      <c r="U392" s="30" t="inlineStr">
        <is>
          <t>A+</t>
        </is>
      </c>
      <c r="V392" s="30" t="n"/>
    </row>
    <row r="393">
      <c r="A393" s="30" t="inlineStr">
        <is>
          <t>XS2583742668</t>
        </is>
      </c>
      <c r="B393" s="30" t="inlineStr">
        <is>
          <t>Hold</t>
        </is>
      </c>
      <c r="C393" s="30" t="inlineStr">
        <is>
          <t>Ibm Corp</t>
        </is>
      </c>
      <c r="D393" s="30" t="n">
        <v>4</v>
      </c>
      <c r="E393" s="30" t="inlineStr">
        <is>
          <t>Sr Unsecured</t>
        </is>
      </c>
      <c r="F393" s="30" t="inlineStr">
        <is>
          <t>06.02.2043</t>
        </is>
      </c>
      <c r="G393" s="30" t="inlineStr">
        <is>
          <t>United states</t>
        </is>
      </c>
      <c r="H393" s="30" t="inlineStr">
        <is>
          <t>Technology</t>
        </is>
      </c>
      <c r="I393" s="30" t="n">
        <v>100</v>
      </c>
      <c r="J393" s="30" t="n">
        <v>99.652</v>
      </c>
      <c r="K393" s="30" t="n">
        <v>4.026415</v>
      </c>
      <c r="L393" s="30" t="n">
        <v>-0.08320900000000001</v>
      </c>
      <c r="M393" s="30" t="n">
        <v>-0.057869</v>
      </c>
      <c r="N393" s="30" t="n">
        <v>75.40399515999999</v>
      </c>
      <c r="O393" s="30" t="n">
        <v>12.44147202</v>
      </c>
      <c r="P393" s="30" t="n">
        <v>80</v>
      </c>
      <c r="Q393" s="30" t="inlineStr">
        <is>
          <t>International Business Machines Corporation (IBM) provides computer solutions</t>
        </is>
      </c>
      <c r="R393" s="30" t="inlineStr">
        <is>
          <t>EUR</t>
        </is>
      </c>
      <c r="S393" s="30" t="inlineStr">
        <is>
          <t>Investment Grade</t>
        </is>
      </c>
      <c r="T393" s="30" t="inlineStr">
        <is>
          <t>A-</t>
        </is>
      </c>
      <c r="U393" s="30" t="inlineStr">
        <is>
          <t>A-</t>
        </is>
      </c>
      <c r="V393" s="30" t="n"/>
    </row>
    <row r="394">
      <c r="A394" s="30" t="inlineStr">
        <is>
          <t>XS2356219084</t>
        </is>
      </c>
      <c r="B394" s="30" t="inlineStr">
        <is>
          <t xml:space="preserve">Hold </t>
        </is>
      </c>
      <c r="C394" s="30" t="inlineStr">
        <is>
          <t>Emaar Sukuk Ltd</t>
        </is>
      </c>
      <c r="D394" s="30" t="n">
        <v>3.7</v>
      </c>
      <c r="E394" s="30" t="inlineStr">
        <is>
          <t>Sr Unsecured</t>
        </is>
      </c>
      <c r="F394" s="30" t="inlineStr">
        <is>
          <t>06.07.2031</t>
        </is>
      </c>
      <c r="G394" s="30" t="inlineStr">
        <is>
          <t>U.A.E</t>
        </is>
      </c>
      <c r="H394" s="30" t="inlineStr">
        <is>
          <t>Financial</t>
        </is>
      </c>
      <c r="I394" s="30" t="n">
        <v>200</v>
      </c>
      <c r="J394" s="30" t="n">
        <v>94.375</v>
      </c>
      <c r="K394" s="30" t="n">
        <v>4.790945</v>
      </c>
      <c r="L394" s="30" t="n">
        <v>-0.010478</v>
      </c>
      <c r="M394" s="30" t="n">
        <v>-0.082417</v>
      </c>
      <c r="N394" s="30" t="n">
        <v>75.31759527</v>
      </c>
      <c r="O394" s="30" t="n">
        <v>5.521683872</v>
      </c>
      <c r="P394" s="30" t="n">
        <v>60</v>
      </c>
      <c r="Q394" s="30" t="inlineStr">
        <is>
          <t xml:space="preserve">Dubai partially state-owned property company </t>
        </is>
      </c>
      <c r="R394" s="30" t="inlineStr">
        <is>
          <t>USD</t>
        </is>
      </c>
      <c r="S394" s="30" t="inlineStr">
        <is>
          <t>Investment Grade</t>
        </is>
      </c>
      <c r="T394" s="30" t="inlineStr">
        <is>
          <t>BBB+</t>
        </is>
      </c>
      <c r="U394" s="30" t="inlineStr">
        <is>
          <t>BBB</t>
        </is>
      </c>
      <c r="V394" s="30" t="n"/>
    </row>
    <row r="395">
      <c r="A395" s="30" t="inlineStr">
        <is>
          <t>US65339KCP30</t>
        </is>
      </c>
      <c r="B395" s="30" t="inlineStr">
        <is>
          <t>Top Pick</t>
        </is>
      </c>
      <c r="C395" s="30" t="inlineStr">
        <is>
          <t>Nextera Energy Capital</t>
        </is>
      </c>
      <c r="D395" s="30" t="n">
        <v>5.05</v>
      </c>
      <c r="E395" s="30" t="inlineStr">
        <is>
          <t>Sr Unsecured</t>
        </is>
      </c>
      <c r="F395" s="30" t="inlineStr">
        <is>
          <t>28.02.2033</t>
        </is>
      </c>
      <c r="G395" s="30" t="inlineStr">
        <is>
          <t>United states</t>
        </is>
      </c>
      <c r="H395" s="30" t="inlineStr">
        <is>
          <t>Utilities</t>
        </is>
      </c>
      <c r="I395" s="30" t="n">
        <v>2</v>
      </c>
      <c r="J395" s="30" t="n">
        <v>100.6</v>
      </c>
      <c r="K395" s="30" t="n">
        <v>4.951912</v>
      </c>
      <c r="L395" s="30" t="n">
        <v>-0.019914</v>
      </c>
      <c r="M395" s="30" t="n">
        <v>-0.172243</v>
      </c>
      <c r="N395" s="30" t="n">
        <v>75.25701992</v>
      </c>
      <c r="O395" s="30" t="n">
        <v>6.35336492</v>
      </c>
      <c r="P395" s="30" t="n">
        <v>60</v>
      </c>
      <c r="Q395" s="30" t="inlineStr">
        <is>
          <t>Develops, constructs, operates and manages wind and solar energy plants</t>
        </is>
      </c>
      <c r="R395" s="30" t="inlineStr">
        <is>
          <t>USD</t>
        </is>
      </c>
      <c r="S395" s="30" t="inlineStr">
        <is>
          <t>Investment Grade</t>
        </is>
      </c>
      <c r="T395" s="30" t="inlineStr">
        <is>
          <t>BBB+</t>
        </is>
      </c>
      <c r="U395" s="30" t="inlineStr">
        <is>
          <t>BBB+</t>
        </is>
      </c>
      <c r="V395" s="30" t="n"/>
    </row>
    <row r="396">
      <c r="A396" s="30" t="inlineStr">
        <is>
          <t>US571903BH57</t>
        </is>
      </c>
      <c r="B396" s="30" t="inlineStr">
        <is>
          <t>Hold</t>
        </is>
      </c>
      <c r="C396" s="30" t="inlineStr">
        <is>
          <t>Marriott International</t>
        </is>
      </c>
      <c r="D396" s="30" t="n">
        <v>2.75</v>
      </c>
      <c r="E396" s="30" t="inlineStr">
        <is>
          <t>Sr Unsecured</t>
        </is>
      </c>
      <c r="F396" s="30" t="inlineStr">
        <is>
          <t>15.10.2033</t>
        </is>
      </c>
      <c r="G396" s="30" t="inlineStr">
        <is>
          <t>United states</t>
        </is>
      </c>
      <c r="H396" s="30" t="inlineStr">
        <is>
          <t>Consumer, Cyclical</t>
        </is>
      </c>
      <c r="I396" s="30" t="n">
        <v>2</v>
      </c>
      <c r="J396" s="30" t="n">
        <v>84.874</v>
      </c>
      <c r="K396" s="30" t="n">
        <v>5.005526</v>
      </c>
      <c r="L396" s="30" t="n">
        <v>-0.028017</v>
      </c>
      <c r="M396" s="30" t="n">
        <v>-0.252781</v>
      </c>
      <c r="N396" s="30" t="n">
        <v>75.17288299000001</v>
      </c>
      <c r="O396" s="30" t="n">
        <v>7.35852831</v>
      </c>
      <c r="P396" s="30" t="n">
        <v>25</v>
      </c>
      <c r="Q396" s="30" t="inlineStr">
        <is>
          <t>Worldwide operator and franchisor of hotels</t>
        </is>
      </c>
      <c r="R396" s="30" t="inlineStr">
        <is>
          <t>USD</t>
        </is>
      </c>
      <c r="S396" s="30" t="inlineStr">
        <is>
          <t>Investment Grade</t>
        </is>
      </c>
      <c r="T396" s="30" t="inlineStr">
        <is>
          <t>BBB</t>
        </is>
      </c>
      <c r="U396" s="30" t="inlineStr">
        <is>
          <t>BBB</t>
        </is>
      </c>
      <c r="V396" s="30" t="n"/>
    </row>
    <row r="397">
      <c r="A397" s="30" t="inlineStr">
        <is>
          <t>XS2622275969</t>
        </is>
      </c>
      <c r="B397" s="30" t="inlineStr">
        <is>
          <t xml:space="preserve">Hold </t>
        </is>
      </c>
      <c r="C397" s="30" t="inlineStr">
        <is>
          <t>American Tower Corp</t>
        </is>
      </c>
      <c r="D397" s="30" t="n">
        <v>4.625</v>
      </c>
      <c r="E397" s="30" t="inlineStr">
        <is>
          <t>Sr Unsecured</t>
        </is>
      </c>
      <c r="F397" s="30" t="inlineStr">
        <is>
          <t>16.05.2031</t>
        </is>
      </c>
      <c r="G397" s="30" t="inlineStr">
        <is>
          <t>United states</t>
        </is>
      </c>
      <c r="H397" s="30" t="inlineStr">
        <is>
          <t>Financial</t>
        </is>
      </c>
      <c r="I397" s="30" t="n">
        <v>100</v>
      </c>
      <c r="J397" s="30" t="n">
        <v>107.442</v>
      </c>
      <c r="K397" s="30" t="n">
        <v>3.156826</v>
      </c>
      <c r="L397" s="30" t="n">
        <v>-0.120476</v>
      </c>
      <c r="M397" s="30" t="n">
        <v>-0.08555</v>
      </c>
      <c r="N397" s="30" t="n">
        <v>74.99278532</v>
      </c>
      <c r="O397" s="30" t="n">
        <v>5.037955048</v>
      </c>
      <c r="P397" s="30" t="n">
        <v>60</v>
      </c>
      <c r="Q397" s="30" t="inlineStr">
        <is>
          <t>Europe's largest telecom tower operator</t>
        </is>
      </c>
      <c r="R397" s="30" t="inlineStr">
        <is>
          <t>EUR</t>
        </is>
      </c>
      <c r="S397" s="30" t="inlineStr">
        <is>
          <t>Investment Grade</t>
        </is>
      </c>
      <c r="T397" s="30" t="inlineStr">
        <is>
          <t>BBB</t>
        </is>
      </c>
      <c r="U397" s="30" t="inlineStr">
        <is>
          <t>BBB</t>
        </is>
      </c>
      <c r="V397" s="30" t="n"/>
    </row>
    <row r="398">
      <c r="A398" s="30" t="inlineStr">
        <is>
          <t>USN8438JAB46</t>
        </is>
      </c>
      <c r="B398" s="30" t="inlineStr">
        <is>
          <t>Top Pick</t>
        </is>
      </c>
      <c r="C398" s="30" t="inlineStr">
        <is>
          <t>Suzano Intl Finance Bv</t>
        </is>
      </c>
      <c r="D398" s="30" t="n">
        <v>5.5</v>
      </c>
      <c r="E398" s="30" t="inlineStr">
        <is>
          <t>Sr Unsecured</t>
        </is>
      </c>
      <c r="F398" s="30" t="inlineStr">
        <is>
          <t>17.01.2027</t>
        </is>
      </c>
      <c r="G398" s="30" t="inlineStr">
        <is>
          <t>Brazil</t>
        </is>
      </c>
      <c r="H398" s="30" t="inlineStr">
        <is>
          <t>Basic Materials</t>
        </is>
      </c>
      <c r="I398" s="30" t="n">
        <v>2</v>
      </c>
      <c r="J398" s="30" t="n">
        <v>101.206</v>
      </c>
      <c r="K398" s="30" t="n">
        <v>4.670109</v>
      </c>
      <c r="L398" s="30" t="n">
        <v>-0.014491</v>
      </c>
      <c r="M398" s="30" t="n">
        <v>-0.213391</v>
      </c>
      <c r="N398" s="30" t="n">
        <v>74.79637787999999</v>
      </c>
      <c r="O398" s="30" t="n">
        <v>1.783689276</v>
      </c>
      <c r="P398" s="30" t="n">
        <v>0</v>
      </c>
      <c r="Q398" s="30" t="inlineStr">
        <is>
          <t>World's leading pulp producer</t>
        </is>
      </c>
      <c r="R398" s="30" t="inlineStr">
        <is>
          <t>USD</t>
        </is>
      </c>
      <c r="S398" s="30" t="inlineStr">
        <is>
          <t>Latin America</t>
        </is>
      </c>
      <c r="T398" s="30" t="inlineStr">
        <is>
          <t>BBB-</t>
        </is>
      </c>
      <c r="U398" s="30" t="inlineStr">
        <is>
          <t>BBB-</t>
        </is>
      </c>
      <c r="V398" s="30" t="n"/>
    </row>
    <row r="399">
      <c r="A399" s="30" t="inlineStr">
        <is>
          <t>XS2390400807</t>
        </is>
      </c>
      <c r="B399" s="30" t="inlineStr">
        <is>
          <t>Hold</t>
        </is>
      </c>
      <c r="C399" s="30" t="inlineStr">
        <is>
          <t>Enel Finance Intl Nv</t>
        </is>
      </c>
      <c r="D399" s="30" t="n">
        <v>0.875</v>
      </c>
      <c r="E399" s="30" t="inlineStr">
        <is>
          <t>Sr Unsecured</t>
        </is>
      </c>
      <c r="F399" s="30" t="inlineStr">
        <is>
          <t>28.09.2034</t>
        </is>
      </c>
      <c r="G399" s="30" t="inlineStr">
        <is>
          <t>Italy</t>
        </is>
      </c>
      <c r="H399" s="30" t="inlineStr">
        <is>
          <t>Utilities</t>
        </is>
      </c>
      <c r="I399" s="30" t="n">
        <v>100</v>
      </c>
      <c r="J399" s="30" t="n">
        <v>79.02200000000001</v>
      </c>
      <c r="K399" s="30" t="n">
        <v>3.586611</v>
      </c>
      <c r="L399" s="30" t="n">
        <v>-0.010184</v>
      </c>
      <c r="M399" s="30" t="n">
        <v>0.002153</v>
      </c>
      <c r="N399" s="30" t="n">
        <v>74.77176855</v>
      </c>
      <c r="O399" s="30" t="n">
        <v>8.839520444</v>
      </c>
      <c r="P399" s="30" t="n">
        <v>60</v>
      </c>
      <c r="Q399" s="30" t="inlineStr">
        <is>
          <t xml:space="preserve">Italian utility company </t>
        </is>
      </c>
      <c r="R399" s="30" t="inlineStr">
        <is>
          <t>EUR</t>
        </is>
      </c>
      <c r="S399" s="30" t="inlineStr">
        <is>
          <t>Investment Grade</t>
        </is>
      </c>
      <c r="T399" s="30" t="inlineStr">
        <is>
          <t>BBB</t>
        </is>
      </c>
      <c r="U399" s="30" t="inlineStr">
        <is>
          <t>BBB</t>
        </is>
      </c>
      <c r="V399" s="30" t="n"/>
    </row>
    <row r="400">
      <c r="A400" s="30" t="inlineStr">
        <is>
          <t>CH1271360625</t>
        </is>
      </c>
      <c r="B400" s="30" t="inlineStr">
        <is>
          <t xml:space="preserve">Hold </t>
        </is>
      </c>
      <c r="C400" s="30" t="inlineStr">
        <is>
          <t>Equinix Europe Financing</t>
        </is>
      </c>
      <c r="D400" s="30" t="n">
        <v>2.875</v>
      </c>
      <c r="E400" s="30" t="inlineStr">
        <is>
          <t>Sr Unsecured</t>
        </is>
      </c>
      <c r="F400" s="30" t="inlineStr">
        <is>
          <t>12.09.2028</t>
        </is>
      </c>
      <c r="G400" s="30" t="inlineStr">
        <is>
          <t>United states</t>
        </is>
      </c>
      <c r="H400" s="30" t="inlineStr">
        <is>
          <t>Financial</t>
        </is>
      </c>
      <c r="I400" s="30" t="n">
        <v>5</v>
      </c>
      <c r="J400" s="30" t="n">
        <v>106.095</v>
      </c>
      <c r="K400" s="30" t="n">
        <v>0.760223</v>
      </c>
      <c r="L400" s="30" t="n">
        <v>0.052047</v>
      </c>
      <c r="M400" s="30" t="n">
        <v>0.246882</v>
      </c>
      <c r="N400" s="30" t="n">
        <v>74.75000875000001</v>
      </c>
      <c r="O400" s="30" t="n">
        <v>3.131818685</v>
      </c>
      <c r="P400" s="30" t="n">
        <v>0</v>
      </c>
      <c r="Q400" s="30" t="inlineStr">
        <is>
          <t xml:space="preserve">Owns and opeates data centres </t>
        </is>
      </c>
      <c r="R400" s="30" t="inlineStr">
        <is>
          <t>CHF</t>
        </is>
      </c>
      <c r="S400" s="30" t="inlineStr">
        <is>
          <t>Investment Grade</t>
        </is>
      </c>
      <c r="T400" s="30" t="inlineStr">
        <is>
          <t>BBB</t>
        </is>
      </c>
      <c r="U400" s="30" t="inlineStr">
        <is>
          <t>BBB</t>
        </is>
      </c>
      <c r="V400" s="30" t="n"/>
    </row>
    <row r="401">
      <c r="A401" s="30" t="inlineStr">
        <is>
          <t>CH1396329752</t>
        </is>
      </c>
      <c r="B401" s="30" t="inlineStr">
        <is>
          <t>Top Pick</t>
        </is>
      </c>
      <c r="C401" s="30" t="inlineStr">
        <is>
          <t>Toyota Motor Finance Bv</t>
        </is>
      </c>
      <c r="D401" s="30" t="n">
        <v>1.1225</v>
      </c>
      <c r="E401" s="30" t="inlineStr">
        <is>
          <t>Sr Unsecured</t>
        </is>
      </c>
      <c r="F401" s="30" t="inlineStr">
        <is>
          <t>22.05.2030</t>
        </is>
      </c>
      <c r="G401" s="30" t="inlineStr">
        <is>
          <t>Japan</t>
        </is>
      </c>
      <c r="H401" s="30" t="inlineStr">
        <is>
          <t>Consumer, Cyclical</t>
        </is>
      </c>
      <c r="I401" s="30" t="n">
        <v>5</v>
      </c>
      <c r="J401" s="30" t="n">
        <v>101.196</v>
      </c>
      <c r="K401" s="30" t="n">
        <v>0.870043</v>
      </c>
      <c r="L401" s="30" t="n">
        <v>0.037589</v>
      </c>
      <c r="M401" s="30" t="n">
        <v>0.168873</v>
      </c>
      <c r="N401" s="30" t="n">
        <v>74.47362461</v>
      </c>
      <c r="O401" s="30" t="n">
        <v>5.055750118</v>
      </c>
      <c r="P401" s="30" t="n">
        <v>0</v>
      </c>
      <c r="Q401" s="30" t="inlineStr">
        <is>
          <t>Japan's largest auto maker</t>
        </is>
      </c>
      <c r="R401" s="30" t="inlineStr">
        <is>
          <t>CHF</t>
        </is>
      </c>
      <c r="S401" s="30" t="inlineStr">
        <is>
          <t>Investment Grade</t>
        </is>
      </c>
      <c r="T401" s="30" t="inlineStr">
        <is>
          <t>A+</t>
        </is>
      </c>
      <c r="U401" s="30" t="inlineStr">
        <is>
          <t>A+</t>
        </is>
      </c>
      <c r="V401" s="30" t="n"/>
    </row>
    <row r="402">
      <c r="A402" s="30" t="inlineStr">
        <is>
          <t>XS2135361686</t>
        </is>
      </c>
      <c r="B402" s="30" t="inlineStr">
        <is>
          <t>Hold</t>
        </is>
      </c>
      <c r="C402" s="30" t="inlineStr">
        <is>
          <t>United Mexican States</t>
        </is>
      </c>
      <c r="D402" s="30" t="n">
        <v>1.35</v>
      </c>
      <c r="E402" s="30" t="inlineStr">
        <is>
          <t>Sr Unsecured</t>
        </is>
      </c>
      <c r="F402" s="30" t="inlineStr">
        <is>
          <t>18.09.2027</t>
        </is>
      </c>
      <c r="G402" s="30" t="inlineStr">
        <is>
          <t>Mexico</t>
        </is>
      </c>
      <c r="H402" s="30" t="inlineStr">
        <is>
          <t>Government</t>
        </is>
      </c>
      <c r="I402" s="30" t="n">
        <v>100</v>
      </c>
      <c r="J402" s="30" t="n">
        <v>97.273</v>
      </c>
      <c r="K402" s="30" t="n">
        <v>2.644081</v>
      </c>
      <c r="L402" s="30" t="n">
        <v>-0.131129</v>
      </c>
      <c r="M402" s="30" t="n">
        <v>-0.257958</v>
      </c>
      <c r="N402" s="30" t="n">
        <v>74.33918658</v>
      </c>
      <c r="O402" s="30" t="n">
        <v>2.442899108</v>
      </c>
      <c r="P402" s="30" t="n">
        <v>60</v>
      </c>
      <c r="Q402" s="30" t="inlineStr">
        <is>
          <t>Mexican Government</t>
        </is>
      </c>
      <c r="R402" s="30" t="inlineStr">
        <is>
          <t>EUR</t>
        </is>
      </c>
      <c r="S402" s="30" t="inlineStr">
        <is>
          <t>Latin America</t>
        </is>
      </c>
      <c r="T402" s="30" t="inlineStr">
        <is>
          <t>BBB-</t>
        </is>
      </c>
      <c r="U402" s="30" t="inlineStr">
        <is>
          <t>BBB-</t>
        </is>
      </c>
      <c r="V402" s="30" t="n"/>
    </row>
    <row r="403">
      <c r="A403" s="30" t="inlineStr">
        <is>
          <t>XS2588885025</t>
        </is>
      </c>
      <c r="B403" s="30" t="inlineStr">
        <is>
          <t>Hold</t>
        </is>
      </c>
      <c r="C403" s="30" t="inlineStr">
        <is>
          <t>Unicredit Spa</t>
        </is>
      </c>
      <c r="D403" s="30" t="n">
        <v>4.45</v>
      </c>
      <c r="E403" s="30" t="inlineStr">
        <is>
          <t>Sr Non Preferred</t>
        </is>
      </c>
      <c r="F403" s="30" t="inlineStr">
        <is>
          <t>16.02.2029</t>
        </is>
      </c>
      <c r="G403" s="30" t="inlineStr">
        <is>
          <t>Italy</t>
        </is>
      </c>
      <c r="H403" s="30" t="inlineStr">
        <is>
          <t>Financial</t>
        </is>
      </c>
      <c r="I403" s="30" t="n">
        <v>150</v>
      </c>
      <c r="J403" s="30" t="n">
        <v>104.636</v>
      </c>
      <c r="K403" s="30" t="n">
        <v>2.5837</v>
      </c>
      <c r="L403" s="30" t="n">
        <v>-0.098507</v>
      </c>
      <c r="M403" s="30" t="n">
        <v>-0.163281</v>
      </c>
      <c r="N403" s="30" t="n">
        <v>73.91631053</v>
      </c>
      <c r="O403" s="30" t="n">
        <v>2.771403983</v>
      </c>
      <c r="P403" s="30" t="n">
        <v>60</v>
      </c>
      <c r="Q403" s="30" t="inlineStr">
        <is>
          <t>One of the largest bank in italy</t>
        </is>
      </c>
      <c r="R403" s="30" t="inlineStr">
        <is>
          <t>EUR</t>
        </is>
      </c>
      <c r="S403" s="30" t="inlineStr">
        <is>
          <t>Investment Grade</t>
        </is>
      </c>
      <c r="T403" s="30" t="inlineStr">
        <is>
          <t>BBB-</t>
        </is>
      </c>
      <c r="U403" s="30" t="inlineStr">
        <is>
          <t>BBB-</t>
        </is>
      </c>
      <c r="V403" s="30" t="n"/>
    </row>
    <row r="404">
      <c r="A404" s="30" t="inlineStr">
        <is>
          <t>XS1968703345</t>
        </is>
      </c>
      <c r="B404" s="30" t="inlineStr">
        <is>
          <t xml:space="preserve">Top pick </t>
        </is>
      </c>
      <c r="C404" s="30" t="inlineStr">
        <is>
          <t>Glencore Finance Europe</t>
        </is>
      </c>
      <c r="D404" s="30" t="n">
        <v>3.125</v>
      </c>
      <c r="E404" s="30" t="inlineStr">
        <is>
          <t>Sr Unsecured</t>
        </is>
      </c>
      <c r="F404" s="30" t="inlineStr">
        <is>
          <t>26.03.2026</t>
        </is>
      </c>
      <c r="G404" s="30" t="inlineStr">
        <is>
          <t>Australia</t>
        </is>
      </c>
      <c r="H404" s="30" t="inlineStr">
        <is>
          <t>Basic Materials</t>
        </is>
      </c>
      <c r="I404" s="30" t="n">
        <v>100</v>
      </c>
      <c r="J404" s="30" t="n">
        <v>98.96899999999999</v>
      </c>
      <c r="K404" s="30" t="n">
        <v>4.557183</v>
      </c>
      <c r="L404" s="30" t="n">
        <v>-0.025958</v>
      </c>
      <c r="M404" s="30" t="n">
        <v>-0.223596</v>
      </c>
      <c r="N404" s="30" t="n">
        <v>73.53695662</v>
      </c>
      <c r="O404" s="30" t="n">
        <v>1.004894179</v>
      </c>
      <c r="P404" s="30" t="n">
        <v>60</v>
      </c>
      <c r="Q404" s="30" t="inlineStr">
        <is>
          <t>Leading diversified natural resources group</t>
        </is>
      </c>
      <c r="R404" s="30" t="inlineStr">
        <is>
          <t>GBP</t>
        </is>
      </c>
      <c r="S404" s="30" t="inlineStr">
        <is>
          <t>Investment Grade</t>
        </is>
      </c>
      <c r="T404" s="30" t="inlineStr">
        <is>
          <t>BBB+</t>
        </is>
      </c>
      <c r="U404" s="30" t="inlineStr">
        <is>
          <t>BBB+</t>
        </is>
      </c>
      <c r="V404" s="30" t="n"/>
    </row>
    <row r="405">
      <c r="A405" s="30" t="inlineStr">
        <is>
          <t>XS2052469165</t>
        </is>
      </c>
      <c r="B405" s="30" t="inlineStr">
        <is>
          <t>Hold</t>
        </is>
      </c>
      <c r="C405" s="30" t="inlineStr">
        <is>
          <t>Emaar Sukuk Ltd</t>
        </is>
      </c>
      <c r="D405" s="30" t="n">
        <v>3.875</v>
      </c>
      <c r="E405" s="30" t="inlineStr">
        <is>
          <t>Sr Unsecured</t>
        </is>
      </c>
      <c r="F405" s="30" t="inlineStr">
        <is>
          <t>17.09.2029</t>
        </is>
      </c>
      <c r="G405" s="30" t="inlineStr">
        <is>
          <t>U.A.E</t>
        </is>
      </c>
      <c r="H405" s="30" t="inlineStr">
        <is>
          <t>Financial</t>
        </is>
      </c>
      <c r="I405" s="30" t="n">
        <v>200</v>
      </c>
      <c r="J405" s="30" t="n">
        <v>97.13200000000001</v>
      </c>
      <c r="K405" s="30" t="n">
        <v>4.634773</v>
      </c>
      <c r="L405" s="30" t="n">
        <v>-0.006612</v>
      </c>
      <c r="M405" s="30" t="n">
        <v>-0.186981</v>
      </c>
      <c r="N405" s="30" t="n">
        <v>73.52325825</v>
      </c>
      <c r="O405" s="30" t="n">
        <v>4.035477565</v>
      </c>
      <c r="P405" s="30" t="n">
        <v>60</v>
      </c>
      <c r="Q405" s="30" t="inlineStr">
        <is>
          <t xml:space="preserve">Dubai partially state-owned property company </t>
        </is>
      </c>
      <c r="R405" s="30" t="inlineStr">
        <is>
          <t>USD</t>
        </is>
      </c>
      <c r="S405" s="30" t="inlineStr">
        <is>
          <t>Investment Grade</t>
        </is>
      </c>
      <c r="T405" s="30" t="inlineStr">
        <is>
          <t>BBB+</t>
        </is>
      </c>
      <c r="U405" s="30" t="inlineStr">
        <is>
          <t>BBB</t>
        </is>
      </c>
      <c r="V405" s="30" t="n"/>
    </row>
    <row r="406">
      <c r="A406" s="30" t="inlineStr">
        <is>
          <t>XS2641777235</t>
        </is>
      </c>
      <c r="B406" s="30" t="inlineStr">
        <is>
          <t xml:space="preserve">Hold </t>
        </is>
      </c>
      <c r="C406" s="30" t="inlineStr">
        <is>
          <t>Almarai Co Jsc</t>
        </is>
      </c>
      <c r="D406" s="30" t="n">
        <v>5.233</v>
      </c>
      <c r="E406" s="30" t="inlineStr">
        <is>
          <t>Sr Unsecured</t>
        </is>
      </c>
      <c r="F406" s="30" t="inlineStr">
        <is>
          <t>25.07.2033</t>
        </is>
      </c>
      <c r="G406" s="30" t="inlineStr">
        <is>
          <t>Saudi Arabia</t>
        </is>
      </c>
      <c r="H406" s="30" t="inlineStr">
        <is>
          <t>Consumer, Non-cyclical</t>
        </is>
      </c>
      <c r="I406" s="30" t="n">
        <v>200</v>
      </c>
      <c r="J406" s="30" t="n">
        <v>101.872</v>
      </c>
      <c r="K406" s="30" t="n">
        <v>4.947618</v>
      </c>
      <c r="L406" s="30" t="n">
        <v>-0.049892</v>
      </c>
      <c r="M406" s="30" t="n">
        <v>-0.185599</v>
      </c>
      <c r="N406" s="30" t="n">
        <v>73.51872071</v>
      </c>
      <c r="O406" s="30" t="n">
        <v>6.710026138</v>
      </c>
      <c r="P406" s="30" t="n">
        <v>60</v>
      </c>
      <c r="Q406" s="30" t="inlineStr">
        <is>
          <t>Saudi partially state-owned food and dairy company</t>
        </is>
      </c>
      <c r="R406" s="30" t="inlineStr">
        <is>
          <t>USD</t>
        </is>
      </c>
      <c r="S406" s="30" t="inlineStr">
        <is>
          <t>Investment Grade</t>
        </is>
      </c>
      <c r="T406" s="30" t="inlineStr">
        <is>
          <t>BBB-</t>
        </is>
      </c>
      <c r="U406" s="30" t="inlineStr">
        <is>
          <t>BBB-</t>
        </is>
      </c>
      <c r="V406" s="30" t="n"/>
    </row>
    <row r="407">
      <c r="A407" s="30" t="inlineStr">
        <is>
          <t>USU7136QAB78</t>
        </is>
      </c>
      <c r="B407" s="30" t="inlineStr">
        <is>
          <t>Hold</t>
        </is>
      </c>
      <c r="C407" s="30" t="inlineStr">
        <is>
          <t>Pernod Ric Intl Fin Llc</t>
        </is>
      </c>
      <c r="D407" s="30" t="n">
        <v>1.625</v>
      </c>
      <c r="E407" s="30" t="inlineStr">
        <is>
          <t>Sr Unsecured</t>
        </is>
      </c>
      <c r="F407" s="30" t="inlineStr">
        <is>
          <t>01.04.2031</t>
        </is>
      </c>
      <c r="G407" s="30" t="inlineStr">
        <is>
          <t>United states</t>
        </is>
      </c>
      <c r="H407" s="30" t="inlineStr">
        <is>
          <t>Consumer, Non-cyclical</t>
        </is>
      </c>
      <c r="I407" s="30" t="n">
        <v>150</v>
      </c>
      <c r="J407" s="30" t="n">
        <v>84.465</v>
      </c>
      <c r="K407" s="30" t="n">
        <v>4.753273</v>
      </c>
      <c r="L407" s="30" t="n">
        <v>-0.05705</v>
      </c>
      <c r="M407" s="30" t="n">
        <v>-0.253865</v>
      </c>
      <c r="N407" s="30" t="n">
        <v>73.41397202</v>
      </c>
      <c r="O407" s="30" t="n">
        <v>5.615748591</v>
      </c>
      <c r="P407" s="30" t="n">
        <v>45</v>
      </c>
      <c r="Q407" s="30" t="inlineStr">
        <is>
          <t>Pernod Ricard International Finance LLC manufactures alcoholic beverages.</t>
        </is>
      </c>
      <c r="R407" s="30" t="inlineStr">
        <is>
          <t>USD</t>
        </is>
      </c>
      <c r="S407" s="30" t="inlineStr">
        <is>
          <t>Investment Grade</t>
        </is>
      </c>
      <c r="T407" s="30" t="inlineStr">
        <is>
          <t>BBB+</t>
        </is>
      </c>
      <c r="U407" s="30" t="inlineStr">
        <is>
          <t>BBB+</t>
        </is>
      </c>
      <c r="V407" s="30" t="n"/>
    </row>
    <row r="408">
      <c r="A408" s="30" t="inlineStr">
        <is>
          <t>FR001400F5F6</t>
        </is>
      </c>
      <c r="B408" s="30" t="inlineStr">
        <is>
          <t>Hold</t>
        </is>
      </c>
      <c r="C408" s="30" t="inlineStr">
        <is>
          <t>La Banque Postale</t>
        </is>
      </c>
      <c r="D408" s="30" t="n">
        <v>4.375</v>
      </c>
      <c r="E408" s="30" t="inlineStr">
        <is>
          <t>Sr Non Preferred</t>
        </is>
      </c>
      <c r="F408" s="30" t="inlineStr">
        <is>
          <t>17.01.2030</t>
        </is>
      </c>
      <c r="G408" s="30" t="inlineStr">
        <is>
          <t>France</t>
        </is>
      </c>
      <c r="H408" s="30" t="inlineStr">
        <is>
          <t>Financial</t>
        </is>
      </c>
      <c r="I408" s="30" t="n">
        <v>100</v>
      </c>
      <c r="J408" s="30" t="n">
        <v>105.906</v>
      </c>
      <c r="K408" s="30" t="n">
        <v>2.95783</v>
      </c>
      <c r="L408" s="30" t="n">
        <v>-0.066654</v>
      </c>
      <c r="M408" s="30" t="n">
        <v>-0.135978</v>
      </c>
      <c r="N408" s="30" t="n">
        <v>73.35544179999999</v>
      </c>
      <c r="O408" s="30" t="n">
        <v>4.367745985</v>
      </c>
      <c r="P408" s="30" t="n">
        <v>60</v>
      </c>
      <c r="Q408" s="30" t="inlineStr">
        <is>
          <t>La Banque Postale provides banking services in France</t>
        </is>
      </c>
      <c r="R408" s="30" t="inlineStr">
        <is>
          <t>EUR</t>
        </is>
      </c>
      <c r="S408" s="30" t="inlineStr">
        <is>
          <t>Investment Grade</t>
        </is>
      </c>
      <c r="T408" s="30" t="inlineStr">
        <is>
          <t>BBB+</t>
        </is>
      </c>
      <c r="U408" s="30" t="inlineStr">
        <is>
          <t>BBB+</t>
        </is>
      </c>
      <c r="V408" s="30" t="n"/>
    </row>
    <row r="409">
      <c r="A409" s="30" t="inlineStr">
        <is>
          <t>FR001400KPC2</t>
        </is>
      </c>
      <c r="B409" s="30" t="inlineStr">
        <is>
          <t>Hold</t>
        </is>
      </c>
      <c r="C409" s="30" t="inlineStr">
        <is>
          <t>Pernod Ricard Sa</t>
        </is>
      </c>
      <c r="D409" s="30" t="n">
        <v>3.75</v>
      </c>
      <c r="E409" s="30" t="inlineStr">
        <is>
          <t>Sr Unsecured</t>
        </is>
      </c>
      <c r="F409" s="30" t="inlineStr">
        <is>
          <t>15.09.2033</t>
        </is>
      </c>
      <c r="G409" s="30" t="inlineStr">
        <is>
          <t>France</t>
        </is>
      </c>
      <c r="H409" s="30" t="inlineStr">
        <is>
          <t>Consumer, Non-cyclical</t>
        </is>
      </c>
      <c r="I409" s="30" t="n">
        <v>100</v>
      </c>
      <c r="J409" s="30" t="n">
        <v>102.219</v>
      </c>
      <c r="K409" s="30" t="n">
        <v>3.42601</v>
      </c>
      <c r="L409" s="30" t="n">
        <v>-0.120833</v>
      </c>
      <c r="M409" s="30" t="n">
        <v>-0.10533</v>
      </c>
      <c r="N409" s="30" t="n">
        <v>73.34130694</v>
      </c>
      <c r="O409" s="30" t="n">
        <v>6.949579238</v>
      </c>
      <c r="P409" s="30" t="n">
        <v>60</v>
      </c>
      <c r="Q409" s="30" t="inlineStr">
        <is>
          <t>Pernod Ricard produces and markets alcoholic beverages.</t>
        </is>
      </c>
      <c r="R409" s="30" t="inlineStr">
        <is>
          <t>EUR</t>
        </is>
      </c>
      <c r="S409" s="30" t="inlineStr">
        <is>
          <t>Investment Grade</t>
        </is>
      </c>
      <c r="T409" s="30" t="inlineStr">
        <is>
          <t>BBB+</t>
        </is>
      </c>
      <c r="U409" s="30" t="inlineStr">
        <is>
          <t>BBB+</t>
        </is>
      </c>
      <c r="V409" s="30" t="n"/>
    </row>
    <row r="410">
      <c r="A410" s="30" t="inlineStr">
        <is>
          <t>XS2830466137</t>
        </is>
      </c>
      <c r="B410" s="30" t="inlineStr">
        <is>
          <t>Top Pick</t>
        </is>
      </c>
      <c r="C410" s="30" t="inlineStr">
        <is>
          <t>American Tower Corp</t>
        </is>
      </c>
      <c r="D410" s="30" t="n">
        <v>3.9</v>
      </c>
      <c r="E410" s="30" t="inlineStr">
        <is>
          <t>Sr Unsecured</t>
        </is>
      </c>
      <c r="F410" s="30" t="inlineStr">
        <is>
          <t>16.05.2030</t>
        </is>
      </c>
      <c r="G410" s="30" t="inlineStr">
        <is>
          <t>United states</t>
        </is>
      </c>
      <c r="H410" s="30" t="inlineStr">
        <is>
          <t>Financial</t>
        </is>
      </c>
      <c r="I410" s="30" t="n">
        <v>100</v>
      </c>
      <c r="J410" s="30" t="n">
        <v>103.826</v>
      </c>
      <c r="K410" s="30" t="n">
        <v>2.999164</v>
      </c>
      <c r="L410" s="30" t="n">
        <v>-0.096414</v>
      </c>
      <c r="M410" s="30" t="n">
        <v>-0.082409</v>
      </c>
      <c r="N410" s="30" t="n">
        <v>73.05401225</v>
      </c>
      <c r="O410" s="30" t="n">
        <v>4.357010054</v>
      </c>
      <c r="P410" s="30" t="n">
        <v>60</v>
      </c>
      <c r="Q410" s="30" t="inlineStr">
        <is>
          <t>Europe's largest telecom tower operator</t>
        </is>
      </c>
      <c r="R410" s="30" t="inlineStr">
        <is>
          <t>EUR</t>
        </is>
      </c>
      <c r="S410" s="30" t="inlineStr">
        <is>
          <t>Investment Grade</t>
        </is>
      </c>
      <c r="T410" s="30" t="inlineStr">
        <is>
          <t>BBB</t>
        </is>
      </c>
      <c r="U410" s="30" t="inlineStr">
        <is>
          <t>BBB</t>
        </is>
      </c>
      <c r="V410" s="30" t="n"/>
    </row>
    <row r="411">
      <c r="A411" s="30" t="inlineStr">
        <is>
          <t>US278642BB85</t>
        </is>
      </c>
      <c r="B411" s="30" t="inlineStr">
        <is>
          <t>Hold</t>
        </is>
      </c>
      <c r="C411" s="30" t="inlineStr">
        <is>
          <t>Ebay Inc</t>
        </is>
      </c>
      <c r="D411" s="30" t="n">
        <v>6.3</v>
      </c>
      <c r="E411" s="30" t="inlineStr">
        <is>
          <t>Sr Unsecured</t>
        </is>
      </c>
      <c r="F411" s="30" t="inlineStr">
        <is>
          <t>22.11.2032</t>
        </is>
      </c>
      <c r="G411" s="30" t="inlineStr">
        <is>
          <t>United states</t>
        </is>
      </c>
      <c r="H411" s="30" t="inlineStr">
        <is>
          <t>Communications</t>
        </is>
      </c>
      <c r="I411" s="30" t="n">
        <v>2</v>
      </c>
      <c r="J411" s="30" t="n">
        <v>108.466</v>
      </c>
      <c r="K411" s="30" t="n">
        <v>4.878428</v>
      </c>
      <c r="L411" s="30" t="n">
        <v>0.06383800000000001</v>
      </c>
      <c r="M411" s="30" t="n">
        <v>-0.135301</v>
      </c>
      <c r="N411" s="30" t="n">
        <v>72.88875345</v>
      </c>
      <c r="O411" s="30" t="n">
        <v>5.907190381</v>
      </c>
      <c r="P411" s="30" t="n">
        <v>85</v>
      </c>
      <c r="Q411" s="30" t="inlineStr">
        <is>
          <t>E-commerce company providing C2C and B2C sales services via internet</t>
        </is>
      </c>
      <c r="R411" s="30" t="inlineStr">
        <is>
          <t>USD</t>
        </is>
      </c>
      <c r="S411" s="30" t="inlineStr">
        <is>
          <t>Investment Grade</t>
        </is>
      </c>
      <c r="T411" s="30" t="inlineStr">
        <is>
          <t>BBB+</t>
        </is>
      </c>
      <c r="U411" s="30" t="inlineStr">
        <is>
          <t>BBB+</t>
        </is>
      </c>
      <c r="V411" s="30" t="n"/>
    </row>
    <row r="412">
      <c r="A412" s="30" t="inlineStr">
        <is>
          <t>FR001400F2Q0</t>
        </is>
      </c>
      <c r="B412" s="30" t="inlineStr">
        <is>
          <t xml:space="preserve">Hold </t>
        </is>
      </c>
      <c r="C412" s="30" t="inlineStr">
        <is>
          <t>Air France-Klm</t>
        </is>
      </c>
      <c r="D412" s="30" t="n">
        <v>7.25</v>
      </c>
      <c r="E412" s="30" t="inlineStr">
        <is>
          <t>Sr Unsecured</t>
        </is>
      </c>
      <c r="F412" s="30" t="inlineStr">
        <is>
          <t>31.05.2026</t>
        </is>
      </c>
      <c r="G412" s="30" t="inlineStr">
        <is>
          <t>France</t>
        </is>
      </c>
      <c r="H412" s="30" t="inlineStr">
        <is>
          <t>Consumer, Cyclical</t>
        </is>
      </c>
      <c r="I412" s="30" t="n">
        <v>100</v>
      </c>
      <c r="J412" s="30" t="n">
        <v>103.697</v>
      </c>
      <c r="K412" s="30" t="n">
        <v>2.561821</v>
      </c>
      <c r="L412" s="30" t="n">
        <v>-0.13952</v>
      </c>
      <c r="M412" s="30" t="n">
        <v>-0.144487</v>
      </c>
      <c r="N412" s="30" t="n">
        <v>72.58380403</v>
      </c>
      <c r="O412" s="30" t="n">
        <v>1.089174688</v>
      </c>
      <c r="P412" s="30" t="n">
        <v>25</v>
      </c>
      <c r="Q412" s="30" t="inlineStr">
        <is>
          <t>Offers air transportation services</t>
        </is>
      </c>
      <c r="R412" s="30" t="inlineStr">
        <is>
          <t>EUR</t>
        </is>
      </c>
      <c r="S412" s="30" t="inlineStr">
        <is>
          <t>High Yield</t>
        </is>
      </c>
      <c r="T412" s="30" t="inlineStr">
        <is>
          <t>BB+</t>
        </is>
      </c>
      <c r="U412" s="30" t="inlineStr">
        <is>
          <t>BB+</t>
        </is>
      </c>
      <c r="V412" s="30" t="n"/>
    </row>
    <row r="413">
      <c r="A413" s="30" t="inlineStr">
        <is>
          <t>US487836BZ07</t>
        </is>
      </c>
      <c r="B413" s="30" t="inlineStr">
        <is>
          <t>Hold</t>
        </is>
      </c>
      <c r="C413" s="30" t="inlineStr">
        <is>
          <t>Kellanova</t>
        </is>
      </c>
      <c r="D413" s="30" t="n">
        <v>5.25</v>
      </c>
      <c r="E413" s="30" t="inlineStr">
        <is>
          <t>Sr Unsecured</t>
        </is>
      </c>
      <c r="F413" s="30" t="inlineStr">
        <is>
          <t>01.03.2033</t>
        </is>
      </c>
      <c r="G413" s="30" t="inlineStr">
        <is>
          <t>United states</t>
        </is>
      </c>
      <c r="H413" s="30" t="inlineStr">
        <is>
          <t>Consumer, Non-cyclical</t>
        </is>
      </c>
      <c r="I413" s="30" t="n">
        <v>2</v>
      </c>
      <c r="J413" s="30" t="n">
        <v>102.044</v>
      </c>
      <c r="K413" s="30" t="n">
        <v>4.916789</v>
      </c>
      <c r="L413" s="30" t="n">
        <v>-0.033377</v>
      </c>
      <c r="M413" s="30" t="n">
        <v>-0.189357</v>
      </c>
      <c r="N413" s="30" t="n">
        <v>72.37488833</v>
      </c>
      <c r="O413" s="30" t="n">
        <v>6.32912097</v>
      </c>
      <c r="P413" s="30" t="n">
        <v>60</v>
      </c>
      <c r="Q413" s="30" t="inlineStr">
        <is>
          <t>Leading producer of cereals, cookies, crackers, snacks and frozen food</t>
        </is>
      </c>
      <c r="R413" s="30" t="inlineStr">
        <is>
          <t>USD</t>
        </is>
      </c>
      <c r="S413" s="30" t="inlineStr">
        <is>
          <t>Investment Grade</t>
        </is>
      </c>
      <c r="T413" s="30" t="inlineStr">
        <is>
          <t>BBB+</t>
        </is>
      </c>
      <c r="U413" s="30" t="inlineStr">
        <is>
          <t>BBB</t>
        </is>
      </c>
      <c r="V413" s="30" t="n"/>
    </row>
    <row r="414">
      <c r="A414" s="30" t="inlineStr">
        <is>
          <t>XS1944412748</t>
        </is>
      </c>
      <c r="B414" s="30" t="inlineStr">
        <is>
          <t>Top Pick</t>
        </is>
      </c>
      <c r="C414" s="30" t="inlineStr">
        <is>
          <t>Oman Gov Interntl Bond</t>
        </is>
      </c>
      <c r="D414" s="30" t="n">
        <v>6</v>
      </c>
      <c r="E414" s="30" t="inlineStr">
        <is>
          <t>Sr Unsecured</t>
        </is>
      </c>
      <c r="F414" s="30" t="inlineStr">
        <is>
          <t>01.08.2029</t>
        </is>
      </c>
      <c r="G414" s="30" t="inlineStr">
        <is>
          <t>Oman</t>
        </is>
      </c>
      <c r="H414" s="30" t="inlineStr">
        <is>
          <t>Government</t>
        </is>
      </c>
      <c r="I414" s="30" t="n">
        <v>200</v>
      </c>
      <c r="J414" s="30" t="n">
        <v>105.072</v>
      </c>
      <c r="K414" s="30" t="n">
        <v>4.615203</v>
      </c>
      <c r="L414" s="30" t="n">
        <v>-0.0631</v>
      </c>
      <c r="M414" s="30" t="n">
        <v>-0.409598</v>
      </c>
      <c r="N414" s="30" t="n">
        <v>72.17294265</v>
      </c>
      <c r="O414" s="30" t="n">
        <v>3.847162372</v>
      </c>
      <c r="P414" s="30" t="n">
        <v>0</v>
      </c>
      <c r="Q414" s="30" t="inlineStr">
        <is>
          <t xml:space="preserve">Oman government bond </t>
        </is>
      </c>
      <c r="R414" s="30" t="inlineStr">
        <is>
          <t>USD</t>
        </is>
      </c>
      <c r="S414" s="30" t="inlineStr">
        <is>
          <t>High Yield</t>
        </is>
      </c>
      <c r="T414" s="30" t="inlineStr">
        <is>
          <t>BB+</t>
        </is>
      </c>
      <c r="U414" s="30" t="inlineStr">
        <is>
          <t>BB+</t>
        </is>
      </c>
      <c r="V414" s="30" t="n"/>
    </row>
    <row r="415">
      <c r="A415" s="30" t="inlineStr">
        <is>
          <t>XS2247549731</t>
        </is>
      </c>
      <c r="B415" s="30" t="inlineStr">
        <is>
          <t>Top Pick</t>
        </is>
      </c>
      <c r="C415" s="30" t="inlineStr">
        <is>
          <t>Cellnex Telecom Sa</t>
        </is>
      </c>
      <c r="D415" s="30" t="n">
        <v>1.75</v>
      </c>
      <c r="E415" s="30" t="inlineStr">
        <is>
          <t>Sr Unsecured</t>
        </is>
      </c>
      <c r="F415" s="30" t="inlineStr">
        <is>
          <t>23.10.2030</t>
        </is>
      </c>
      <c r="G415" s="30" t="inlineStr">
        <is>
          <t>Spain</t>
        </is>
      </c>
      <c r="H415" s="30" t="inlineStr">
        <is>
          <t>Industrial</t>
        </is>
      </c>
      <c r="I415" s="30" t="n">
        <v>100</v>
      </c>
      <c r="J415" s="30" t="n">
        <v>93.663</v>
      </c>
      <c r="K415" s="30" t="n">
        <v>3.064752</v>
      </c>
      <c r="L415" s="30" t="n">
        <v>-0.117244</v>
      </c>
      <c r="M415" s="30" t="n">
        <v>-0.09760199999999999</v>
      </c>
      <c r="N415" s="30" t="n">
        <v>71.42557477</v>
      </c>
      <c r="O415" s="30" t="n">
        <v>5.225022178</v>
      </c>
      <c r="P415" s="30" t="n">
        <v>60</v>
      </c>
      <c r="Q415" s="30" t="inlineStr">
        <is>
          <t>Europe's largest telecom tower operator</t>
        </is>
      </c>
      <c r="R415" s="30" t="inlineStr">
        <is>
          <t>EUR</t>
        </is>
      </c>
      <c r="S415" s="30" t="inlineStr">
        <is>
          <t>Investment Grade</t>
        </is>
      </c>
      <c r="T415" s="30" t="inlineStr">
        <is>
          <t>BBB-</t>
        </is>
      </c>
      <c r="U415" s="30" t="inlineStr">
        <is>
          <t>BBB-</t>
        </is>
      </c>
      <c r="V415" s="30" t="n"/>
    </row>
    <row r="416">
      <c r="A416" s="30" t="inlineStr">
        <is>
          <t>XS2676818482</t>
        </is>
      </c>
      <c r="B416" s="30" t="inlineStr">
        <is>
          <t>Hold</t>
        </is>
      </c>
      <c r="C416" s="30" t="inlineStr">
        <is>
          <t>Securitas Treasury Irela</t>
        </is>
      </c>
      <c r="D416" s="30" t="n">
        <v>4.375</v>
      </c>
      <c r="E416" s="30" t="inlineStr">
        <is>
          <t>Sr Unsecured</t>
        </is>
      </c>
      <c r="F416" s="30" t="inlineStr">
        <is>
          <t>06.03.2029</t>
        </is>
      </c>
      <c r="G416" s="30" t="inlineStr">
        <is>
          <t>Sweden</t>
        </is>
      </c>
      <c r="H416" s="30" t="inlineStr">
        <is>
          <t>Consumer, Non-cyclical</t>
        </is>
      </c>
      <c r="I416" s="30" t="n">
        <v>100</v>
      </c>
      <c r="J416" s="30" t="n">
        <v>105.092</v>
      </c>
      <c r="K416" s="30" t="n">
        <v>2.788462</v>
      </c>
      <c r="L416" s="30" t="n">
        <v>-0.088112</v>
      </c>
      <c r="M416" s="30" t="n">
        <v>-0.09637999999999999</v>
      </c>
      <c r="N416" s="30" t="n">
        <v>70.71961595000001</v>
      </c>
      <c r="O416" s="30" t="n">
        <v>3.327238929</v>
      </c>
      <c r="P416" s="30" t="n">
        <v>60</v>
      </c>
      <c r="Q416" s="30" t="inlineStr">
        <is>
          <t>Provides security services</t>
        </is>
      </c>
      <c r="R416" s="30" t="inlineStr">
        <is>
          <t>EUR</t>
        </is>
      </c>
      <c r="S416" s="30" t="inlineStr">
        <is>
          <t>Investment Grade</t>
        </is>
      </c>
      <c r="T416" s="30" t="inlineStr">
        <is>
          <t>NR</t>
        </is>
      </c>
      <c r="U416" s="30" t="inlineStr">
        <is>
          <t>NR</t>
        </is>
      </c>
      <c r="V416" s="30" t="n"/>
    </row>
    <row r="417">
      <c r="A417" s="30" t="inlineStr">
        <is>
          <t>XS2577396430</t>
        </is>
      </c>
      <c r="B417" s="30" t="inlineStr">
        <is>
          <t xml:space="preserve">Hold </t>
        </is>
      </c>
      <c r="C417" s="30" t="inlineStr">
        <is>
          <t>Pirelli &amp; C Spa</t>
        </is>
      </c>
      <c r="D417" s="30" t="n">
        <v>4.25</v>
      </c>
      <c r="E417" s="30" t="inlineStr">
        <is>
          <t>Sr Unsecured</t>
        </is>
      </c>
      <c r="F417" s="30" t="inlineStr">
        <is>
          <t>18.01.2028</t>
        </is>
      </c>
      <c r="G417" s="30" t="inlineStr">
        <is>
          <t>Italy</t>
        </is>
      </c>
      <c r="H417" s="30" t="inlineStr">
        <is>
          <t>Consumer, Cyclical</t>
        </is>
      </c>
      <c r="I417" s="30" t="n">
        <v>100</v>
      </c>
      <c r="J417" s="30" t="n">
        <v>103.746</v>
      </c>
      <c r="K417" s="30" t="n">
        <v>2.642798</v>
      </c>
      <c r="L417" s="30" t="n">
        <v>-0.078719</v>
      </c>
      <c r="M417" s="30" t="n">
        <v>-0.155586</v>
      </c>
      <c r="N417" s="30" t="n">
        <v>70.69221862000001</v>
      </c>
      <c r="O417" s="30" t="n">
        <v>2.62649132</v>
      </c>
      <c r="P417" s="30" t="n">
        <v>60</v>
      </c>
      <c r="Q417" s="30" t="inlineStr">
        <is>
          <t>Designs, produces and sells tires for cars, motorcycles and bicycles</t>
        </is>
      </c>
      <c r="R417" s="30" t="inlineStr">
        <is>
          <t>EUR</t>
        </is>
      </c>
      <c r="S417" s="30" t="inlineStr">
        <is>
          <t>Investment Grade</t>
        </is>
      </c>
      <c r="T417" s="30" t="inlineStr">
        <is>
          <t>BBB-</t>
        </is>
      </c>
      <c r="U417" s="30" t="inlineStr">
        <is>
          <t>BBB-</t>
        </is>
      </c>
      <c r="V417" s="30" t="n"/>
    </row>
    <row r="418">
      <c r="A418" s="30" t="inlineStr">
        <is>
          <t>XS2892967949</t>
        </is>
      </c>
      <c r="B418" s="30" t="inlineStr">
        <is>
          <t>Hold</t>
        </is>
      </c>
      <c r="C418" s="30" t="inlineStr">
        <is>
          <t>Fed Caisses Desjardins</t>
        </is>
      </c>
      <c r="D418" s="30" t="n">
        <v>3.467</v>
      </c>
      <c r="E418" s="30" t="inlineStr">
        <is>
          <t>Sr Unsecured</t>
        </is>
      </c>
      <c r="F418" s="30" t="inlineStr">
        <is>
          <t>05.09.2029</t>
        </is>
      </c>
      <c r="G418" s="30" t="inlineStr">
        <is>
          <t>Canada</t>
        </is>
      </c>
      <c r="H418" s="30" t="inlineStr">
        <is>
          <t>Financial</t>
        </is>
      </c>
      <c r="I418" s="30" t="n">
        <v>100</v>
      </c>
      <c r="J418" s="30" t="n">
        <v>102.28</v>
      </c>
      <c r="K418" s="30" t="n">
        <v>2.875801</v>
      </c>
      <c r="L418" s="30" t="n">
        <v>-0.025078</v>
      </c>
      <c r="M418" s="30" t="n">
        <v>0.009783</v>
      </c>
      <c r="N418" s="30" t="n">
        <v>70.56457574</v>
      </c>
      <c r="O418" s="30" t="n">
        <v>4.085077125</v>
      </c>
      <c r="P418" s="30" t="n">
        <v>0</v>
      </c>
      <c r="Q418" s="30" t="inlineStr">
        <is>
          <t xml:space="preserve">Candian cooperative financial group </t>
        </is>
      </c>
      <c r="R418" s="30" t="inlineStr">
        <is>
          <t>EUR</t>
        </is>
      </c>
      <c r="S418" s="30" t="inlineStr">
        <is>
          <t>Investment Grade</t>
        </is>
      </c>
      <c r="T418" s="30" t="inlineStr">
        <is>
          <t>A+</t>
        </is>
      </c>
      <c r="U418" s="30" t="inlineStr">
        <is>
          <t>A+</t>
        </is>
      </c>
      <c r="V418" s="30" t="n"/>
    </row>
    <row r="419">
      <c r="A419" s="30" t="inlineStr">
        <is>
          <t>XS2574220971</t>
        </is>
      </c>
      <c r="B419" s="30" t="inlineStr">
        <is>
          <t xml:space="preserve">Hold </t>
        </is>
      </c>
      <c r="C419" s="30" t="inlineStr">
        <is>
          <t>Toronto-Dominion Bank</t>
        </is>
      </c>
      <c r="D419" s="30" t="n">
        <v>5.288</v>
      </c>
      <c r="E419" s="30" t="inlineStr">
        <is>
          <t>Sr Unsecured</t>
        </is>
      </c>
      <c r="F419" s="30" t="inlineStr">
        <is>
          <t>11.01.2028</t>
        </is>
      </c>
      <c r="G419" s="30" t="inlineStr">
        <is>
          <t>Canada</t>
        </is>
      </c>
      <c r="H419" s="30" t="inlineStr">
        <is>
          <t>Financial</t>
        </is>
      </c>
      <c r="I419" s="30" t="n">
        <v>100</v>
      </c>
      <c r="J419" s="30" t="n">
        <v>101.858</v>
      </c>
      <c r="K419" s="30" t="n">
        <v>4.427809</v>
      </c>
      <c r="L419" s="30" t="n">
        <v>-0.036802</v>
      </c>
      <c r="M419" s="30" t="n">
        <v>-0.279461</v>
      </c>
      <c r="N419" s="30" t="n">
        <v>70.05101379</v>
      </c>
      <c r="O419" s="30" t="n">
        <v>2.606477517</v>
      </c>
      <c r="P419" s="30" t="n">
        <v>80</v>
      </c>
      <c r="Q419" s="30" t="inlineStr">
        <is>
          <t>Second largest bank in Canada</t>
        </is>
      </c>
      <c r="R419" s="30" t="inlineStr">
        <is>
          <t>GBP</t>
        </is>
      </c>
      <c r="S419" s="30" t="inlineStr">
        <is>
          <t>Investment Grade</t>
        </is>
      </c>
      <c r="T419" s="30" t="inlineStr">
        <is>
          <t>A</t>
        </is>
      </c>
      <c r="U419" s="30" t="inlineStr">
        <is>
          <t>A</t>
        </is>
      </c>
      <c r="V419" s="30" t="n"/>
    </row>
    <row r="420">
      <c r="A420" s="30" t="inlineStr">
        <is>
          <t>USG21776AA08</t>
        </is>
      </c>
      <c r="B420" s="30" t="inlineStr">
        <is>
          <t>Top pick</t>
        </is>
      </c>
      <c r="C420" s="30" t="inlineStr">
        <is>
          <t>Ck Hutchison Intl 24 Ii</t>
        </is>
      </c>
      <c r="D420" s="30" t="n">
        <v>4.375</v>
      </c>
      <c r="E420" s="30" t="inlineStr">
        <is>
          <t>Sr Unsecured</t>
        </is>
      </c>
      <c r="F420" s="30" t="inlineStr">
        <is>
          <t>13.03.2030</t>
        </is>
      </c>
      <c r="G420" s="30" t="inlineStr">
        <is>
          <t>United Kingdom</t>
        </is>
      </c>
      <c r="H420" s="30" t="inlineStr">
        <is>
          <t>Consumer, Cyclical</t>
        </is>
      </c>
      <c r="I420" s="30" t="n">
        <v>200</v>
      </c>
      <c r="J420" s="30" t="n">
        <v>98.95099999999999</v>
      </c>
      <c r="K420" s="30" t="n">
        <v>4.625439</v>
      </c>
      <c r="L420" s="30" t="n">
        <v>0.064523</v>
      </c>
      <c r="M420" s="30" t="n">
        <v>-0.107273</v>
      </c>
      <c r="N420" s="30" t="n">
        <v>70.00796016</v>
      </c>
      <c r="O420" s="30" t="n">
        <v>4.398008322</v>
      </c>
      <c r="P420" s="30" t="n">
        <v>0</v>
      </c>
      <c r="Q420" s="30" t="inlineStr">
        <is>
          <t xml:space="preserve">Retails prescription drugs and medicines </t>
        </is>
      </c>
      <c r="R420" s="30" t="inlineStr">
        <is>
          <t>USD</t>
        </is>
      </c>
      <c r="S420" s="30" t="inlineStr">
        <is>
          <t>Investment Grade</t>
        </is>
      </c>
      <c r="T420" s="30" t="inlineStr">
        <is>
          <t>A-</t>
        </is>
      </c>
      <c r="U420" s="30" t="inlineStr">
        <is>
          <t>A-</t>
        </is>
      </c>
      <c r="V420" s="30" t="n"/>
    </row>
    <row r="421">
      <c r="A421" s="30" t="inlineStr">
        <is>
          <t>FR001400G3Y1</t>
        </is>
      </c>
      <c r="B421" s="30" t="inlineStr">
        <is>
          <t>Not accumulate</t>
        </is>
      </c>
      <c r="C421" s="30" t="inlineStr">
        <is>
          <t>Kering</t>
        </is>
      </c>
      <c r="D421" s="30" t="n">
        <v>3.25</v>
      </c>
      <c r="E421" s="30" t="inlineStr">
        <is>
          <t>Sr Unsecured</t>
        </is>
      </c>
      <c r="F421" s="30" t="inlineStr">
        <is>
          <t>27.02.2029</t>
        </is>
      </c>
      <c r="G421" s="30" t="inlineStr">
        <is>
          <t>France</t>
        </is>
      </c>
      <c r="H421" s="30" t="inlineStr">
        <is>
          <t>Consumer, Cyclical</t>
        </is>
      </c>
      <c r="I421" s="30" t="n">
        <v>100</v>
      </c>
      <c r="J421" s="30" t="n">
        <v>101.423</v>
      </c>
      <c r="K421" s="30" t="n">
        <v>2.80292</v>
      </c>
      <c r="L421" s="30" t="n">
        <v>-0.05905</v>
      </c>
      <c r="M421" s="30" t="n">
        <v>-0.006844</v>
      </c>
      <c r="N421" s="30" t="n">
        <v>69.97520686</v>
      </c>
      <c r="O421" s="30" t="n">
        <v>3.387266427</v>
      </c>
      <c r="P421" s="30" t="n">
        <v>85</v>
      </c>
      <c r="Q421" s="30" t="inlineStr">
        <is>
          <t>Designs, manufactures, and markets fashion and leather goods</t>
        </is>
      </c>
      <c r="R421" s="30" t="inlineStr">
        <is>
          <t>EUR</t>
        </is>
      </c>
      <c r="S421" s="30" t="inlineStr">
        <is>
          <t>Investment Grade</t>
        </is>
      </c>
      <c r="T421" s="30" t="inlineStr">
        <is>
          <t>NR</t>
        </is>
      </c>
      <c r="U421" s="30" t="inlineStr">
        <is>
          <t>NR</t>
        </is>
      </c>
      <c r="V421" s="30" t="n"/>
    </row>
    <row r="422">
      <c r="A422" s="30" t="inlineStr">
        <is>
          <t>XS1664644983</t>
        </is>
      </c>
      <c r="B422" s="30" t="inlineStr">
        <is>
          <t>Top Pick</t>
        </is>
      </c>
      <c r="C422" s="30" t="inlineStr">
        <is>
          <t>Bat Intl Finance Plc</t>
        </is>
      </c>
      <c r="D422" s="30" t="n">
        <v>2.25</v>
      </c>
      <c r="E422" s="30" t="inlineStr">
        <is>
          <t>Sr Unsecured</t>
        </is>
      </c>
      <c r="F422" s="30" t="inlineStr">
        <is>
          <t>16.01.2030</t>
        </is>
      </c>
      <c r="G422" s="30" t="inlineStr">
        <is>
          <t>United Kingdom</t>
        </is>
      </c>
      <c r="H422" s="30" t="inlineStr">
        <is>
          <t>Consumer, Non-cyclical</t>
        </is>
      </c>
      <c r="I422" s="30" t="n">
        <v>100</v>
      </c>
      <c r="J422" s="30" t="n">
        <v>97.122</v>
      </c>
      <c r="K422" s="30" t="n">
        <v>2.936921</v>
      </c>
      <c r="L422" s="30" t="n">
        <v>-0.082562</v>
      </c>
      <c r="M422" s="30" t="n">
        <v>-0.101718</v>
      </c>
      <c r="N422" s="30" t="n">
        <v>69.96512928999999</v>
      </c>
      <c r="O422" s="30" t="n">
        <v>4.525232603</v>
      </c>
      <c r="P422" s="30" t="n">
        <v>60</v>
      </c>
      <c r="Q422" s="30" t="inlineStr">
        <is>
          <t>B.A.T. International Finance P.L.C. provides tobacco products.</t>
        </is>
      </c>
      <c r="R422" s="30" t="inlineStr">
        <is>
          <t>EUR</t>
        </is>
      </c>
      <c r="S422" s="30" t="inlineStr">
        <is>
          <t>Investment Grade</t>
        </is>
      </c>
      <c r="T422" s="30" t="inlineStr">
        <is>
          <t>BBB+</t>
        </is>
      </c>
      <c r="U422" s="30" t="inlineStr">
        <is>
          <t>BBB+</t>
        </is>
      </c>
      <c r="V422" s="30" t="n"/>
    </row>
    <row r="423">
      <c r="A423" s="30" t="inlineStr">
        <is>
          <t>USY77108AA93</t>
        </is>
      </c>
      <c r="B423" s="30" t="inlineStr">
        <is>
          <t>Top Pick</t>
        </is>
      </c>
      <c r="C423" s="30" t="inlineStr">
        <is>
          <t>Xiaomi Best Time Intl</t>
        </is>
      </c>
      <c r="D423" s="30" t="n">
        <v>3.375</v>
      </c>
      <c r="E423" s="30" t="inlineStr">
        <is>
          <t>Sr Unsecured</t>
        </is>
      </c>
      <c r="F423" s="30" t="inlineStr">
        <is>
          <t>29.04.2030</t>
        </is>
      </c>
      <c r="G423" s="30" t="inlineStr">
        <is>
          <t>China</t>
        </is>
      </c>
      <c r="H423" s="30" t="inlineStr">
        <is>
          <t>Communications</t>
        </is>
      </c>
      <c r="I423" s="30" t="n">
        <v>200</v>
      </c>
      <c r="J423" s="30" t="n">
        <v>94.651</v>
      </c>
      <c r="K423" s="30" t="n">
        <v>4.627492</v>
      </c>
      <c r="L423" s="30" t="n">
        <v>0.072755</v>
      </c>
      <c r="M423" s="30" t="n">
        <v>-0.004062</v>
      </c>
      <c r="N423" s="30" t="n">
        <v>69.85560191</v>
      </c>
      <c r="O423" s="30" t="n">
        <v>4.616413321</v>
      </c>
      <c r="P423" s="30" t="n">
        <v>25</v>
      </c>
      <c r="Q423" s="30" t="inlineStr">
        <is>
          <t>Xiaomi Best time International Limited is a special purpose vehicle</t>
        </is>
      </c>
      <c r="R423" s="30" t="inlineStr">
        <is>
          <t>USD</t>
        </is>
      </c>
      <c r="S423" s="30" t="inlineStr">
        <is>
          <t>Investment Grade</t>
        </is>
      </c>
      <c r="T423" s="30" t="inlineStr">
        <is>
          <t>BBB</t>
        </is>
      </c>
      <c r="U423" s="30" t="inlineStr">
        <is>
          <t>BBB-</t>
        </is>
      </c>
      <c r="V423" s="30" t="n"/>
    </row>
    <row r="424">
      <c r="A424" s="30" t="inlineStr">
        <is>
          <t>XS0291949120</t>
        </is>
      </c>
      <c r="B424" s="30" t="inlineStr">
        <is>
          <t>Hold</t>
        </is>
      </c>
      <c r="C424" s="30" t="inlineStr">
        <is>
          <t>At&amp;T Inc</t>
        </is>
      </c>
      <c r="D424" s="30" t="n">
        <v>5.5</v>
      </c>
      <c r="E424" s="30" t="inlineStr">
        <is>
          <t>Sr Unsecured</t>
        </is>
      </c>
      <c r="F424" s="30" t="inlineStr">
        <is>
          <t>15.03.2027</t>
        </is>
      </c>
      <c r="G424" s="30" t="inlineStr">
        <is>
          <t>United states</t>
        </is>
      </c>
      <c r="H424" s="30" t="inlineStr">
        <is>
          <t>Communications</t>
        </is>
      </c>
      <c r="I424" s="30" t="n">
        <v>50</v>
      </c>
      <c r="J424" s="30" t="n">
        <v>101.597</v>
      </c>
      <c r="K424" s="30" t="n">
        <v>4.428232</v>
      </c>
      <c r="L424" s="30" t="n">
        <v>-0.029061</v>
      </c>
      <c r="M424" s="30" t="n">
        <v>-0.26753</v>
      </c>
      <c r="N424" s="30" t="n">
        <v>69.81092217</v>
      </c>
      <c r="O424" s="30" t="n">
        <v>1.814029859</v>
      </c>
      <c r="P424" s="30" t="n">
        <v>75</v>
      </c>
      <c r="Q424" s="30" t="inlineStr">
        <is>
          <t xml:space="preserve">One of the largest US telecom companies </t>
        </is>
      </c>
      <c r="R424" s="30" t="inlineStr">
        <is>
          <t>GBP</t>
        </is>
      </c>
      <c r="S424" s="30" t="inlineStr">
        <is>
          <t>Investment Grade</t>
        </is>
      </c>
      <c r="T424" s="30" t="inlineStr">
        <is>
          <t>BBB</t>
        </is>
      </c>
      <c r="U424" s="30" t="inlineStr">
        <is>
          <t>BBB</t>
        </is>
      </c>
      <c r="V424" s="30" t="n"/>
    </row>
    <row r="425">
      <c r="A425" s="30" t="inlineStr">
        <is>
          <t>CH1154887140</t>
        </is>
      </c>
      <c r="B425" s="30" t="inlineStr">
        <is>
          <t>Hold</t>
        </is>
      </c>
      <c r="C425" s="30" t="inlineStr">
        <is>
          <t>Holcim Helvetia</t>
        </is>
      </c>
      <c r="D425" s="30" t="n">
        <v>1</v>
      </c>
      <c r="E425" s="30" t="inlineStr">
        <is>
          <t>Sr Unsecured</t>
        </is>
      </c>
      <c r="F425" s="30" t="inlineStr">
        <is>
          <t>19.01.2032</t>
        </is>
      </c>
      <c r="G425" s="30" t="inlineStr">
        <is>
          <t>Switzerland</t>
        </is>
      </c>
      <c r="H425" s="30" t="inlineStr">
        <is>
          <t>Industrial</t>
        </is>
      </c>
      <c r="I425" s="30" t="n">
        <v>5</v>
      </c>
      <c r="J425" s="30" t="n">
        <v>100.379</v>
      </c>
      <c r="K425" s="30" t="n">
        <v>0.9375790000000001</v>
      </c>
      <c r="L425" s="30" t="n">
        <v>0.015717</v>
      </c>
      <c r="M425" s="30" t="n">
        <v>0.158852</v>
      </c>
      <c r="N425" s="30" t="n">
        <v>69.57367981</v>
      </c>
      <c r="O425" s="30" t="n">
        <v>6.402624669</v>
      </c>
      <c r="P425" s="30" t="n">
        <v>60</v>
      </c>
      <c r="Q425" s="30" t="inlineStr">
        <is>
          <t>Provides construction materials and solutions</t>
        </is>
      </c>
      <c r="R425" s="30" t="inlineStr">
        <is>
          <t>CHF</t>
        </is>
      </c>
      <c r="S425" s="30" t="inlineStr">
        <is>
          <t>Investment Grade</t>
        </is>
      </c>
      <c r="T425" s="30" t="inlineStr">
        <is>
          <t>BBB+</t>
        </is>
      </c>
      <c r="U425" s="30" t="inlineStr">
        <is>
          <t>BBB+</t>
        </is>
      </c>
      <c r="V425" s="30" t="n"/>
    </row>
    <row r="426">
      <c r="A426" s="30" t="inlineStr">
        <is>
          <t>XS2626291129</t>
        </is>
      </c>
      <c r="B426" s="30" t="inlineStr">
        <is>
          <t xml:space="preserve">Hold </t>
        </is>
      </c>
      <c r="C426" s="30" t="inlineStr">
        <is>
          <t>Maf Sukuk Ltd</t>
        </is>
      </c>
      <c r="D426" s="30" t="n">
        <v>5</v>
      </c>
      <c r="E426" s="30" t="inlineStr">
        <is>
          <t>Sr Unsecured</t>
        </is>
      </c>
      <c r="F426" s="30" t="inlineStr">
        <is>
          <t>01.06.2033</t>
        </is>
      </c>
      <c r="G426" s="30" t="inlineStr">
        <is>
          <t>U.A.E</t>
        </is>
      </c>
      <c r="H426" s="30" t="inlineStr">
        <is>
          <t>Financial</t>
        </is>
      </c>
      <c r="I426" s="30" t="n">
        <v>200</v>
      </c>
      <c r="J426" s="30" t="n">
        <v>100.654</v>
      </c>
      <c r="K426" s="30" t="n">
        <v>4.89826</v>
      </c>
      <c r="L426" s="30" t="n">
        <v>-0.069506</v>
      </c>
      <c r="M426" s="30" t="n">
        <v>-0.229916</v>
      </c>
      <c r="N426" s="30" t="n">
        <v>69.54100381000001</v>
      </c>
      <c r="O426" s="30" t="n">
        <v>6.605909935</v>
      </c>
      <c r="P426" s="30" t="n">
        <v>60</v>
      </c>
      <c r="Q426" s="30" t="inlineStr">
        <is>
          <t>UAE conglomerate in shopping centres and exclusive Carrefour franchisee</t>
        </is>
      </c>
      <c r="R426" s="30" t="inlineStr">
        <is>
          <t>USD</t>
        </is>
      </c>
      <c r="S426" s="30" t="inlineStr">
        <is>
          <t>Investment Grade</t>
        </is>
      </c>
      <c r="T426" s="30" t="inlineStr">
        <is>
          <t>BBB</t>
        </is>
      </c>
      <c r="U426" s="30" t="inlineStr">
        <is>
          <t>BBB</t>
        </is>
      </c>
      <c r="V426" s="30" t="n"/>
    </row>
    <row r="427">
      <c r="A427" s="30" t="inlineStr">
        <is>
          <t>US105756BZ27</t>
        </is>
      </c>
      <c r="B427" s="30" t="inlineStr">
        <is>
          <t>Hold</t>
        </is>
      </c>
      <c r="C427" s="30" t="inlineStr">
        <is>
          <t>Fed Republic Of Brazil</t>
        </is>
      </c>
      <c r="D427" s="30" t="n">
        <v>4.625</v>
      </c>
      <c r="E427" s="30" t="inlineStr">
        <is>
          <t>Sr Unsecured</t>
        </is>
      </c>
      <c r="F427" s="30" t="inlineStr">
        <is>
          <t>13.01.2028</t>
        </is>
      </c>
      <c r="G427" s="30" t="inlineStr">
        <is>
          <t>Brazil</t>
        </is>
      </c>
      <c r="H427" s="30" t="inlineStr">
        <is>
          <t>Government</t>
        </is>
      </c>
      <c r="I427" s="30" t="n">
        <v>200</v>
      </c>
      <c r="J427" s="30" t="n">
        <v>100.057</v>
      </c>
      <c r="K427" s="30" t="n">
        <v>4.602129</v>
      </c>
      <c r="L427" s="30" t="n">
        <v>-0.027345</v>
      </c>
      <c r="M427" s="30" t="n">
        <v>-0.375914</v>
      </c>
      <c r="N427" s="30" t="n">
        <v>69.06819668999999</v>
      </c>
      <c r="O427" s="30" t="n">
        <v>2.655217784</v>
      </c>
      <c r="P427" s="30" t="n">
        <v>25</v>
      </c>
      <c r="Q427" s="30" t="inlineStr">
        <is>
          <t>Brazilian Governemnt</t>
        </is>
      </c>
      <c r="R427" s="30" t="inlineStr">
        <is>
          <t>USD</t>
        </is>
      </c>
      <c r="S427" s="30" t="inlineStr">
        <is>
          <t>Latin America</t>
        </is>
      </c>
      <c r="T427" s="30" t="inlineStr">
        <is>
          <t>BB</t>
        </is>
      </c>
      <c r="U427" s="30" t="inlineStr">
        <is>
          <t>BB</t>
        </is>
      </c>
      <c r="V427" s="30" t="n"/>
    </row>
    <row r="428">
      <c r="A428" s="30" t="inlineStr">
        <is>
          <t>XS2555221246</t>
        </is>
      </c>
      <c r="B428" s="30" t="inlineStr">
        <is>
          <t xml:space="preserve">Hold </t>
        </is>
      </c>
      <c r="C428" s="30" t="inlineStr">
        <is>
          <t>Booking Holdings Inc</t>
        </is>
      </c>
      <c r="D428" s="30" t="n">
        <v>4.75</v>
      </c>
      <c r="E428" s="30" t="inlineStr">
        <is>
          <t>Sr Unsecured</t>
        </is>
      </c>
      <c r="F428" s="30" t="inlineStr">
        <is>
          <t>15.11.2034</t>
        </is>
      </c>
      <c r="G428" s="30" t="inlineStr">
        <is>
          <t>United states</t>
        </is>
      </c>
      <c r="H428" s="30" t="inlineStr">
        <is>
          <t>Communications</t>
        </is>
      </c>
      <c r="I428" s="30" t="n">
        <v>100</v>
      </c>
      <c r="J428" s="30" t="n">
        <v>109.795</v>
      </c>
      <c r="K428" s="30" t="n">
        <v>3.47542</v>
      </c>
      <c r="L428" s="30" t="n">
        <v>-0.163743</v>
      </c>
      <c r="M428" s="30" t="n">
        <v>-0.08579000000000001</v>
      </c>
      <c r="N428" s="30" t="n">
        <v>68.83934911999999</v>
      </c>
      <c r="O428" s="30" t="n">
        <v>7.592051132</v>
      </c>
      <c r="P428" s="30" t="n">
        <v>80</v>
      </c>
      <c r="Q428" s="30" t="inlineStr">
        <is>
          <t>Online travel company</t>
        </is>
      </c>
      <c r="R428" s="30" t="inlineStr">
        <is>
          <t>EUR</t>
        </is>
      </c>
      <c r="S428" s="30" t="inlineStr">
        <is>
          <t>Investment Grade</t>
        </is>
      </c>
      <c r="T428" s="30" t="inlineStr">
        <is>
          <t>A-</t>
        </is>
      </c>
      <c r="U428" s="30" t="inlineStr">
        <is>
          <t>A-</t>
        </is>
      </c>
      <c r="V428" s="30" t="n"/>
    </row>
    <row r="429">
      <c r="A429" s="30" t="inlineStr">
        <is>
          <t>US437076CK64</t>
        </is>
      </c>
      <c r="B429" s="30" t="inlineStr">
        <is>
          <t>Hold</t>
        </is>
      </c>
      <c r="C429" s="30" t="inlineStr">
        <is>
          <t>Home Depot Inc</t>
        </is>
      </c>
      <c r="D429" s="30" t="n">
        <v>2.75</v>
      </c>
      <c r="E429" s="30" t="inlineStr">
        <is>
          <t>Sr Unsecured</t>
        </is>
      </c>
      <c r="F429" s="30" t="inlineStr">
        <is>
          <t>15.09.2051</t>
        </is>
      </c>
      <c r="G429" s="30" t="inlineStr">
        <is>
          <t>United states</t>
        </is>
      </c>
      <c r="H429" s="30" t="inlineStr">
        <is>
          <t>Consumer, Cyclical</t>
        </is>
      </c>
      <c r="I429" s="30" t="n">
        <v>2</v>
      </c>
      <c r="J429" s="30" t="n">
        <v>61.133</v>
      </c>
      <c r="K429" s="30" t="n">
        <v>5.595165</v>
      </c>
      <c r="L429" s="30" t="n">
        <v>-0.041785</v>
      </c>
      <c r="M429" s="30" t="n">
        <v>-0.121853</v>
      </c>
      <c r="N429" s="30" t="n">
        <v>68.38681990000001</v>
      </c>
      <c r="O429" s="30" t="n">
        <v>15.86245956</v>
      </c>
      <c r="P429" s="30" t="n">
        <v>55</v>
      </c>
      <c r="Q429" s="30" t="inlineStr">
        <is>
          <t>Home improvement retailer</t>
        </is>
      </c>
      <c r="R429" s="30" t="inlineStr">
        <is>
          <t>USD</t>
        </is>
      </c>
      <c r="S429" s="30" t="inlineStr">
        <is>
          <t>Investment Grade</t>
        </is>
      </c>
      <c r="T429" s="30" t="inlineStr">
        <is>
          <t>A</t>
        </is>
      </c>
      <c r="U429" s="30" t="inlineStr">
        <is>
          <t>A</t>
        </is>
      </c>
      <c r="V429" s="30" t="n"/>
    </row>
    <row r="430">
      <c r="A430" s="30" t="inlineStr">
        <is>
          <t>US718172DQ97</t>
        </is>
      </c>
      <c r="B430" s="30" t="inlineStr">
        <is>
          <t xml:space="preserve">Hold </t>
        </is>
      </c>
      <c r="C430" s="30" t="inlineStr">
        <is>
          <t>Philip Morris Intl Inc</t>
        </is>
      </c>
      <c r="D430" s="30" t="n">
        <v>4.9</v>
      </c>
      <c r="E430" s="30" t="inlineStr">
        <is>
          <t>Sr Unsecured</t>
        </is>
      </c>
      <c r="F430" s="30" t="inlineStr">
        <is>
          <t>01.11.2034</t>
        </is>
      </c>
      <c r="G430" s="30" t="inlineStr">
        <is>
          <t>United states</t>
        </is>
      </c>
      <c r="H430" s="30" t="inlineStr">
        <is>
          <t>Consumer, Non-cyclical</t>
        </is>
      </c>
      <c r="I430" s="30" t="n">
        <v>2</v>
      </c>
      <c r="J430" s="30" t="n">
        <v>99.20399999999999</v>
      </c>
      <c r="K430" s="30" t="n">
        <v>5.006954</v>
      </c>
      <c r="L430" s="30" t="n">
        <v>-0.011279</v>
      </c>
      <c r="M430" s="30" t="n">
        <v>-0.129724</v>
      </c>
      <c r="N430" s="30" t="n">
        <v>68.32566378999999</v>
      </c>
      <c r="O430" s="30" t="n">
        <v>7.484815146</v>
      </c>
      <c r="P430" s="30" t="n">
        <v>0</v>
      </c>
      <c r="Q430" s="30" t="inlineStr">
        <is>
          <t>World's leading international tobacco company</t>
        </is>
      </c>
      <c r="R430" s="30" t="inlineStr">
        <is>
          <t>USD</t>
        </is>
      </c>
      <c r="S430" s="30" t="inlineStr">
        <is>
          <t>Investment Grade</t>
        </is>
      </c>
      <c r="T430" s="30" t="inlineStr">
        <is>
          <t>A-</t>
        </is>
      </c>
      <c r="U430" s="30" t="inlineStr">
        <is>
          <t>A-</t>
        </is>
      </c>
      <c r="V430" s="30" t="n"/>
    </row>
    <row r="431">
      <c r="A431" s="30" t="inlineStr">
        <is>
          <t>US91087BAU44</t>
        </is>
      </c>
      <c r="B431" s="30" t="inlineStr">
        <is>
          <t>Hold</t>
        </is>
      </c>
      <c r="C431" s="30" t="inlineStr">
        <is>
          <t>United Mexican States</t>
        </is>
      </c>
      <c r="D431" s="30" t="n">
        <v>5.4</v>
      </c>
      <c r="E431" s="30" t="inlineStr">
        <is>
          <t>Sr Unsecured</t>
        </is>
      </c>
      <c r="F431" s="30" t="inlineStr">
        <is>
          <t>09.02.2028</t>
        </is>
      </c>
      <c r="G431" s="30" t="inlineStr">
        <is>
          <t>Mexico</t>
        </is>
      </c>
      <c r="H431" s="30" t="inlineStr">
        <is>
          <t>Government</t>
        </is>
      </c>
      <c r="I431" s="30" t="n">
        <v>200</v>
      </c>
      <c r="J431" s="30" t="n">
        <v>102.014</v>
      </c>
      <c r="K431" s="30" t="n">
        <v>4.539179</v>
      </c>
      <c r="L431" s="30" t="n">
        <v>0.049674</v>
      </c>
      <c r="M431" s="30" t="n">
        <v>-0.08450299999999999</v>
      </c>
      <c r="N431" s="30" t="n">
        <v>68.2575938</v>
      </c>
      <c r="O431" s="30" t="n">
        <v>2.634731245</v>
      </c>
      <c r="P431" s="30" t="n">
        <v>60</v>
      </c>
      <c r="Q431" s="30" t="inlineStr">
        <is>
          <t>Mexican Government</t>
        </is>
      </c>
      <c r="R431" s="30" t="inlineStr">
        <is>
          <t>USD</t>
        </is>
      </c>
      <c r="S431" s="30" t="inlineStr">
        <is>
          <t>Latin America</t>
        </is>
      </c>
      <c r="T431" s="30" t="inlineStr">
        <is>
          <t>BBB-</t>
        </is>
      </c>
      <c r="U431" s="30" t="inlineStr">
        <is>
          <t>BBB-</t>
        </is>
      </c>
      <c r="V431" s="30" t="n"/>
    </row>
    <row r="432">
      <c r="A432" s="30" t="inlineStr">
        <is>
          <t>USG3925DAD24</t>
        </is>
      </c>
      <c r="B432" s="30" t="inlineStr">
        <is>
          <t xml:space="preserve">Hold </t>
        </is>
      </c>
      <c r="C432" s="30" t="inlineStr">
        <is>
          <t>Gerdau Trade Inc</t>
        </is>
      </c>
      <c r="D432" s="30" t="n">
        <v>4.875</v>
      </c>
      <c r="E432" s="30" t="inlineStr">
        <is>
          <t>Sr Unsecured</t>
        </is>
      </c>
      <c r="F432" s="30" t="inlineStr">
        <is>
          <t>24.10.2027</t>
        </is>
      </c>
      <c r="G432" s="30" t="inlineStr">
        <is>
          <t>Brazil</t>
        </is>
      </c>
      <c r="H432" s="30" t="inlineStr">
        <is>
          <t>Basic Materials</t>
        </is>
      </c>
      <c r="I432" s="30" t="n">
        <v>200</v>
      </c>
      <c r="J432" s="30" t="n">
        <v>100.737</v>
      </c>
      <c r="K432" s="30" t="n">
        <v>4.530123</v>
      </c>
      <c r="L432" s="30" t="e">
        <v>#VALUE!</v>
      </c>
      <c r="M432" s="30" t="n">
        <v>0.003387</v>
      </c>
      <c r="N432" s="30" t="n">
        <v>68.13571424</v>
      </c>
      <c r="O432" s="30" t="n">
        <v>2.440282761</v>
      </c>
      <c r="P432" s="30" t="n">
        <v>60</v>
      </c>
      <c r="Q432" s="30" t="inlineStr">
        <is>
          <t>Leading producer of steel in the Americas</t>
        </is>
      </c>
      <c r="R432" s="30" t="inlineStr">
        <is>
          <t>USD</t>
        </is>
      </c>
      <c r="S432" s="30" t="inlineStr">
        <is>
          <t>Latin America</t>
        </is>
      </c>
      <c r="T432" s="30" t="inlineStr">
        <is>
          <t>BBB</t>
        </is>
      </c>
      <c r="U432" s="30" t="inlineStr">
        <is>
          <t>BBB</t>
        </is>
      </c>
      <c r="V432" s="30" t="n"/>
    </row>
    <row r="433">
      <c r="A433" s="30" t="inlineStr">
        <is>
          <t>XS2747766090</t>
        </is>
      </c>
      <c r="B433" s="30" t="inlineStr">
        <is>
          <t>Top Pick</t>
        </is>
      </c>
      <c r="C433" s="30" t="inlineStr">
        <is>
          <t>Edp Servicios Fin Esp Sa</t>
        </is>
      </c>
      <c r="D433" s="30" t="n">
        <v>3.5</v>
      </c>
      <c r="E433" s="30" t="inlineStr">
        <is>
          <t>Sr Unsecured</t>
        </is>
      </c>
      <c r="F433" s="30" t="inlineStr">
        <is>
          <t>16.07.2030</t>
        </is>
      </c>
      <c r="G433" s="30" t="inlineStr">
        <is>
          <t>Portugal</t>
        </is>
      </c>
      <c r="H433" s="30" t="inlineStr">
        <is>
          <t>Utilities</t>
        </is>
      </c>
      <c r="I433" s="30" t="n">
        <v>100</v>
      </c>
      <c r="J433" s="30" t="n">
        <v>102.306</v>
      </c>
      <c r="K433" s="30" t="n">
        <v>2.975739</v>
      </c>
      <c r="L433" s="30" t="n">
        <v>-0.052177</v>
      </c>
      <c r="M433" s="30" t="n">
        <v>0.005443</v>
      </c>
      <c r="N433" s="30" t="n">
        <v>67.78985667000001</v>
      </c>
      <c r="O433" s="30" t="n">
        <v>4.557205745</v>
      </c>
      <c r="P433" s="30" t="n">
        <v>60</v>
      </c>
      <c r="Q433" s="30" t="inlineStr">
        <is>
          <t>Portugal's largest utility company</t>
        </is>
      </c>
      <c r="R433" s="30" t="inlineStr">
        <is>
          <t>EUR</t>
        </is>
      </c>
      <c r="S433" s="30" t="inlineStr">
        <is>
          <t>Investment Grade</t>
        </is>
      </c>
      <c r="T433" s="30" t="inlineStr">
        <is>
          <t>BBB</t>
        </is>
      </c>
      <c r="U433" s="30" t="inlineStr">
        <is>
          <t>BBB</t>
        </is>
      </c>
      <c r="V433" s="30" t="n"/>
    </row>
    <row r="434">
      <c r="A434" s="30" t="inlineStr">
        <is>
          <t>US882508BM50</t>
        </is>
      </c>
      <c r="B434" s="30" t="inlineStr">
        <is>
          <t>Hold</t>
        </is>
      </c>
      <c r="C434" s="30" t="inlineStr">
        <is>
          <t>Texas Instruments Inc</t>
        </is>
      </c>
      <c r="D434" s="30" t="n">
        <v>2.7</v>
      </c>
      <c r="E434" s="30" t="inlineStr">
        <is>
          <t>Sr Unsecured</t>
        </is>
      </c>
      <c r="F434" s="30" t="inlineStr">
        <is>
          <t>15.09.2051</t>
        </is>
      </c>
      <c r="G434" s="30" t="inlineStr">
        <is>
          <t>United states</t>
        </is>
      </c>
      <c r="H434" s="30" t="inlineStr">
        <is>
          <t>Technology</t>
        </is>
      </c>
      <c r="I434" s="30" t="n">
        <v>2</v>
      </c>
      <c r="J434" s="30" t="n">
        <v>60.504</v>
      </c>
      <c r="K434" s="30" t="n">
        <v>5.589561</v>
      </c>
      <c r="L434" s="30" t="n">
        <v>-0.036495</v>
      </c>
      <c r="M434" s="30" t="n">
        <v>-0.094639</v>
      </c>
      <c r="N434" s="30" t="n">
        <v>67.69379607</v>
      </c>
      <c r="O434" s="30" t="n">
        <v>16.03208697</v>
      </c>
      <c r="P434" s="30" t="n">
        <v>55</v>
      </c>
      <c r="Q434" s="30" t="inlineStr">
        <is>
          <t>Worldwide semiconductor design and manufacturing company</t>
        </is>
      </c>
      <c r="R434" s="30" t="inlineStr">
        <is>
          <t>USD</t>
        </is>
      </c>
      <c r="S434" s="30" t="inlineStr">
        <is>
          <t>Investment Grade</t>
        </is>
      </c>
      <c r="T434" s="30" t="inlineStr">
        <is>
          <t>A+</t>
        </is>
      </c>
      <c r="U434" s="30" t="inlineStr">
        <is>
          <t>A+</t>
        </is>
      </c>
      <c r="V434" s="30" t="n"/>
    </row>
    <row r="435">
      <c r="A435" s="30" t="inlineStr">
        <is>
          <t>US11135FCD15</t>
        </is>
      </c>
      <c r="B435" s="30" t="inlineStr">
        <is>
          <t>Top pick</t>
        </is>
      </c>
      <c r="C435" s="30" t="inlineStr">
        <is>
          <t>Broadcom Inc</t>
        </is>
      </c>
      <c r="D435" s="30" t="n">
        <v>4.8</v>
      </c>
      <c r="E435" s="30" t="inlineStr">
        <is>
          <t>Sr Unsecured</t>
        </is>
      </c>
      <c r="F435" s="30" t="inlineStr">
        <is>
          <t>15.10.2034</t>
        </is>
      </c>
      <c r="G435" s="30" t="inlineStr">
        <is>
          <t>United states</t>
        </is>
      </c>
      <c r="H435" s="30" t="inlineStr">
        <is>
          <t>Technology</t>
        </is>
      </c>
      <c r="I435" s="30" t="n">
        <v>2</v>
      </c>
      <c r="J435" s="30" t="n">
        <v>98.55</v>
      </c>
      <c r="K435" s="30" t="n">
        <v>4.996417</v>
      </c>
      <c r="L435" s="30" t="n">
        <v>-0.010227</v>
      </c>
      <c r="M435" s="30" t="n">
        <v>-0.157102</v>
      </c>
      <c r="N435" s="30" t="n">
        <v>67.65394336999999</v>
      </c>
      <c r="O435" s="30" t="n">
        <v>7.456845891</v>
      </c>
      <c r="P435" s="30" t="n">
        <v>85</v>
      </c>
      <c r="Q435" s="30" t="inlineStr">
        <is>
          <t xml:space="preserve">Diversified semi-conductor company </t>
        </is>
      </c>
      <c r="R435" s="30" t="inlineStr">
        <is>
          <t>USD</t>
        </is>
      </c>
      <c r="S435" s="30" t="inlineStr">
        <is>
          <t>Investment Grade</t>
        </is>
      </c>
      <c r="T435" s="30" t="inlineStr">
        <is>
          <t>BBB</t>
        </is>
      </c>
      <c r="U435" s="30" t="inlineStr">
        <is>
          <t>BBB</t>
        </is>
      </c>
      <c r="V435" s="30" t="n"/>
    </row>
    <row r="436">
      <c r="A436" s="30" t="inlineStr">
        <is>
          <t>XS1716248197</t>
        </is>
      </c>
      <c r="B436" s="30" t="inlineStr">
        <is>
          <t>Not accumulate</t>
        </is>
      </c>
      <c r="C436" s="30" t="inlineStr">
        <is>
          <t>Hsbc Holdings Plc</t>
        </is>
      </c>
      <c r="D436" s="30" t="n">
        <v>2.256</v>
      </c>
      <c r="E436" s="30" t="inlineStr">
        <is>
          <t>Sr Unsecured</t>
        </is>
      </c>
      <c r="F436" s="30" t="inlineStr">
        <is>
          <t>13.11.2026</t>
        </is>
      </c>
      <c r="G436" s="30" t="inlineStr">
        <is>
          <t>United Kingdom</t>
        </is>
      </c>
      <c r="H436" s="30" t="inlineStr">
        <is>
          <t>Financial</t>
        </is>
      </c>
      <c r="I436" s="30" t="n">
        <v>100</v>
      </c>
      <c r="J436" s="30" t="n">
        <v>99.137</v>
      </c>
      <c r="K436" s="30" t="n">
        <v>4.707651</v>
      </c>
      <c r="L436" s="30" t="n">
        <v>-0.032222</v>
      </c>
      <c r="M436" s="30" t="n">
        <v>-0.184601</v>
      </c>
      <c r="N436" s="30" t="n">
        <v>67.65096371999999</v>
      </c>
      <c r="O436" s="30" t="n">
        <v>0.693236577</v>
      </c>
      <c r="P436" s="30" t="n">
        <v>80</v>
      </c>
      <c r="Q436" s="30" t="inlineStr">
        <is>
          <t>UK largest banking and financial services group</t>
        </is>
      </c>
      <c r="R436" s="30" t="inlineStr">
        <is>
          <t>GBP</t>
        </is>
      </c>
      <c r="S436" s="30" t="inlineStr">
        <is>
          <t>Investment Grade</t>
        </is>
      </c>
      <c r="T436" s="30" t="inlineStr">
        <is>
          <t>A-</t>
        </is>
      </c>
      <c r="U436" s="30" t="inlineStr">
        <is>
          <t>A-</t>
        </is>
      </c>
      <c r="V436" s="30" t="n"/>
    </row>
    <row r="437">
      <c r="A437" s="30" t="inlineStr">
        <is>
          <t>XS2056491587</t>
        </is>
      </c>
      <c r="B437" s="30" t="inlineStr">
        <is>
          <t>Hold</t>
        </is>
      </c>
      <c r="C437" s="30" t="inlineStr">
        <is>
          <t>Generali</t>
        </is>
      </c>
      <c r="D437" s="30" t="n">
        <v>2.124</v>
      </c>
      <c r="E437" s="30" t="inlineStr">
        <is>
          <t>Subordinated</t>
        </is>
      </c>
      <c r="F437" s="30" t="inlineStr">
        <is>
          <t>01.10.2030</t>
        </is>
      </c>
      <c r="G437" s="30" t="inlineStr">
        <is>
          <t>Italy</t>
        </is>
      </c>
      <c r="H437" s="30" t="inlineStr">
        <is>
          <t>Financial</t>
        </is>
      </c>
      <c r="I437" s="30" t="n">
        <v>100</v>
      </c>
      <c r="J437" s="30" t="n">
        <v>95.754</v>
      </c>
      <c r="K437" s="30" t="n">
        <v>3.012436</v>
      </c>
      <c r="L437" s="30" t="n">
        <v>-0.100563</v>
      </c>
      <c r="M437" s="30" t="n">
        <v>-0.177466</v>
      </c>
      <c r="N437" s="30" t="n">
        <v>67.58162985</v>
      </c>
      <c r="O437" s="30" t="n">
        <v>5.124168452</v>
      </c>
      <c r="P437" s="30" t="n">
        <v>60</v>
      </c>
      <c r="Q437" s="30" t="inlineStr">
        <is>
          <t>Largest insurer group in Italy</t>
        </is>
      </c>
      <c r="R437" s="30" t="inlineStr">
        <is>
          <t>EUR</t>
        </is>
      </c>
      <c r="S437" s="30" t="inlineStr">
        <is>
          <t>Investment Grade</t>
        </is>
      </c>
      <c r="T437" s="30" t="inlineStr">
        <is>
          <t>BBB</t>
        </is>
      </c>
      <c r="U437" s="30" t="inlineStr">
        <is>
          <t>BBB</t>
        </is>
      </c>
      <c r="V437" s="30" t="n"/>
    </row>
    <row r="438">
      <c r="A438" s="30" t="inlineStr">
        <is>
          <t>XS2104968404</t>
        </is>
      </c>
      <c r="B438" s="30" t="inlineStr">
        <is>
          <t>Hold</t>
        </is>
      </c>
      <c r="C438" s="30" t="inlineStr">
        <is>
          <t>Unicredit Spa</t>
        </is>
      </c>
      <c r="D438" s="30" t="n">
        <v>1.8</v>
      </c>
      <c r="E438" s="30" t="inlineStr">
        <is>
          <t>Sr Non Preferred</t>
        </is>
      </c>
      <c r="F438" s="30" t="inlineStr">
        <is>
          <t>20.01.2030</t>
        </is>
      </c>
      <c r="G438" s="30" t="inlineStr">
        <is>
          <t>Italy</t>
        </is>
      </c>
      <c r="H438" s="30" t="inlineStr">
        <is>
          <t>Financial</t>
        </is>
      </c>
      <c r="I438" s="30" t="n">
        <v>250</v>
      </c>
      <c r="J438" s="30" t="n">
        <v>95.349</v>
      </c>
      <c r="K438" s="30" t="n">
        <v>2.908279</v>
      </c>
      <c r="L438" s="30" t="n">
        <v>-0.067815</v>
      </c>
      <c r="M438" s="30" t="n">
        <v>-0.129335</v>
      </c>
      <c r="N438" s="30" t="n">
        <v>67.28755162</v>
      </c>
      <c r="O438" s="30" t="n">
        <v>4.58174893</v>
      </c>
      <c r="P438" s="30" t="n">
        <v>60</v>
      </c>
      <c r="Q438" s="30" t="inlineStr">
        <is>
          <t>One of the largest bank in italy</t>
        </is>
      </c>
      <c r="R438" s="30" t="inlineStr">
        <is>
          <t>EUR</t>
        </is>
      </c>
      <c r="S438" s="30" t="inlineStr">
        <is>
          <t>Investment Grade</t>
        </is>
      </c>
      <c r="T438" s="30" t="inlineStr">
        <is>
          <t>BBB-</t>
        </is>
      </c>
      <c r="U438" s="30" t="inlineStr">
        <is>
          <t>BBB-</t>
        </is>
      </c>
      <c r="V438" s="30" t="n"/>
    </row>
    <row r="439">
      <c r="A439" s="30" t="inlineStr">
        <is>
          <t>XS1577961862</t>
        </is>
      </c>
      <c r="B439" s="30" t="inlineStr">
        <is>
          <t>Top Pick</t>
        </is>
      </c>
      <c r="C439" s="30" t="inlineStr">
        <is>
          <t>Prologis Lp</t>
        </is>
      </c>
      <c r="D439" s="30" t="n">
        <v>2.25</v>
      </c>
      <c r="E439" s="30" t="inlineStr">
        <is>
          <t>Sr Unsecured</t>
        </is>
      </c>
      <c r="F439" s="30" t="inlineStr">
        <is>
          <t>30.06.2029</t>
        </is>
      </c>
      <c r="G439" s="30" t="inlineStr">
        <is>
          <t>United states</t>
        </is>
      </c>
      <c r="H439" s="30" t="inlineStr">
        <is>
          <t>Financial</t>
        </is>
      </c>
      <c r="I439" s="30" t="n">
        <v>100</v>
      </c>
      <c r="J439" s="30" t="n">
        <v>91.828</v>
      </c>
      <c r="K439" s="30" t="n">
        <v>4.492599</v>
      </c>
      <c r="L439" s="30" t="n">
        <v>-0.006021</v>
      </c>
      <c r="M439" s="30" t="n">
        <v>-0.209658</v>
      </c>
      <c r="N439" s="30" t="n">
        <v>67.07788561</v>
      </c>
      <c r="O439" s="30" t="n">
        <v>3.931967876</v>
      </c>
      <c r="P439" s="30" t="n">
        <v>0</v>
      </c>
      <c r="Q439" s="30" t="inlineStr">
        <is>
          <t xml:space="preserve">Global leading logistic real estate owner </t>
        </is>
      </c>
      <c r="R439" s="30" t="inlineStr">
        <is>
          <t>GBP</t>
        </is>
      </c>
      <c r="S439" s="30" t="inlineStr">
        <is>
          <t>Investment Grade</t>
        </is>
      </c>
      <c r="T439" s="30" t="inlineStr">
        <is>
          <t>A</t>
        </is>
      </c>
      <c r="U439" s="30" t="inlineStr">
        <is>
          <t>A-</t>
        </is>
      </c>
      <c r="V439" s="30" t="n"/>
    </row>
    <row r="440">
      <c r="A440" s="30" t="inlineStr">
        <is>
          <t>US054989AA67</t>
        </is>
      </c>
      <c r="B440" s="30" t="inlineStr">
        <is>
          <t>Hold</t>
        </is>
      </c>
      <c r="C440" s="30" t="inlineStr">
        <is>
          <t>Bat Capital Corp</t>
        </is>
      </c>
      <c r="D440" s="30" t="n">
        <v>6.343</v>
      </c>
      <c r="E440" s="30" t="inlineStr">
        <is>
          <t>Sr Unsecured</t>
        </is>
      </c>
      <c r="F440" s="30" t="inlineStr">
        <is>
          <t>02.08.2030</t>
        </is>
      </c>
      <c r="G440" s="30" t="inlineStr">
        <is>
          <t>United Kingdom</t>
        </is>
      </c>
      <c r="H440" s="30" t="inlineStr">
        <is>
          <t>Consumer, Non-cyclical</t>
        </is>
      </c>
      <c r="I440" s="30" t="n">
        <v>2</v>
      </c>
      <c r="J440" s="30" t="n">
        <v>107.537</v>
      </c>
      <c r="K440" s="30" t="n">
        <v>4.60761</v>
      </c>
      <c r="L440" s="30" t="n">
        <v>-0.003091</v>
      </c>
      <c r="M440" s="30" t="n">
        <v>-0.223607</v>
      </c>
      <c r="N440" s="30" t="n">
        <v>66.99603740000001</v>
      </c>
      <c r="O440" s="30" t="n">
        <v>4.463501184</v>
      </c>
      <c r="P440" s="30" t="n">
        <v>60</v>
      </c>
      <c r="Q440" s="30" t="inlineStr">
        <is>
          <t>Tobacco company</t>
        </is>
      </c>
      <c r="R440" s="30" t="inlineStr">
        <is>
          <t>USD</t>
        </is>
      </c>
      <c r="S440" s="30" t="inlineStr">
        <is>
          <t>Investment Grade</t>
        </is>
      </c>
      <c r="T440" s="30" t="inlineStr">
        <is>
          <t>BBB+</t>
        </is>
      </c>
      <c r="U440" s="30" t="inlineStr">
        <is>
          <t>BBB+</t>
        </is>
      </c>
      <c r="V440" s="30" t="n"/>
    </row>
    <row r="441">
      <c r="A441" s="30" t="inlineStr">
        <is>
          <t>CH0330938876</t>
        </is>
      </c>
      <c r="B441" s="30" t="inlineStr">
        <is>
          <t xml:space="preserve">Hold </t>
        </is>
      </c>
      <c r="C441" s="30" t="inlineStr">
        <is>
          <t>Ubs Group Ag</t>
        </is>
      </c>
      <c r="D441" s="30" t="n">
        <v>2.75</v>
      </c>
      <c r="E441" s="30" t="inlineStr">
        <is>
          <t>Sr Unsecured</t>
        </is>
      </c>
      <c r="F441" s="30" t="inlineStr">
        <is>
          <t>08.08.2025</t>
        </is>
      </c>
      <c r="G441" s="30" t="inlineStr">
        <is>
          <t>Switzerland</t>
        </is>
      </c>
      <c r="H441" s="30" t="inlineStr">
        <is>
          <t>Financial</t>
        </is>
      </c>
      <c r="I441" s="30" t="n">
        <v>100</v>
      </c>
      <c r="J441" s="30" t="n">
        <v>99.849</v>
      </c>
      <c r="K441" s="30" t="n">
        <v>4.486802</v>
      </c>
      <c r="L441" s="30" t="n">
        <v>-0.180188</v>
      </c>
      <c r="M441" s="30" t="n">
        <v>-0.383869</v>
      </c>
      <c r="N441" s="30" t="n">
        <v>66.98434412</v>
      </c>
      <c r="O441" s="30" t="n">
        <v>0.443233015</v>
      </c>
      <c r="P441" s="30" t="n">
        <v>80</v>
      </c>
      <c r="Q441" s="30" t="inlineStr">
        <is>
          <t>Largest bank in Switzerland</t>
        </is>
      </c>
      <c r="R441" s="30" t="inlineStr">
        <is>
          <t>GBP</t>
        </is>
      </c>
      <c r="S441" s="30" t="inlineStr">
        <is>
          <t>Investment Grade</t>
        </is>
      </c>
      <c r="T441" s="30" t="inlineStr">
        <is>
          <t>A-</t>
        </is>
      </c>
      <c r="U441" s="30" t="inlineStr">
        <is>
          <t>A-</t>
        </is>
      </c>
      <c r="V441" s="30" t="n"/>
    </row>
    <row r="442">
      <c r="A442" s="30" t="inlineStr">
        <is>
          <t>XS2985139356</t>
        </is>
      </c>
      <c r="B442" s="30" t="inlineStr">
        <is>
          <t xml:space="preserve">Hold </t>
        </is>
      </c>
      <c r="C442" s="30" t="inlineStr">
        <is>
          <t>Bmw Intl Investment Bv</t>
        </is>
      </c>
      <c r="D442" s="30" t="n">
        <v>5</v>
      </c>
      <c r="E442" s="30" t="inlineStr">
        <is>
          <t>Sr Unsecured</t>
        </is>
      </c>
      <c r="F442" s="30" t="inlineStr">
        <is>
          <t>24.01.2028</t>
        </is>
      </c>
      <c r="G442" s="30" t="inlineStr">
        <is>
          <t>Germany</t>
        </is>
      </c>
      <c r="H442" s="30" t="inlineStr">
        <is>
          <t>Consumer, Cyclical</t>
        </is>
      </c>
      <c r="I442" s="30" t="n">
        <v>100</v>
      </c>
      <c r="J442" s="30" t="n">
        <v>101.282</v>
      </c>
      <c r="K442" s="30" t="n">
        <v>4.396635</v>
      </c>
      <c r="L442" s="30" t="n">
        <v>-0.000731</v>
      </c>
      <c r="M442" s="30" t="n">
        <v>-0.22795</v>
      </c>
      <c r="N442" s="30" t="n">
        <v>66.88895477</v>
      </c>
      <c r="O442" s="30" t="n">
        <v>2.647437486</v>
      </c>
      <c r="P442" s="30" t="n">
        <v>0</v>
      </c>
      <c r="Q442" s="30" t="inlineStr">
        <is>
          <t>European car manufacturer focused entirely on the premium segment</t>
        </is>
      </c>
      <c r="R442" s="30" t="inlineStr">
        <is>
          <t>GBP</t>
        </is>
      </c>
      <c r="S442" s="30" t="inlineStr">
        <is>
          <t>Investment Grade</t>
        </is>
      </c>
      <c r="T442" s="30" t="inlineStr">
        <is>
          <t>A</t>
        </is>
      </c>
      <c r="U442" s="30" t="inlineStr">
        <is>
          <t>A</t>
        </is>
      </c>
      <c r="V442" s="30" t="n"/>
    </row>
    <row r="443">
      <c r="A443" s="30" t="inlineStr">
        <is>
          <t>FR0014006ND8</t>
        </is>
      </c>
      <c r="B443" s="30" t="inlineStr">
        <is>
          <t>Hold</t>
        </is>
      </c>
      <c r="C443" s="30" t="inlineStr">
        <is>
          <t>Accor Sa</t>
        </is>
      </c>
      <c r="D443" s="30" t="n">
        <v>2.375</v>
      </c>
      <c r="E443" s="30" t="inlineStr">
        <is>
          <t>Sr Unsecured</t>
        </is>
      </c>
      <c r="F443" s="30" t="inlineStr">
        <is>
          <t>29.11.2028</t>
        </is>
      </c>
      <c r="G443" s="30" t="inlineStr">
        <is>
          <t>France</t>
        </is>
      </c>
      <c r="H443" s="30" t="inlineStr">
        <is>
          <t>Consumer, Cyclical</t>
        </is>
      </c>
      <c r="I443" s="30" t="n">
        <v>100</v>
      </c>
      <c r="J443" s="30" t="n">
        <v>98.82899999999999</v>
      </c>
      <c r="K443" s="30" t="n">
        <v>2.738998</v>
      </c>
      <c r="L443" s="30" t="n">
        <v>-0.07652</v>
      </c>
      <c r="M443" s="30" t="n">
        <v>-0.168264</v>
      </c>
      <c r="N443" s="30" t="n">
        <v>66.87398243</v>
      </c>
      <c r="O443" s="30" t="n">
        <v>3.517074903</v>
      </c>
      <c r="P443" s="30" t="n">
        <v>15</v>
      </c>
      <c r="Q443" s="30" t="inlineStr">
        <is>
          <t>operates managed and franchised hotels, resort and vacation facility</t>
        </is>
      </c>
      <c r="R443" s="30" t="inlineStr">
        <is>
          <t>EUR</t>
        </is>
      </c>
      <c r="S443" s="30" t="inlineStr">
        <is>
          <t>Investment Grade</t>
        </is>
      </c>
      <c r="T443" s="30" t="inlineStr">
        <is>
          <t>BBB-</t>
        </is>
      </c>
      <c r="U443" s="30" t="inlineStr">
        <is>
          <t>BBB-</t>
        </is>
      </c>
      <c r="V443" s="30" t="n"/>
    </row>
    <row r="444">
      <c r="A444" s="30" t="inlineStr">
        <is>
          <t>XS1345415472</t>
        </is>
      </c>
      <c r="B444" s="30" t="inlineStr">
        <is>
          <t>Hold</t>
        </is>
      </c>
      <c r="C444" s="30" t="inlineStr">
        <is>
          <t>Santander Uk Group Hldgs</t>
        </is>
      </c>
      <c r="D444" s="30" t="n">
        <v>3.625</v>
      </c>
      <c r="E444" s="30" t="inlineStr">
        <is>
          <t>Sr Unsecured</t>
        </is>
      </c>
      <c r="F444" s="30" t="inlineStr">
        <is>
          <t>14.01.2026</t>
        </is>
      </c>
      <c r="G444" s="30" t="inlineStr">
        <is>
          <t>United Kingdom</t>
        </is>
      </c>
      <c r="H444" s="30" t="inlineStr">
        <is>
          <t>Financial</t>
        </is>
      </c>
      <c r="I444" s="30" t="n">
        <v>100</v>
      </c>
      <c r="J444" s="30" t="n">
        <v>99.548</v>
      </c>
      <c r="K444" s="30" t="n">
        <v>4.524786</v>
      </c>
      <c r="L444" s="30" t="n">
        <v>-0.072494</v>
      </c>
      <c r="M444" s="30" t="n">
        <v>-0.344025</v>
      </c>
      <c r="N444" s="30" t="n">
        <v>66.83208791</v>
      </c>
      <c r="O444" s="30" t="n">
        <v>0.857265256</v>
      </c>
      <c r="P444" s="30" t="n">
        <v>80</v>
      </c>
      <c r="Q444" s="30" t="inlineStr">
        <is>
          <t>One of the largest bank in the Eurozone by market value</t>
        </is>
      </c>
      <c r="R444" s="30" t="inlineStr">
        <is>
          <t>GBP</t>
        </is>
      </c>
      <c r="S444" s="30" t="inlineStr">
        <is>
          <t>Investment Grade</t>
        </is>
      </c>
      <c r="T444" s="30" t="inlineStr">
        <is>
          <t>BBB+</t>
        </is>
      </c>
      <c r="U444" s="30" t="inlineStr">
        <is>
          <t>BBB+</t>
        </is>
      </c>
      <c r="V444" s="30" t="n"/>
    </row>
    <row r="445">
      <c r="A445" s="30" t="inlineStr">
        <is>
          <t>XS2430951660</t>
        </is>
      </c>
      <c r="B445" s="30" t="inlineStr">
        <is>
          <t>Top Pick</t>
        </is>
      </c>
      <c r="C445" s="30" t="inlineStr">
        <is>
          <t>Barclays Plc</t>
        </is>
      </c>
      <c r="D445" s="30" t="n">
        <v>0.877</v>
      </c>
      <c r="E445" s="30" t="inlineStr">
        <is>
          <t>Sr Unsecured</t>
        </is>
      </c>
      <c r="F445" s="30" t="inlineStr">
        <is>
          <t>28.01.2028</t>
        </is>
      </c>
      <c r="G445" s="30" t="inlineStr">
        <is>
          <t>United Kingdom</t>
        </is>
      </c>
      <c r="H445" s="30" t="inlineStr">
        <is>
          <t>Financial</t>
        </is>
      </c>
      <c r="I445" s="30" t="n">
        <v>100</v>
      </c>
      <c r="J445" s="30" t="n">
        <v>97.675</v>
      </c>
      <c r="K445" s="30" t="n">
        <v>2.415913</v>
      </c>
      <c r="L445" s="30" t="n">
        <v>-0.07813199999999999</v>
      </c>
      <c r="M445" s="30" t="n">
        <v>-0.181165</v>
      </c>
      <c r="N445" s="30" t="n">
        <v>66.74213838</v>
      </c>
      <c r="O445" s="30" t="n">
        <v>1.865449222</v>
      </c>
      <c r="P445" s="30" t="n">
        <v>60</v>
      </c>
      <c r="Q445" s="30" t="inlineStr">
        <is>
          <t>One of the largest UK banks</t>
        </is>
      </c>
      <c r="R445" s="30" t="inlineStr">
        <is>
          <t>EUR</t>
        </is>
      </c>
      <c r="S445" s="30" t="inlineStr">
        <is>
          <t>Investment Grade</t>
        </is>
      </c>
      <c r="T445" s="30" t="inlineStr">
        <is>
          <t>BBB+</t>
        </is>
      </c>
      <c r="U445" s="30" t="inlineStr">
        <is>
          <t>BBB+</t>
        </is>
      </c>
      <c r="V445" s="30" t="n"/>
    </row>
    <row r="446">
      <c r="A446" s="30" t="inlineStr">
        <is>
          <t>US731011AV42</t>
        </is>
      </c>
      <c r="B446" s="30" t="inlineStr">
        <is>
          <t>Hold</t>
        </is>
      </c>
      <c r="C446" s="30" t="inlineStr">
        <is>
          <t>Republic Of Poland</t>
        </is>
      </c>
      <c r="D446" s="30" t="n">
        <v>4.875</v>
      </c>
      <c r="E446" s="30" t="inlineStr">
        <is>
          <t>Sr Unsecured</t>
        </is>
      </c>
      <c r="F446" s="30" t="inlineStr">
        <is>
          <t>04.10.2033</t>
        </is>
      </c>
      <c r="G446" s="30" t="inlineStr">
        <is>
          <t>Poland</t>
        </is>
      </c>
      <c r="H446" s="30" t="inlineStr">
        <is>
          <t>Government</t>
        </is>
      </c>
      <c r="I446" s="30" t="n">
        <v>1</v>
      </c>
      <c r="J446" s="30" t="n">
        <v>99.71599999999999</v>
      </c>
      <c r="K446" s="30" t="n">
        <v>4.916461</v>
      </c>
      <c r="L446" s="30" t="n">
        <v>-0.026051</v>
      </c>
      <c r="M446" s="30" t="n">
        <v>-0.208179</v>
      </c>
      <c r="N446" s="30" t="n">
        <v>66.67359613000001</v>
      </c>
      <c r="O446" s="30" t="n">
        <v>6.800082503</v>
      </c>
      <c r="P446" s="30" t="n">
        <v>0</v>
      </c>
      <c r="Q446" s="30" t="inlineStr">
        <is>
          <t>Republic of Poland</t>
        </is>
      </c>
      <c r="R446" s="30" t="inlineStr">
        <is>
          <t>USD</t>
        </is>
      </c>
      <c r="S446" s="30" t="inlineStr">
        <is>
          <t>Investment Grade</t>
        </is>
      </c>
      <c r="T446" s="30" t="inlineStr">
        <is>
          <t>A-</t>
        </is>
      </c>
      <c r="U446" s="30" t="inlineStr">
        <is>
          <t>A-</t>
        </is>
      </c>
      <c r="V446" s="30" t="n"/>
    </row>
    <row r="447">
      <c r="A447" s="30" t="inlineStr">
        <is>
          <t>CH1142700363</t>
        </is>
      </c>
      <c r="B447" s="30" t="inlineStr">
        <is>
          <t xml:space="preserve">Hold </t>
        </is>
      </c>
      <c r="C447" s="30" t="inlineStr">
        <is>
          <t>Banco Santander Chile</t>
        </is>
      </c>
      <c r="D447" s="30" t="n">
        <v>0.2975</v>
      </c>
      <c r="E447" s="30" t="inlineStr">
        <is>
          <t>Sr Unsecured</t>
        </is>
      </c>
      <c r="F447" s="30" t="inlineStr">
        <is>
          <t>22.10.2026</t>
        </is>
      </c>
      <c r="G447" s="30" t="inlineStr">
        <is>
          <t>Chile</t>
        </is>
      </c>
      <c r="H447" s="30" t="inlineStr">
        <is>
          <t>Financial</t>
        </is>
      </c>
      <c r="I447" s="30" t="n">
        <v>5</v>
      </c>
      <c r="J447" s="30" t="n">
        <v>99.621</v>
      </c>
      <c r="K447" s="30" t="n">
        <v>0.594047</v>
      </c>
      <c r="L447" s="30" t="n">
        <v>0.036457</v>
      </c>
      <c r="M447" s="30" t="n">
        <v>0.142384</v>
      </c>
      <c r="N447" s="30" t="n">
        <v>66.52977486</v>
      </c>
      <c r="O447" s="30" t="n">
        <v>1.645672805</v>
      </c>
      <c r="P447" s="30" t="n">
        <v>80</v>
      </c>
      <c r="Q447" s="30" t="inlineStr">
        <is>
          <t>Largest bank in Chile</t>
        </is>
      </c>
      <c r="R447" s="30" t="inlineStr">
        <is>
          <t>CHF</t>
        </is>
      </c>
      <c r="S447" s="30" t="inlineStr">
        <is>
          <t>Latin America</t>
        </is>
      </c>
      <c r="T447" s="30" t="inlineStr">
        <is>
          <t>A-</t>
        </is>
      </c>
      <c r="U447" s="30" t="inlineStr">
        <is>
          <t>A-</t>
        </is>
      </c>
      <c r="V447" s="30" t="n"/>
    </row>
    <row r="448">
      <c r="A448" s="30" t="inlineStr">
        <is>
          <t>XS2624938739</t>
        </is>
      </c>
      <c r="B448" s="30" t="inlineStr">
        <is>
          <t>Hold</t>
        </is>
      </c>
      <c r="C448" s="30" t="inlineStr">
        <is>
          <t>Honeywell International</t>
        </is>
      </c>
      <c r="D448" s="30" t="n">
        <v>3.75</v>
      </c>
      <c r="E448" s="30" t="inlineStr">
        <is>
          <t>Sr Unsecured</t>
        </is>
      </c>
      <c r="F448" s="30" t="inlineStr">
        <is>
          <t>17.05.2032</t>
        </is>
      </c>
      <c r="G448" s="30" t="inlineStr">
        <is>
          <t>United states</t>
        </is>
      </c>
      <c r="H448" s="30" t="inlineStr">
        <is>
          <t>Industrial</t>
        </is>
      </c>
      <c r="I448" s="30" t="n">
        <v>100</v>
      </c>
      <c r="J448" s="30" t="n">
        <v>103.205</v>
      </c>
      <c r="K448" s="30" t="n">
        <v>3.204125</v>
      </c>
      <c r="L448" s="30" t="n">
        <v>-0.146397</v>
      </c>
      <c r="M448" s="30" t="n">
        <v>-0.114913</v>
      </c>
      <c r="N448" s="30" t="n">
        <v>66.50469079</v>
      </c>
      <c r="O448" s="30" t="n">
        <v>5.909341713</v>
      </c>
      <c r="P448" s="30" t="n">
        <v>80</v>
      </c>
      <c r="Q448" s="30" t="inlineStr">
        <is>
          <t>Worldwide technology and manufacturing company</t>
        </is>
      </c>
      <c r="R448" s="30" t="inlineStr">
        <is>
          <t>EUR</t>
        </is>
      </c>
      <c r="S448" s="30" t="inlineStr">
        <is>
          <t>Investment Grade</t>
        </is>
      </c>
      <c r="T448" s="30" t="inlineStr">
        <is>
          <t>A</t>
        </is>
      </c>
      <c r="U448" s="30" t="inlineStr">
        <is>
          <t>A</t>
        </is>
      </c>
      <c r="V448" s="30" t="n"/>
    </row>
    <row r="449">
      <c r="A449" s="30" t="inlineStr">
        <is>
          <t>CH1243933558</t>
        </is>
      </c>
      <c r="B449" s="30" t="inlineStr">
        <is>
          <t>Hold</t>
        </is>
      </c>
      <c r="C449" s="30" t="inlineStr">
        <is>
          <t>Toronto-Dominion Bank</t>
        </is>
      </c>
      <c r="D449" s="30" t="n">
        <v>2.2025</v>
      </c>
      <c r="E449" s="30" t="inlineStr">
        <is>
          <t>Sr Unsecured</t>
        </is>
      </c>
      <c r="F449" s="30" t="inlineStr">
        <is>
          <t>31.01.2028</t>
        </is>
      </c>
      <c r="G449" s="30" t="inlineStr">
        <is>
          <t>Canada</t>
        </is>
      </c>
      <c r="H449" s="30" t="inlineStr">
        <is>
          <t>Financial</t>
        </is>
      </c>
      <c r="I449" s="30" t="n">
        <v>5</v>
      </c>
      <c r="J449" s="30" t="n">
        <v>103.953</v>
      </c>
      <c r="K449" s="30" t="n">
        <v>0.639072</v>
      </c>
      <c r="L449" s="30" t="n">
        <v>0.051955</v>
      </c>
      <c r="M449" s="30" t="n">
        <v>0.207755</v>
      </c>
      <c r="N449" s="30" t="n">
        <v>66.47904113</v>
      </c>
      <c r="O449" s="30" t="n">
        <v>2.848073591</v>
      </c>
      <c r="P449" s="30" t="n">
        <v>80</v>
      </c>
      <c r="Q449" s="30" t="inlineStr">
        <is>
          <t>Second largest bank in Canada</t>
        </is>
      </c>
      <c r="R449" s="30" t="inlineStr">
        <is>
          <t>CHF</t>
        </is>
      </c>
      <c r="S449" s="30" t="inlineStr">
        <is>
          <t>Investment Grade</t>
        </is>
      </c>
      <c r="T449" s="30" t="inlineStr">
        <is>
          <t>A-</t>
        </is>
      </c>
      <c r="U449" s="30" t="inlineStr">
        <is>
          <t>A-</t>
        </is>
      </c>
      <c r="V449" s="30" t="n"/>
    </row>
    <row r="450">
      <c r="A450" s="30" t="inlineStr">
        <is>
          <t>US055451BA54</t>
        </is>
      </c>
      <c r="B450" s="30" t="inlineStr">
        <is>
          <t>Hold</t>
        </is>
      </c>
      <c r="C450" s="30" t="inlineStr">
        <is>
          <t>Bhp Billiton Fin Usa Ltd</t>
        </is>
      </c>
      <c r="D450" s="30" t="n">
        <v>4.9</v>
      </c>
      <c r="E450" s="30" t="inlineStr">
        <is>
          <t>Sr Unsecured</t>
        </is>
      </c>
      <c r="F450" s="30" t="inlineStr">
        <is>
          <t>28.02.2033</t>
        </is>
      </c>
      <c r="G450" s="30" t="inlineStr">
        <is>
          <t>Australia</t>
        </is>
      </c>
      <c r="H450" s="30" t="inlineStr">
        <is>
          <t>Basic Materials</t>
        </is>
      </c>
      <c r="I450" s="30" t="n">
        <v>2</v>
      </c>
      <c r="J450" s="30" t="n">
        <v>100.212</v>
      </c>
      <c r="K450" s="30" t="n">
        <v>4.865457</v>
      </c>
      <c r="L450" s="30" t="n">
        <v>-0.01464</v>
      </c>
      <c r="M450" s="30" t="n">
        <v>-0.169511</v>
      </c>
      <c r="N450" s="30" t="n">
        <v>66.41386122</v>
      </c>
      <c r="O450" s="30" t="n">
        <v>6.396484412</v>
      </c>
      <c r="P450" s="30" t="n">
        <v>80</v>
      </c>
      <c r="Q450" s="30" t="inlineStr">
        <is>
          <t>Largest mining company in the industry</t>
        </is>
      </c>
      <c r="R450" s="30" t="inlineStr">
        <is>
          <t>USD</t>
        </is>
      </c>
      <c r="S450" s="30" t="inlineStr">
        <is>
          <t>Investment Grade</t>
        </is>
      </c>
      <c r="T450" s="30" t="inlineStr">
        <is>
          <t>A</t>
        </is>
      </c>
      <c r="U450" s="30" t="inlineStr">
        <is>
          <t>A</t>
        </is>
      </c>
      <c r="V450" s="30" t="n"/>
    </row>
    <row r="451">
      <c r="A451" s="30" t="inlineStr">
        <is>
          <t>CH0503924414</t>
        </is>
      </c>
      <c r="B451" s="30" t="inlineStr">
        <is>
          <t>Top Pick</t>
        </is>
      </c>
      <c r="C451" s="30" t="inlineStr">
        <is>
          <t>Citigroup Inc</t>
        </is>
      </c>
      <c r="D451" s="30" t="n">
        <v>0.5</v>
      </c>
      <c r="E451" s="30" t="inlineStr">
        <is>
          <t>Sr Unsecured</t>
        </is>
      </c>
      <c r="F451" s="30" t="inlineStr">
        <is>
          <t>01.11.2028</t>
        </is>
      </c>
      <c r="G451" s="30" t="inlineStr">
        <is>
          <t>United states</t>
        </is>
      </c>
      <c r="H451" s="30" t="inlineStr">
        <is>
          <t>Financial</t>
        </is>
      </c>
      <c r="I451" s="30" t="n">
        <v>5</v>
      </c>
      <c r="J451" s="30" t="n">
        <v>99.378</v>
      </c>
      <c r="K451" s="30" t="n">
        <v>0.690543</v>
      </c>
      <c r="L451" s="30" t="n">
        <v>0.039264</v>
      </c>
      <c r="M451" s="30" t="n">
        <v>0.139438</v>
      </c>
      <c r="N451" s="30" t="n">
        <v>66.40338893000001</v>
      </c>
      <c r="O451" s="30" t="n">
        <v>3.628481562</v>
      </c>
      <c r="P451" s="30" t="n">
        <v>0</v>
      </c>
      <c r="Q451" s="30" t="inlineStr">
        <is>
          <t xml:space="preserve">One of the largest US banks </t>
        </is>
      </c>
      <c r="R451" s="30" t="inlineStr">
        <is>
          <t>CHF</t>
        </is>
      </c>
      <c r="S451" s="30" t="inlineStr">
        <is>
          <t>Investment Grade</t>
        </is>
      </c>
      <c r="T451" s="30" t="inlineStr">
        <is>
          <t>A-</t>
        </is>
      </c>
      <c r="U451" s="30" t="inlineStr">
        <is>
          <t>A-</t>
        </is>
      </c>
      <c r="V451" s="30" t="n"/>
    </row>
    <row r="452">
      <c r="A452" s="30" t="inlineStr">
        <is>
          <t>CH1376931569</t>
        </is>
      </c>
      <c r="B452" s="30" t="inlineStr">
        <is>
          <t>Top pick</t>
        </is>
      </c>
      <c r="C452" s="30" t="inlineStr">
        <is>
          <t>Mcdonald'S Corp</t>
        </is>
      </c>
      <c r="D452" s="30" t="n">
        <v>1.05</v>
      </c>
      <c r="E452" s="30" t="inlineStr">
        <is>
          <t>Sr Unsecured</t>
        </is>
      </c>
      <c r="F452" s="30" t="inlineStr">
        <is>
          <t>27.11.2028</t>
        </is>
      </c>
      <c r="G452" s="30" t="inlineStr">
        <is>
          <t>United states</t>
        </is>
      </c>
      <c r="H452" s="30" t="inlineStr">
        <is>
          <t>Consumer, Cyclical</t>
        </is>
      </c>
      <c r="I452" s="30" t="n">
        <v>5</v>
      </c>
      <c r="J452" s="30" t="n">
        <v>101.096</v>
      </c>
      <c r="K452" s="30" t="n">
        <v>0.695111</v>
      </c>
      <c r="L452" s="30" t="n">
        <v>0.026249</v>
      </c>
      <c r="M452" s="30" t="n">
        <v>0.177588</v>
      </c>
      <c r="N452" s="30" t="n">
        <v>66.18105489</v>
      </c>
      <c r="O452" s="30" t="n">
        <v>3.421157491</v>
      </c>
      <c r="P452" s="30" t="n">
        <v>0</v>
      </c>
      <c r="Q452" s="30" t="inlineStr">
        <is>
          <t>franchised fast food chain</t>
        </is>
      </c>
      <c r="R452" s="30" t="inlineStr">
        <is>
          <t>CHF</t>
        </is>
      </c>
      <c r="S452" s="30" t="inlineStr">
        <is>
          <t>Investment Grade</t>
        </is>
      </c>
      <c r="T452" s="30" t="inlineStr">
        <is>
          <t>BBB+</t>
        </is>
      </c>
      <c r="U452" s="30" t="inlineStr">
        <is>
          <t>BBB+</t>
        </is>
      </c>
      <c r="V452" s="30" t="n"/>
    </row>
    <row r="453">
      <c r="A453" s="30" t="inlineStr">
        <is>
          <t>XS2589260723</t>
        </is>
      </c>
      <c r="B453" s="30" t="inlineStr">
        <is>
          <t>Top Pick</t>
        </is>
      </c>
      <c r="C453" s="30" t="inlineStr">
        <is>
          <t>Enel Finance Intl Nv</t>
        </is>
      </c>
      <c r="D453" s="30" t="n">
        <v>4</v>
      </c>
      <c r="E453" s="30" t="inlineStr">
        <is>
          <t>Sr Unsecured</t>
        </is>
      </c>
      <c r="F453" s="30" t="inlineStr">
        <is>
          <t>20.02.2031</t>
        </is>
      </c>
      <c r="G453" s="30" t="inlineStr">
        <is>
          <t>Italy</t>
        </is>
      </c>
      <c r="H453" s="30" t="inlineStr">
        <is>
          <t>Utilities</t>
        </is>
      </c>
      <c r="I453" s="30" t="n">
        <v>100</v>
      </c>
      <c r="J453" s="30" t="n">
        <v>104.662</v>
      </c>
      <c r="K453" s="30" t="n">
        <v>3.044437</v>
      </c>
      <c r="L453" s="30" t="n">
        <v>-0.036318</v>
      </c>
      <c r="M453" s="30" t="n">
        <v>-0.04137</v>
      </c>
      <c r="N453" s="30" t="n">
        <v>66.13171164000001</v>
      </c>
      <c r="O453" s="30" t="n">
        <v>5.091059099</v>
      </c>
      <c r="P453" s="30" t="n">
        <v>60</v>
      </c>
      <c r="Q453" s="30" t="inlineStr">
        <is>
          <t>Italian utility company</t>
        </is>
      </c>
      <c r="R453" s="30" t="inlineStr">
        <is>
          <t>EUR</t>
        </is>
      </c>
      <c r="S453" s="30" t="inlineStr">
        <is>
          <t>Investment Grade</t>
        </is>
      </c>
      <c r="T453" s="30" t="inlineStr">
        <is>
          <t>BBB</t>
        </is>
      </c>
      <c r="U453" s="30" t="inlineStr">
        <is>
          <t>BBB</t>
        </is>
      </c>
      <c r="V453" s="30" t="n"/>
    </row>
    <row r="454">
      <c r="A454" s="30" t="inlineStr">
        <is>
          <t>XS2229875989</t>
        </is>
      </c>
      <c r="B454" s="30" t="inlineStr">
        <is>
          <t>Hold</t>
        </is>
      </c>
      <c r="C454" s="30" t="inlineStr">
        <is>
          <t>Ford Motor Credit Co Llc</t>
        </is>
      </c>
      <c r="D454" s="30" t="n">
        <v>3.25</v>
      </c>
      <c r="E454" s="30" t="inlineStr">
        <is>
          <t>Sr Unsecured</t>
        </is>
      </c>
      <c r="F454" s="30" t="inlineStr">
        <is>
          <t>15.09.2025</t>
        </is>
      </c>
      <c r="G454" s="30" t="inlineStr">
        <is>
          <t>United states</t>
        </is>
      </c>
      <c r="H454" s="30" t="inlineStr">
        <is>
          <t>Consumer, Cyclical</t>
        </is>
      </c>
      <c r="I454" s="30" t="n">
        <v>100</v>
      </c>
      <c r="J454" s="30" t="n">
        <v>100.132</v>
      </c>
      <c r="K454" s="30" t="n">
        <v>2.472812</v>
      </c>
      <c r="L454" s="30" t="n">
        <v>-0.07793</v>
      </c>
      <c r="M454" s="30" t="n">
        <v>-0.152768</v>
      </c>
      <c r="N454" s="30" t="n">
        <v>65.98794538999999</v>
      </c>
      <c r="O454" s="30" t="n">
        <v>0.547753056</v>
      </c>
      <c r="P454" s="30" t="n">
        <v>25</v>
      </c>
      <c r="Q454" s="30" t="inlineStr">
        <is>
          <t>Global automotive manufacturer</t>
        </is>
      </c>
      <c r="R454" s="30" t="inlineStr">
        <is>
          <t>EUR</t>
        </is>
      </c>
      <c r="S454" s="30" t="inlineStr">
        <is>
          <t>Investment Grade</t>
        </is>
      </c>
      <c r="T454" s="30" t="inlineStr">
        <is>
          <t>BB+</t>
        </is>
      </c>
      <c r="U454" s="30" t="inlineStr">
        <is>
          <t>BB+</t>
        </is>
      </c>
      <c r="V454" s="30" t="n"/>
    </row>
    <row r="455">
      <c r="A455" s="30" t="inlineStr">
        <is>
          <t>CH1232107164</t>
        </is>
      </c>
      <c r="B455" s="30" t="inlineStr">
        <is>
          <t>Hold</t>
        </is>
      </c>
      <c r="C455" s="30" t="inlineStr">
        <is>
          <t>Psp Swiss Property Ag</t>
        </is>
      </c>
      <c r="D455" s="30" t="n">
        <v>2</v>
      </c>
      <c r="E455" s="30" t="inlineStr">
        <is>
          <t>Sr Unsecured</t>
        </is>
      </c>
      <c r="F455" s="30" t="inlineStr">
        <is>
          <t>01.07.2026</t>
        </is>
      </c>
      <c r="G455" s="30" t="inlineStr">
        <is>
          <t>Switzerland</t>
        </is>
      </c>
      <c r="H455" s="30" t="inlineStr">
        <is>
          <t>Financial</t>
        </is>
      </c>
      <c r="I455" s="30" t="n">
        <v>5</v>
      </c>
      <c r="J455" s="30" t="n">
        <v>101.374</v>
      </c>
      <c r="K455" s="30" t="n">
        <v>0.586492</v>
      </c>
      <c r="L455" s="30" t="n">
        <v>0.003816</v>
      </c>
      <c r="M455" s="30" t="n">
        <v>0.145385</v>
      </c>
      <c r="N455" s="30" t="n">
        <v>65.89631511</v>
      </c>
      <c r="O455" s="30" t="n">
        <v>1.323826841</v>
      </c>
      <c r="P455" s="30" t="n">
        <v>80</v>
      </c>
      <c r="Q455" s="30" t="inlineStr">
        <is>
          <t>Owns and manage real estate</t>
        </is>
      </c>
      <c r="R455" s="30" t="inlineStr">
        <is>
          <t>CHF</t>
        </is>
      </c>
      <c r="S455" s="30" t="inlineStr">
        <is>
          <t>High Yield</t>
        </is>
      </c>
      <c r="T455" s="30" t="inlineStr">
        <is>
          <t>#N/A N/A</t>
        </is>
      </c>
      <c r="U455" s="30" t="inlineStr">
        <is>
          <t>#N/A N/A</t>
        </is>
      </c>
      <c r="V455" s="30" t="n"/>
    </row>
    <row r="456">
      <c r="A456" s="30" t="inlineStr">
        <is>
          <t>XS0143739182</t>
        </is>
      </c>
      <c r="B456" s="30" t="inlineStr">
        <is>
          <t>Not accumulate</t>
        </is>
      </c>
      <c r="C456" s="30" t="inlineStr">
        <is>
          <t>Sncf Reseau</t>
        </is>
      </c>
      <c r="D456" s="30" t="n">
        <v>5</v>
      </c>
      <c r="E456" s="30" t="inlineStr">
        <is>
          <t>Sr Unsecured</t>
        </is>
      </c>
      <c r="F456" s="30" t="inlineStr">
        <is>
          <t>11.03.2052</t>
        </is>
      </c>
      <c r="G456" s="30" t="inlineStr">
        <is>
          <t>France</t>
        </is>
      </c>
      <c r="H456" s="30" t="inlineStr">
        <is>
          <t>Industrial</t>
        </is>
      </c>
      <c r="I456" s="30" t="n">
        <v>1</v>
      </c>
      <c r="J456" s="30" t="n">
        <v>87.68000000000001</v>
      </c>
      <c r="K456" s="30" t="n">
        <v>5.842636</v>
      </c>
      <c r="L456" s="30" t="n">
        <v>0.08595</v>
      </c>
      <c r="M456" s="30" t="n">
        <v>0.017341</v>
      </c>
      <c r="N456" s="30" t="n">
        <v>65.80945576000001</v>
      </c>
      <c r="O456" s="30" t="n">
        <v>13.24006121</v>
      </c>
      <c r="P456" s="30" t="n">
        <v>85</v>
      </c>
      <c r="Q456" s="30" t="inlineStr">
        <is>
          <t>Provides railway network management services</t>
        </is>
      </c>
      <c r="R456" s="30" t="inlineStr">
        <is>
          <t>GBP</t>
        </is>
      </c>
      <c r="S456" s="30" t="inlineStr">
        <is>
          <t>Investment Grade</t>
        </is>
      </c>
      <c r="T456" s="30" t="inlineStr">
        <is>
          <t>AA-</t>
        </is>
      </c>
      <c r="U456" s="30" t="inlineStr">
        <is>
          <t>AA-</t>
        </is>
      </c>
      <c r="V456" s="30" t="n"/>
    </row>
    <row r="457">
      <c r="A457" s="30" t="inlineStr">
        <is>
          <t>FR001400U660</t>
        </is>
      </c>
      <c r="B457" s="30" t="inlineStr">
        <is>
          <t>Top Pick</t>
        </is>
      </c>
      <c r="C457" s="30" t="inlineStr">
        <is>
          <t>La Francaise Des Jeux Sa</t>
        </is>
      </c>
      <c r="D457" s="30" t="n">
        <v>3</v>
      </c>
      <c r="E457" s="30" t="inlineStr">
        <is>
          <t>Sr Unsecured</t>
        </is>
      </c>
      <c r="F457" s="30" t="inlineStr">
        <is>
          <t>21.11.2030</t>
        </is>
      </c>
      <c r="G457" s="30" t="inlineStr">
        <is>
          <t>France</t>
        </is>
      </c>
      <c r="H457" s="30" t="inlineStr">
        <is>
          <t>Consumer, Cyclical</t>
        </is>
      </c>
      <c r="I457" s="30" t="n">
        <v>100</v>
      </c>
      <c r="J457" s="30" t="n">
        <v>99.876</v>
      </c>
      <c r="K457" s="30" t="n">
        <v>3.023231</v>
      </c>
      <c r="L457" s="30" t="n">
        <v>-0.06740599999999999</v>
      </c>
      <c r="M457" s="30" t="n">
        <v>-0.101194</v>
      </c>
      <c r="N457" s="30" t="n">
        <v>65.51501476</v>
      </c>
      <c r="O457" s="30" t="n">
        <v>5.149964154</v>
      </c>
      <c r="P457" s="30" t="n">
        <v>0</v>
      </c>
      <c r="Q457" s="30" t="inlineStr">
        <is>
          <t xml:space="preserve">French lottery game operator with exclusive rights </t>
        </is>
      </c>
      <c r="R457" s="30" t="inlineStr">
        <is>
          <t>EUR</t>
        </is>
      </c>
      <c r="S457" s="30" t="inlineStr">
        <is>
          <t>Investment Grade</t>
        </is>
      </c>
      <c r="T457" s="30" t="inlineStr">
        <is>
          <t>NR</t>
        </is>
      </c>
      <c r="U457" s="30" t="inlineStr">
        <is>
          <t>NR</t>
        </is>
      </c>
      <c r="V457" s="30" t="n"/>
    </row>
    <row r="458">
      <c r="A458" s="30" t="inlineStr">
        <is>
          <t>US46647PEA03</t>
        </is>
      </c>
      <c r="B458" s="30" t="inlineStr">
        <is>
          <t>Top Pick</t>
        </is>
      </c>
      <c r="C458" s="30" t="inlineStr">
        <is>
          <t>Jpmorgan Chase &amp; Co</t>
        </is>
      </c>
      <c r="D458" s="30" t="n">
        <v>5.04</v>
      </c>
      <c r="E458" s="30" t="inlineStr">
        <is>
          <t>Sr Unsecured</t>
        </is>
      </c>
      <c r="F458" s="30" t="inlineStr">
        <is>
          <t>23.01.2028</t>
        </is>
      </c>
      <c r="G458" s="30" t="inlineStr">
        <is>
          <t>United states</t>
        </is>
      </c>
      <c r="H458" s="30" t="inlineStr">
        <is>
          <t>Financial</t>
        </is>
      </c>
      <c r="I458" s="30" t="n">
        <v>2</v>
      </c>
      <c r="J458" s="30" t="n">
        <v>100.925</v>
      </c>
      <c r="K458" s="30" t="n">
        <v>4.411348</v>
      </c>
      <c r="L458" s="30" t="n">
        <v>-0.038042</v>
      </c>
      <c r="M458" s="30" t="n">
        <v>-0.16735</v>
      </c>
      <c r="N458" s="30" t="n">
        <v>65.28165713999999</v>
      </c>
      <c r="O458" s="30" t="n">
        <v>1.807285859</v>
      </c>
      <c r="P458" s="30" t="n">
        <v>0</v>
      </c>
      <c r="Q458" s="30" t="inlineStr">
        <is>
          <t xml:space="preserve">German utility company </t>
        </is>
      </c>
      <c r="R458" s="30" t="inlineStr">
        <is>
          <t>USD</t>
        </is>
      </c>
      <c r="S458" s="30" t="inlineStr">
        <is>
          <t>Investment Grade</t>
        </is>
      </c>
      <c r="T458" s="30" t="inlineStr">
        <is>
          <t>A+</t>
        </is>
      </c>
      <c r="U458" s="30" t="inlineStr">
        <is>
          <t>A+</t>
        </is>
      </c>
      <c r="V458" s="30" t="n"/>
    </row>
    <row r="459">
      <c r="A459" s="30" t="inlineStr">
        <is>
          <t>CH1129053802</t>
        </is>
      </c>
      <c r="B459" s="30" t="inlineStr">
        <is>
          <t xml:space="preserve">Hold </t>
        </is>
      </c>
      <c r="C459" s="30" t="inlineStr">
        <is>
          <t>Citigroup Inc</t>
        </is>
      </c>
      <c r="D459" s="30" t="n">
        <v>0.25</v>
      </c>
      <c r="E459" s="30" t="inlineStr">
        <is>
          <t>Sr Unsecured</t>
        </is>
      </c>
      <c r="F459" s="30" t="inlineStr">
        <is>
          <t>30.08.2029</t>
        </is>
      </c>
      <c r="G459" s="30" t="inlineStr">
        <is>
          <t>United states</t>
        </is>
      </c>
      <c r="H459" s="30" t="inlineStr">
        <is>
          <t>Financial</t>
        </is>
      </c>
      <c r="I459" s="30" t="n">
        <v>5</v>
      </c>
      <c r="J459" s="30" t="n">
        <v>98.032</v>
      </c>
      <c r="K459" s="30" t="n">
        <v>0.734146</v>
      </c>
      <c r="L459" s="30" t="n">
        <v>0.005128</v>
      </c>
      <c r="M459" s="30" t="n">
        <v>0.059106</v>
      </c>
      <c r="N459" s="30" t="n">
        <v>65.06577256</v>
      </c>
      <c r="O459" s="30" t="n">
        <v>4.45301322</v>
      </c>
      <c r="P459" s="30" t="n">
        <v>0</v>
      </c>
      <c r="Q459" s="30" t="inlineStr">
        <is>
          <t>One of the largest US banks</t>
        </is>
      </c>
      <c r="R459" s="30" t="inlineStr">
        <is>
          <t>CHF</t>
        </is>
      </c>
      <c r="S459" s="30" t="inlineStr">
        <is>
          <t>Investment Grade</t>
        </is>
      </c>
      <c r="T459" s="30" t="inlineStr">
        <is>
          <t>A-</t>
        </is>
      </c>
      <c r="U459" s="30" t="inlineStr">
        <is>
          <t>A-</t>
        </is>
      </c>
      <c r="V459" s="30" t="n"/>
    </row>
    <row r="460">
      <c r="A460" s="30" t="inlineStr">
        <is>
          <t>XS2989779231</t>
        </is>
      </c>
      <c r="B460" s="30" t="inlineStr">
        <is>
          <t xml:space="preserve">Hold </t>
        </is>
      </c>
      <c r="C460" s="30" t="inlineStr">
        <is>
          <t>Corp Andina De Fomento</t>
        </is>
      </c>
      <c r="D460" s="30" t="n">
        <v>4.875</v>
      </c>
      <c r="E460" s="30" t="inlineStr">
        <is>
          <t>Sr Unsecured</t>
        </is>
      </c>
      <c r="F460" s="30" t="inlineStr">
        <is>
          <t>30.01.2030</t>
        </is>
      </c>
      <c r="G460" s="30" t="inlineStr">
        <is>
          <t>Supranational</t>
        </is>
      </c>
      <c r="H460" s="30" t="inlineStr">
        <is>
          <t>Government</t>
        </is>
      </c>
      <c r="I460" s="30" t="n">
        <v>100</v>
      </c>
      <c r="J460" s="30" t="n">
        <v>101.122</v>
      </c>
      <c r="K460" s="30" t="n">
        <v>4.538755</v>
      </c>
      <c r="L460" s="30" t="n">
        <v>0.020916</v>
      </c>
      <c r="M460" s="30" t="n">
        <v>-0.134491</v>
      </c>
      <c r="N460" s="30" t="n">
        <v>64.89257295</v>
      </c>
      <c r="O460" s="30" t="n">
        <v>4.277474726</v>
      </c>
      <c r="P460" s="30" t="n">
        <v>0</v>
      </c>
      <c r="Q460" s="30" t="inlineStr">
        <is>
          <t xml:space="preserve">A development bank </t>
        </is>
      </c>
      <c r="R460" s="30" t="inlineStr">
        <is>
          <t>GBP</t>
        </is>
      </c>
      <c r="S460" s="30" t="inlineStr">
        <is>
          <t>Investment Grade</t>
        </is>
      </c>
      <c r="T460" s="30" t="inlineStr">
        <is>
          <t>AA-</t>
        </is>
      </c>
      <c r="U460" s="30" t="inlineStr">
        <is>
          <t>AA-</t>
        </is>
      </c>
      <c r="V460" s="30" t="n"/>
    </row>
    <row r="461">
      <c r="A461" s="30" t="inlineStr">
        <is>
          <t>XS2197356186</t>
        </is>
      </c>
      <c r="B461" s="30" t="inlineStr">
        <is>
          <t xml:space="preserve">Hold </t>
        </is>
      </c>
      <c r="C461" s="30" t="inlineStr">
        <is>
          <t>Iren Spa</t>
        </is>
      </c>
      <c r="D461" s="30" t="n">
        <v>1</v>
      </c>
      <c r="E461" s="30" t="inlineStr">
        <is>
          <t>Sr Unsecured</t>
        </is>
      </c>
      <c r="F461" s="30" t="inlineStr">
        <is>
          <t>01.07.2030</t>
        </is>
      </c>
      <c r="G461" s="30" t="inlineStr">
        <is>
          <t>Italy</t>
        </is>
      </c>
      <c r="H461" s="30" t="inlineStr">
        <is>
          <t>Utilities</t>
        </is>
      </c>
      <c r="I461" s="30" t="n">
        <v>100</v>
      </c>
      <c r="J461" s="30" t="n">
        <v>91.114</v>
      </c>
      <c r="K461" s="30" t="n">
        <v>2.945117</v>
      </c>
      <c r="L461" s="30" t="n">
        <v>-0.040975</v>
      </c>
      <c r="M461" s="30" t="n">
        <v>-0.036124</v>
      </c>
      <c r="N461" s="30" t="n">
        <v>64.66525455999999</v>
      </c>
      <c r="O461" s="30" t="n">
        <v>5.040595991</v>
      </c>
      <c r="P461" s="30" t="n">
        <v>60</v>
      </c>
      <c r="Q461" s="30" t="inlineStr">
        <is>
          <t>Generates, distributes, and sells electricity and district heating</t>
        </is>
      </c>
      <c r="R461" s="30" t="inlineStr">
        <is>
          <t>EUR</t>
        </is>
      </c>
      <c r="S461" s="30" t="inlineStr">
        <is>
          <t>Investment Grade</t>
        </is>
      </c>
      <c r="T461" s="30" t="inlineStr">
        <is>
          <t>BBB</t>
        </is>
      </c>
      <c r="U461" s="30" t="inlineStr">
        <is>
          <t>BBB</t>
        </is>
      </c>
      <c r="V461" s="30" t="n"/>
    </row>
    <row r="462">
      <c r="A462" s="30" t="inlineStr">
        <is>
          <t>FR0010680041</t>
        </is>
      </c>
      <c r="B462" s="30" t="inlineStr">
        <is>
          <t>Hold</t>
        </is>
      </c>
      <c r="C462" s="30" t="inlineStr">
        <is>
          <t>Engie Sa</t>
        </is>
      </c>
      <c r="D462" s="30" t="n">
        <v>7</v>
      </c>
      <c r="E462" s="30" t="inlineStr">
        <is>
          <t>Sr Unsecured</t>
        </is>
      </c>
      <c r="F462" s="30" t="inlineStr">
        <is>
          <t>30.10.2028</t>
        </is>
      </c>
      <c r="G462" s="30" t="inlineStr">
        <is>
          <t>France</t>
        </is>
      </c>
      <c r="H462" s="30" t="inlineStr">
        <is>
          <t>Utilities</t>
        </is>
      </c>
      <c r="I462" s="30" t="n">
        <v>50</v>
      </c>
      <c r="J462" s="30" t="n">
        <v>107.605</v>
      </c>
      <c r="K462" s="30" t="n">
        <v>4.417602</v>
      </c>
      <c r="L462" s="30" t="n">
        <v>0.012373</v>
      </c>
      <c r="M462" s="30" t="n">
        <v>-0.199742</v>
      </c>
      <c r="N462" s="30" t="n">
        <v>64.64955980000001</v>
      </c>
      <c r="O462" s="30" t="n">
        <v>3.166735491</v>
      </c>
      <c r="P462" s="30" t="n">
        <v>75</v>
      </c>
      <c r="Q462" s="30" t="inlineStr">
        <is>
          <t>French utility company specialised in renewables</t>
        </is>
      </c>
      <c r="R462" s="30" t="inlineStr">
        <is>
          <t>GBP</t>
        </is>
      </c>
      <c r="S462" s="30" t="inlineStr">
        <is>
          <t>Investment Grade</t>
        </is>
      </c>
      <c r="T462" s="30" t="inlineStr">
        <is>
          <t>BBB+</t>
        </is>
      </c>
      <c r="U462" s="30" t="inlineStr">
        <is>
          <t>BBB+</t>
        </is>
      </c>
      <c r="V462" s="30" t="n"/>
    </row>
    <row r="463">
      <c r="A463" s="30" t="inlineStr">
        <is>
          <t>XS2586741543</t>
        </is>
      </c>
      <c r="B463" s="30" t="inlineStr">
        <is>
          <t>Top Pick</t>
        </is>
      </c>
      <c r="C463" s="30" t="inlineStr">
        <is>
          <t>Danske Bank A/S</t>
        </is>
      </c>
      <c r="D463" s="30" t="n">
        <v>4.625</v>
      </c>
      <c r="E463" s="30" t="inlineStr">
        <is>
          <t>Sr Preferred</t>
        </is>
      </c>
      <c r="F463" s="30" t="inlineStr">
        <is>
          <t>13.04.2027</t>
        </is>
      </c>
      <c r="G463" s="30" t="inlineStr">
        <is>
          <t>Denmark</t>
        </is>
      </c>
      <c r="H463" s="30" t="inlineStr">
        <is>
          <t>Financial</t>
        </is>
      </c>
      <c r="I463" s="30" t="n">
        <v>100</v>
      </c>
      <c r="J463" s="30" t="n">
        <v>100.1</v>
      </c>
      <c r="K463" s="30" t="n">
        <v>4.482826</v>
      </c>
      <c r="L463" s="30" t="n">
        <v>-0.069754</v>
      </c>
      <c r="M463" s="30" t="n">
        <v>-0.305296</v>
      </c>
      <c r="N463" s="30" t="n">
        <v>64.64000684</v>
      </c>
      <c r="O463" s="30" t="n">
        <v>1.073499308</v>
      </c>
      <c r="P463" s="30" t="n">
        <v>80</v>
      </c>
      <c r="Q463" s="30" t="inlineStr">
        <is>
          <t>One of the largest bank in Danmark</t>
        </is>
      </c>
      <c r="R463" s="30" t="inlineStr">
        <is>
          <t>GBP</t>
        </is>
      </c>
      <c r="S463" s="30" t="inlineStr">
        <is>
          <t>Investment Grade</t>
        </is>
      </c>
      <c r="T463" s="30" t="inlineStr">
        <is>
          <t>A+</t>
        </is>
      </c>
      <c r="U463" s="30" t="inlineStr">
        <is>
          <t>A+</t>
        </is>
      </c>
      <c r="V463" s="30" t="n"/>
    </row>
    <row r="464">
      <c r="A464" s="30" t="inlineStr">
        <is>
          <t>US606822BM52</t>
        </is>
      </c>
      <c r="B464" s="30" t="inlineStr">
        <is>
          <t>Hold</t>
        </is>
      </c>
      <c r="C464" s="30" t="inlineStr">
        <is>
          <t>Mitsubishi Ufj Fin Grp</t>
        </is>
      </c>
      <c r="D464" s="30" t="n">
        <v>3.195</v>
      </c>
      <c r="E464" s="30" t="inlineStr">
        <is>
          <t>Sr Unsecured</t>
        </is>
      </c>
      <c r="F464" s="30" t="inlineStr">
        <is>
          <t>18.07.2029</t>
        </is>
      </c>
      <c r="G464" s="30" t="inlineStr">
        <is>
          <t>Japan</t>
        </is>
      </c>
      <c r="H464" s="30" t="inlineStr">
        <is>
          <t>Financial</t>
        </is>
      </c>
      <c r="I464" s="30" t="n">
        <v>200</v>
      </c>
      <c r="J464" s="30" t="n">
        <v>95.11799999999999</v>
      </c>
      <c r="K464" s="30" t="n">
        <v>4.53439</v>
      </c>
      <c r="L464" s="30" t="n">
        <v>0.051521</v>
      </c>
      <c r="M464" s="30" t="n">
        <v>-0.127109</v>
      </c>
      <c r="N464" s="30" t="n">
        <v>64.49836843</v>
      </c>
      <c r="O464" s="30" t="n">
        <v>4.023910331</v>
      </c>
      <c r="P464" s="30" t="n">
        <v>0</v>
      </c>
      <c r="Q464" s="30" t="inlineStr">
        <is>
          <t>A holding company of Mitsubishi Tokyo and UFJ</t>
        </is>
      </c>
      <c r="R464" s="30" t="inlineStr">
        <is>
          <t>USD</t>
        </is>
      </c>
      <c r="S464" s="30" t="inlineStr">
        <is>
          <t>Investment Grade</t>
        </is>
      </c>
      <c r="T464" s="30" t="inlineStr">
        <is>
          <t>A-</t>
        </is>
      </c>
      <c r="U464" s="30" t="inlineStr">
        <is>
          <t>A-</t>
        </is>
      </c>
      <c r="V464" s="30" t="n"/>
    </row>
    <row r="465">
      <c r="A465" s="30" t="inlineStr">
        <is>
          <t>XS2577053825</t>
        </is>
      </c>
      <c r="B465" s="30" t="inlineStr">
        <is>
          <t>Hold</t>
        </is>
      </c>
      <c r="C465" s="30" t="inlineStr">
        <is>
          <t>Unicredit Spa</t>
        </is>
      </c>
      <c r="D465" s="30" t="n">
        <v>4.8</v>
      </c>
      <c r="E465" s="30" t="inlineStr">
        <is>
          <t>Sr Preferred</t>
        </is>
      </c>
      <c r="F465" s="30" t="inlineStr">
        <is>
          <t>17.01.2029</t>
        </is>
      </c>
      <c r="G465" s="30" t="inlineStr">
        <is>
          <t>Italy</t>
        </is>
      </c>
      <c r="H465" s="30" t="inlineStr">
        <is>
          <t>Financial</t>
        </is>
      </c>
      <c r="I465" s="30" t="n">
        <v>100</v>
      </c>
      <c r="J465" s="30" t="n">
        <v>105.599</v>
      </c>
      <c r="K465" s="30" t="n">
        <v>2.480105</v>
      </c>
      <c r="L465" s="30" t="n">
        <v>-0.050603</v>
      </c>
      <c r="M465" s="30" t="n">
        <v>-0.02105</v>
      </c>
      <c r="N465" s="30" t="n">
        <v>64.45403387</v>
      </c>
      <c r="O465" s="30" t="n">
        <v>2.688204412</v>
      </c>
      <c r="P465" s="30" t="n">
        <v>60</v>
      </c>
      <c r="Q465" s="30" t="inlineStr">
        <is>
          <t>One of the largest bank in italy</t>
        </is>
      </c>
      <c r="R465" s="30" t="inlineStr">
        <is>
          <t>EUR</t>
        </is>
      </c>
      <c r="S465" s="30" t="inlineStr">
        <is>
          <t>Investment Grade</t>
        </is>
      </c>
      <c r="T465" s="30" t="inlineStr">
        <is>
          <t>BBB+</t>
        </is>
      </c>
      <c r="U465" s="30" t="inlineStr">
        <is>
          <t>BBB</t>
        </is>
      </c>
      <c r="V465" s="30" t="n"/>
    </row>
    <row r="466">
      <c r="A466" s="30" t="inlineStr">
        <is>
          <t>US855244BF54</t>
        </is>
      </c>
      <c r="B466" s="30" t="inlineStr">
        <is>
          <t>Top Pick</t>
        </is>
      </c>
      <c r="C466" s="30" t="inlineStr">
        <is>
          <t>Starbucks Corp</t>
        </is>
      </c>
      <c r="D466" s="30" t="n">
        <v>4.8</v>
      </c>
      <c r="E466" s="30" t="inlineStr">
        <is>
          <t>Sr Unsecured</t>
        </is>
      </c>
      <c r="F466" s="30" t="inlineStr">
        <is>
          <t>15.02.2033</t>
        </is>
      </c>
      <c r="G466" s="30" t="inlineStr">
        <is>
          <t>United states</t>
        </is>
      </c>
      <c r="H466" s="30" t="inlineStr">
        <is>
          <t>Consumer, Cyclical</t>
        </is>
      </c>
      <c r="I466" s="30" t="n">
        <v>2</v>
      </c>
      <c r="J466" s="30" t="n">
        <v>99.72799999999999</v>
      </c>
      <c r="K466" s="30" t="n">
        <v>4.842525</v>
      </c>
      <c r="L466" s="30" t="n">
        <v>0.01184</v>
      </c>
      <c r="M466" s="30" t="n">
        <v>-0.197754</v>
      </c>
      <c r="N466" s="30" t="n">
        <v>64.43241729</v>
      </c>
      <c r="O466" s="30" t="n">
        <v>6.545592383</v>
      </c>
      <c r="P466" s="30" t="n">
        <v>85</v>
      </c>
      <c r="Q466" s="30" t="inlineStr">
        <is>
          <t xml:space="preserve">US leading coffee chain </t>
        </is>
      </c>
      <c r="R466" s="30" t="inlineStr">
        <is>
          <t>USD</t>
        </is>
      </c>
      <c r="S466" s="30" t="inlineStr">
        <is>
          <t>Investment Grade</t>
        </is>
      </c>
      <c r="T466" s="30" t="inlineStr">
        <is>
          <t>BBB+</t>
        </is>
      </c>
      <c r="U466" s="30" t="inlineStr">
        <is>
          <t>BBB+</t>
        </is>
      </c>
      <c r="V466" s="30" t="n"/>
    </row>
    <row r="467">
      <c r="A467" s="30" t="inlineStr">
        <is>
          <t>US10373QBU31</t>
        </is>
      </c>
      <c r="B467" s="30" t="inlineStr">
        <is>
          <t>Hold</t>
        </is>
      </c>
      <c r="C467" s="30" t="inlineStr">
        <is>
          <t>Bp Cap Markets America</t>
        </is>
      </c>
      <c r="D467" s="30" t="n">
        <v>4.812</v>
      </c>
      <c r="E467" s="30" t="inlineStr">
        <is>
          <t>Sr Unsecured</t>
        </is>
      </c>
      <c r="F467" s="30" t="inlineStr">
        <is>
          <t>13.02.2033</t>
        </is>
      </c>
      <c r="G467" s="30" t="inlineStr">
        <is>
          <t>United states</t>
        </is>
      </c>
      <c r="H467" s="30" t="inlineStr">
        <is>
          <t>Energy</t>
        </is>
      </c>
      <c r="I467" s="30" t="n">
        <v>1</v>
      </c>
      <c r="J467" s="30" t="n">
        <v>99.80800000000001</v>
      </c>
      <c r="K467" s="30" t="n">
        <v>4.841709</v>
      </c>
      <c r="L467" s="30" t="n">
        <v>-0.043</v>
      </c>
      <c r="M467" s="30" t="n">
        <v>-0.225016</v>
      </c>
      <c r="N467" s="30" t="n">
        <v>64.38744889</v>
      </c>
      <c r="O467" s="30" t="n">
        <v>6.518460308</v>
      </c>
      <c r="P467" s="30" t="n">
        <v>80</v>
      </c>
      <c r="Q467" s="30" t="inlineStr">
        <is>
          <t>Leading oil and gas company</t>
        </is>
      </c>
      <c r="R467" s="30" t="inlineStr">
        <is>
          <t>USD</t>
        </is>
      </c>
      <c r="S467" s="30" t="inlineStr">
        <is>
          <t>Investment Grade</t>
        </is>
      </c>
      <c r="T467" s="30" t="inlineStr">
        <is>
          <t>A</t>
        </is>
      </c>
      <c r="U467" s="30" t="inlineStr">
        <is>
          <t>A</t>
        </is>
      </c>
      <c r="V467" s="30" t="n"/>
    </row>
    <row r="468">
      <c r="A468" s="30" t="inlineStr">
        <is>
          <t>CH1291809908</t>
        </is>
      </c>
      <c r="B468" s="30" t="inlineStr">
        <is>
          <t>Hold</t>
        </is>
      </c>
      <c r="C468" s="30" t="inlineStr">
        <is>
          <t>Electricite De France Sa</t>
        </is>
      </c>
      <c r="D468" s="30" t="n">
        <v>2.3</v>
      </c>
      <c r="E468" s="30" t="inlineStr">
        <is>
          <t>Sr Unsecured</t>
        </is>
      </c>
      <c r="F468" s="30" t="inlineStr">
        <is>
          <t>14.09.2027</t>
        </is>
      </c>
      <c r="G468" s="30" t="inlineStr">
        <is>
          <t>France</t>
        </is>
      </c>
      <c r="H468" s="30" t="inlineStr">
        <is>
          <t>Utilities</t>
        </is>
      </c>
      <c r="I468" s="30" t="n">
        <v>5</v>
      </c>
      <c r="J468" s="30" t="n">
        <v>103.695</v>
      </c>
      <c r="K468" s="30" t="n">
        <v>0.588896</v>
      </c>
      <c r="L468" s="30" t="n">
        <v>0.021138</v>
      </c>
      <c r="M468" s="30" t="n">
        <v>0.107554</v>
      </c>
      <c r="N468" s="30" t="n">
        <v>64.26351345</v>
      </c>
      <c r="O468" s="30" t="n">
        <v>2.469230223</v>
      </c>
      <c r="P468" s="30" t="n">
        <v>60</v>
      </c>
      <c r="Q468" s="30" t="inlineStr">
        <is>
          <t>French utility company fully owned by the State</t>
        </is>
      </c>
      <c r="R468" s="30" t="inlineStr">
        <is>
          <t>CHF</t>
        </is>
      </c>
      <c r="S468" s="30" t="inlineStr">
        <is>
          <t>Investment Grade</t>
        </is>
      </c>
      <c r="T468" s="30" t="inlineStr">
        <is>
          <t>BBB</t>
        </is>
      </c>
      <c r="U468" s="30" t="inlineStr">
        <is>
          <t>BBB</t>
        </is>
      </c>
      <c r="V468" s="30" t="n"/>
    </row>
    <row r="469">
      <c r="A469" s="30" t="inlineStr">
        <is>
          <t>CH1230759552</t>
        </is>
      </c>
      <c r="B469" s="30" t="inlineStr">
        <is>
          <t xml:space="preserve">Hold </t>
        </is>
      </c>
      <c r="C469" s="30" t="inlineStr">
        <is>
          <t>Royal Bank Of Canada</t>
        </is>
      </c>
      <c r="D469" s="30" t="n">
        <v>2.445</v>
      </c>
      <c r="E469" s="30" t="inlineStr">
        <is>
          <t>Sr Unsecured</t>
        </is>
      </c>
      <c r="F469" s="30" t="inlineStr">
        <is>
          <t>25.01.2028</t>
        </is>
      </c>
      <c r="G469" s="30" t="inlineStr">
        <is>
          <t>Canada</t>
        </is>
      </c>
      <c r="H469" s="30" t="inlineStr">
        <is>
          <t>Financial</t>
        </is>
      </c>
      <c r="I469" s="30" t="n">
        <v>5</v>
      </c>
      <c r="J469" s="30" t="n">
        <v>104.607</v>
      </c>
      <c r="K469" s="30" t="n">
        <v>0.614113</v>
      </c>
      <c r="L469" s="30" t="n">
        <v>-0.022257</v>
      </c>
      <c r="M469" s="30" t="n">
        <v>0.196368</v>
      </c>
      <c r="N469" s="30" t="n">
        <v>64.164053</v>
      </c>
      <c r="O469" s="30" t="n">
        <v>2.829676746</v>
      </c>
      <c r="P469" s="30" t="n">
        <v>80</v>
      </c>
      <c r="Q469" s="30" t="inlineStr">
        <is>
          <t>Canada's largest bank</t>
        </is>
      </c>
      <c r="R469" s="30" t="inlineStr">
        <is>
          <t>CHF</t>
        </is>
      </c>
      <c r="S469" s="30" t="inlineStr">
        <is>
          <t>Investment Grade</t>
        </is>
      </c>
      <c r="T469" s="30" t="inlineStr">
        <is>
          <t>A+</t>
        </is>
      </c>
      <c r="U469" s="30" t="inlineStr">
        <is>
          <t>A+</t>
        </is>
      </c>
      <c r="V469" s="30" t="n"/>
    </row>
    <row r="470">
      <c r="A470" s="30" t="inlineStr">
        <is>
          <t>XS2405871570</t>
        </is>
      </c>
      <c r="B470" s="30" t="inlineStr">
        <is>
          <t xml:space="preserve">Hold </t>
        </is>
      </c>
      <c r="C470" s="30" t="inlineStr">
        <is>
          <t>Singapore Airlines Ltd</t>
        </is>
      </c>
      <c r="D470" s="30" t="n">
        <v>3.375</v>
      </c>
      <c r="E470" s="30" t="inlineStr">
        <is>
          <t>Sr Unsecured</t>
        </is>
      </c>
      <c r="F470" s="30" t="inlineStr">
        <is>
          <t>19.01.2029</t>
        </is>
      </c>
      <c r="G470" s="30" t="inlineStr">
        <is>
          <t>Singapore</t>
        </is>
      </c>
      <c r="H470" s="30" t="inlineStr">
        <is>
          <t>Consumer, Cyclical</t>
        </is>
      </c>
      <c r="I470" s="30" t="n">
        <v>200</v>
      </c>
      <c r="J470" s="30" t="n">
        <v>96.312</v>
      </c>
      <c r="K470" s="30" t="n">
        <v>4.517359</v>
      </c>
      <c r="L470" s="30" t="n">
        <v>0.126756</v>
      </c>
      <c r="M470" s="30" t="n">
        <v>-0.021927</v>
      </c>
      <c r="N470" s="30" t="n">
        <v>64.04648627</v>
      </c>
      <c r="O470" s="30" t="n">
        <v>3.587481194</v>
      </c>
      <c r="P470" s="30" t="n">
        <v>0</v>
      </c>
      <c r="Q470" s="30" t="inlineStr">
        <is>
          <t xml:space="preserve">Flag carrier airline of Singapore </t>
        </is>
      </c>
      <c r="R470" s="30" t="inlineStr">
        <is>
          <t>USD</t>
        </is>
      </c>
      <c r="S470" s="30" t="inlineStr">
        <is>
          <t>High Yield</t>
        </is>
      </c>
      <c r="T470" s="30" t="inlineStr">
        <is>
          <t>#N/A N/A</t>
        </is>
      </c>
      <c r="U470" s="30" t="inlineStr">
        <is>
          <t>#N/A N/A</t>
        </is>
      </c>
      <c r="V470" s="30" t="n"/>
    </row>
    <row r="471">
      <c r="A471" s="30" t="inlineStr">
        <is>
          <t>XS2578939527</t>
        </is>
      </c>
      <c r="B471" s="30" t="inlineStr">
        <is>
          <t xml:space="preserve">Hold </t>
        </is>
      </c>
      <c r="C471" s="30" t="inlineStr">
        <is>
          <t>Royal Bank Of Canada</t>
        </is>
      </c>
      <c r="D471" s="30" t="n">
        <v>5</v>
      </c>
      <c r="E471" s="30" t="inlineStr">
        <is>
          <t>Sr Unsecured</t>
        </is>
      </c>
      <c r="F471" s="30" t="inlineStr">
        <is>
          <t>24.01.2028</t>
        </is>
      </c>
      <c r="G471" s="30" t="inlineStr">
        <is>
          <t>Canada</t>
        </is>
      </c>
      <c r="H471" s="30" t="inlineStr">
        <is>
          <t>Financial</t>
        </is>
      </c>
      <c r="I471" s="30" t="n">
        <v>100</v>
      </c>
      <c r="J471" s="30" t="n">
        <v>101.352</v>
      </c>
      <c r="K471" s="30" t="n">
        <v>4.368341</v>
      </c>
      <c r="L471" s="30" t="n">
        <v>-0.038376</v>
      </c>
      <c r="M471" s="30" t="n">
        <v>-0.271049</v>
      </c>
      <c r="N471" s="30" t="n">
        <v>63.99615688</v>
      </c>
      <c r="O471" s="30" t="n">
        <v>2.650592667</v>
      </c>
      <c r="P471" s="30" t="n">
        <v>80</v>
      </c>
      <c r="Q471" s="30" t="inlineStr">
        <is>
          <t> </t>
        </is>
      </c>
      <c r="R471" s="30" t="inlineStr">
        <is>
          <t>GBP</t>
        </is>
      </c>
      <c r="S471" s="30" t="inlineStr">
        <is>
          <t>Investment Grade</t>
        </is>
      </c>
      <c r="T471" s="30" t="inlineStr">
        <is>
          <t>A+</t>
        </is>
      </c>
      <c r="U471" s="30" t="inlineStr">
        <is>
          <t>A+</t>
        </is>
      </c>
      <c r="V471" s="30" t="n"/>
    </row>
    <row r="472">
      <c r="A472" s="30" t="inlineStr">
        <is>
          <t>PTBSSLOM0002</t>
        </is>
      </c>
      <c r="B472" s="30" t="inlineStr">
        <is>
          <t>Hold</t>
        </is>
      </c>
      <c r="C472" s="30" t="inlineStr">
        <is>
          <t>Brisa Concessao Rodov Sa</t>
        </is>
      </c>
      <c r="D472" s="30" t="n">
        <v>2.375</v>
      </c>
      <c r="E472" s="30" t="inlineStr">
        <is>
          <t>1St Lien</t>
        </is>
      </c>
      <c r="F472" s="30" t="inlineStr">
        <is>
          <t>10.05.2027</t>
        </is>
      </c>
      <c r="G472" s="30" t="inlineStr">
        <is>
          <t>Portugal</t>
        </is>
      </c>
      <c r="H472" s="30" t="inlineStr">
        <is>
          <t>Consumer, Non-cyclical</t>
        </is>
      </c>
      <c r="I472" s="30" t="n">
        <v>100</v>
      </c>
      <c r="J472" s="30" t="n">
        <v>99.76900000000001</v>
      </c>
      <c r="K472" s="30" t="n">
        <v>2.503056</v>
      </c>
      <c r="L472" s="30" t="n">
        <v>-0.025385</v>
      </c>
      <c r="M472" s="30" t="n">
        <v>-0.005595</v>
      </c>
      <c r="N472" s="30" t="n">
        <v>63.84713479</v>
      </c>
      <c r="O472" s="30" t="n">
        <v>2.079729788</v>
      </c>
      <c r="P472" s="30" t="n">
        <v>70</v>
      </c>
      <c r="Q472" s="30" t="inlineStr">
        <is>
          <t xml:space="preserve">Operates network of motorways in Portugal </t>
        </is>
      </c>
      <c r="R472" s="30" t="inlineStr">
        <is>
          <t>EUR</t>
        </is>
      </c>
      <c r="S472" s="30" t="inlineStr">
        <is>
          <t>Investment Grade</t>
        </is>
      </c>
      <c r="T472" s="30" t="inlineStr">
        <is>
          <t>A-</t>
        </is>
      </c>
      <c r="U472" s="30" t="inlineStr">
        <is>
          <t>A-</t>
        </is>
      </c>
      <c r="V472" s="30" t="n"/>
    </row>
    <row r="473">
      <c r="A473" s="30" t="inlineStr">
        <is>
          <t>CH1227937716</t>
        </is>
      </c>
      <c r="B473" s="30" t="inlineStr">
        <is>
          <t>Hold</t>
        </is>
      </c>
      <c r="C473" s="30" t="inlineStr">
        <is>
          <t>Bnp Paribas</t>
        </is>
      </c>
      <c r="D473" s="30" t="n">
        <v>2.4125</v>
      </c>
      <c r="E473" s="30" t="inlineStr">
        <is>
          <t>Sr Preferred</t>
        </is>
      </c>
      <c r="F473" s="30" t="inlineStr">
        <is>
          <t>13.01.2028</t>
        </is>
      </c>
      <c r="G473" s="30" t="inlineStr">
        <is>
          <t>France</t>
        </is>
      </c>
      <c r="H473" s="30" t="inlineStr">
        <is>
          <t>Financial</t>
        </is>
      </c>
      <c r="I473" s="30" t="n">
        <v>200</v>
      </c>
      <c r="J473" s="30" t="n">
        <v>104.484</v>
      </c>
      <c r="K473" s="30" t="n">
        <v>0.607043</v>
      </c>
      <c r="L473" s="30" t="n">
        <v>0.01916</v>
      </c>
      <c r="M473" s="30" t="n">
        <v>0.132654</v>
      </c>
      <c r="N473" s="30" t="n">
        <v>63.64684035</v>
      </c>
      <c r="O473" s="30" t="n">
        <v>2.793056158</v>
      </c>
      <c r="P473" s="30" t="n">
        <v>80</v>
      </c>
      <c r="Q473" s="30" t="inlineStr">
        <is>
          <t>France's largest bank with a world leading position</t>
        </is>
      </c>
      <c r="R473" s="30" t="inlineStr">
        <is>
          <t>CHF</t>
        </is>
      </c>
      <c r="S473" s="30" t="inlineStr">
        <is>
          <t>Investment Grade</t>
        </is>
      </c>
      <c r="T473" s="30" t="inlineStr">
        <is>
          <t>A+</t>
        </is>
      </c>
      <c r="U473" s="30" t="inlineStr">
        <is>
          <t>A+</t>
        </is>
      </c>
      <c r="V473" s="30" t="n"/>
    </row>
    <row r="474">
      <c r="A474" s="30" t="inlineStr">
        <is>
          <t>XS2353182293</t>
        </is>
      </c>
      <c r="B474" s="30" t="inlineStr">
        <is>
          <t>Hold</t>
        </is>
      </c>
      <c r="C474" s="30" t="inlineStr">
        <is>
          <t>Enel Finance Intl Nv</t>
        </is>
      </c>
      <c r="D474" s="30" t="n">
        <v>0.75</v>
      </c>
      <c r="E474" s="30" t="inlineStr">
        <is>
          <t>Sr Unsecured</t>
        </is>
      </c>
      <c r="F474" s="30" t="inlineStr">
        <is>
          <t>17.06.2030</t>
        </is>
      </c>
      <c r="G474" s="30" t="inlineStr">
        <is>
          <t>Italy</t>
        </is>
      </c>
      <c r="H474" s="30" t="inlineStr">
        <is>
          <t>Utilities</t>
        </is>
      </c>
      <c r="I474" s="30" t="n">
        <v>100</v>
      </c>
      <c r="J474" s="30" t="n">
        <v>90.102</v>
      </c>
      <c r="K474" s="30" t="n">
        <v>2.931136</v>
      </c>
      <c r="L474" s="30" t="n">
        <v>-0.042686</v>
      </c>
      <c r="M474" s="30" t="n">
        <v>-0.046118</v>
      </c>
      <c r="N474" s="30" t="n">
        <v>63.63246601</v>
      </c>
      <c r="O474" s="30" t="n">
        <v>5.033902936</v>
      </c>
      <c r="P474" s="30" t="n">
        <v>60</v>
      </c>
      <c r="Q474" s="30" t="inlineStr">
        <is>
          <t xml:space="preserve">Italian utility company </t>
        </is>
      </c>
      <c r="R474" s="30" t="inlineStr">
        <is>
          <t>EUR</t>
        </is>
      </c>
      <c r="S474" s="30" t="inlineStr">
        <is>
          <t>Investment Grade</t>
        </is>
      </c>
      <c r="T474" s="30" t="inlineStr">
        <is>
          <t>BBB</t>
        </is>
      </c>
      <c r="U474" s="30" t="inlineStr">
        <is>
          <t>BBB</t>
        </is>
      </c>
      <c r="V474" s="30" t="n"/>
    </row>
    <row r="475">
      <c r="A475" s="30" t="inlineStr">
        <is>
          <t>XS2997425637</t>
        </is>
      </c>
      <c r="B475" s="30" t="inlineStr">
        <is>
          <t xml:space="preserve">Hold </t>
        </is>
      </c>
      <c r="C475" s="30" t="inlineStr">
        <is>
          <t>Central American Bank</t>
        </is>
      </c>
      <c r="D475" s="30" t="n">
        <v>4.625</v>
      </c>
      <c r="E475" s="30" t="inlineStr">
        <is>
          <t>Sr Unsecured</t>
        </is>
      </c>
      <c r="F475" s="30" t="inlineStr">
        <is>
          <t>14.02.2028</t>
        </is>
      </c>
      <c r="G475" s="30" t="inlineStr">
        <is>
          <t>Supranational</t>
        </is>
      </c>
      <c r="H475" s="30" t="inlineStr">
        <is>
          <t>Government</t>
        </is>
      </c>
      <c r="I475" s="30" t="n">
        <v>100</v>
      </c>
      <c r="J475" s="30" t="n">
        <v>100.488</v>
      </c>
      <c r="K475" s="30" t="n">
        <v>4.365092</v>
      </c>
      <c r="L475" s="30" t="n">
        <v>0.010547</v>
      </c>
      <c r="M475" s="30" t="n">
        <v>-0.136279</v>
      </c>
      <c r="N475" s="30" t="n">
        <v>63.59861123</v>
      </c>
      <c r="O475" s="30" t="n">
        <v>2.711967117</v>
      </c>
      <c r="P475" s="30" t="n">
        <v>0</v>
      </c>
      <c r="Q475" s="30" t="inlineStr">
        <is>
          <t xml:space="preserve">A development bank </t>
        </is>
      </c>
      <c r="R475" s="30" t="inlineStr">
        <is>
          <t>GBP</t>
        </is>
      </c>
      <c r="S475" s="30" t="inlineStr">
        <is>
          <t>Investment Grade</t>
        </is>
      </c>
      <c r="T475" s="30" t="inlineStr">
        <is>
          <t>AA-</t>
        </is>
      </c>
      <c r="U475" s="30" t="inlineStr">
        <is>
          <t>AA-</t>
        </is>
      </c>
      <c r="V475" s="30" t="n"/>
    </row>
    <row r="476">
      <c r="A476" s="30" t="inlineStr">
        <is>
          <t>US571903BR30</t>
        </is>
      </c>
      <c r="B476" s="30" t="inlineStr">
        <is>
          <t>Top Pick</t>
        </is>
      </c>
      <c r="C476" s="30" t="inlineStr">
        <is>
          <t>Marriott International</t>
        </is>
      </c>
      <c r="D476" s="30" t="n">
        <v>4.8</v>
      </c>
      <c r="E476" s="30" t="inlineStr">
        <is>
          <t>Sr Unsecured</t>
        </is>
      </c>
      <c r="F476" s="30" t="inlineStr">
        <is>
          <t>15.03.2030</t>
        </is>
      </c>
      <c r="G476" s="30" t="inlineStr">
        <is>
          <t>United states</t>
        </is>
      </c>
      <c r="H476" s="30" t="inlineStr">
        <is>
          <t>Consumer, Cyclical</t>
        </is>
      </c>
      <c r="I476" s="30" t="n">
        <v>2</v>
      </c>
      <c r="J476" s="30" t="n">
        <v>100.975</v>
      </c>
      <c r="K476" s="30" t="n">
        <v>4.561961</v>
      </c>
      <c r="L476" s="30" t="n">
        <v>-0.035045</v>
      </c>
      <c r="M476" s="30" t="n">
        <v>-0.210946</v>
      </c>
      <c r="N476" s="30" t="n">
        <v>63.51741831</v>
      </c>
      <c r="O476" s="30" t="n">
        <v>4.333169172</v>
      </c>
      <c r="P476" s="30" t="n">
        <v>0</v>
      </c>
      <c r="Q476" s="30" t="inlineStr">
        <is>
          <t>Worldwide operator and franchisor of hotels</t>
        </is>
      </c>
      <c r="R476" s="30" t="inlineStr">
        <is>
          <t>USD</t>
        </is>
      </c>
      <c r="S476" s="30" t="inlineStr">
        <is>
          <t>Investment Grade</t>
        </is>
      </c>
      <c r="T476" s="30" t="inlineStr">
        <is>
          <t>BBB</t>
        </is>
      </c>
      <c r="U476" s="30" t="inlineStr">
        <is>
          <t>BBB</t>
        </is>
      </c>
      <c r="V476" s="30" t="n"/>
    </row>
    <row r="477">
      <c r="A477" s="30" t="inlineStr">
        <is>
          <t>US713448FT00</t>
        </is>
      </c>
      <c r="B477" s="30" t="inlineStr">
        <is>
          <t>Hold</t>
        </is>
      </c>
      <c r="C477" s="30" t="inlineStr">
        <is>
          <t>Pepsico Inc</t>
        </is>
      </c>
      <c r="D477" s="30" t="n">
        <v>4.65</v>
      </c>
      <c r="E477" s="30" t="inlineStr">
        <is>
          <t>Sr Unsecured</t>
        </is>
      </c>
      <c r="F477" s="30" t="inlineStr">
        <is>
          <t>15.02.2053</t>
        </is>
      </c>
      <c r="G477" s="30" t="inlineStr">
        <is>
          <t>United states</t>
        </is>
      </c>
      <c r="H477" s="30" t="inlineStr">
        <is>
          <t>Consumer, Non-cyclical</t>
        </is>
      </c>
      <c r="I477" s="30" t="n">
        <v>2</v>
      </c>
      <c r="J477" s="30" t="n">
        <v>87.83</v>
      </c>
      <c r="K477" s="30" t="n">
        <v>5.512944</v>
      </c>
      <c r="L477" s="30" t="n">
        <v>-0.026482</v>
      </c>
      <c r="M477" s="30" t="n">
        <v>-0.118385</v>
      </c>
      <c r="N477" s="30" t="n">
        <v>63.36401601</v>
      </c>
      <c r="O477" s="30" t="n">
        <v>14.72037005</v>
      </c>
      <c r="P477" s="30" t="n">
        <v>80</v>
      </c>
      <c r="Q477" s="30" t="inlineStr">
        <is>
          <t>One of the world leaders in snack foods and beverages</t>
        </is>
      </c>
      <c r="R477" s="30" t="inlineStr">
        <is>
          <t>USD</t>
        </is>
      </c>
      <c r="S477" s="30" t="inlineStr">
        <is>
          <t>Investment Grade</t>
        </is>
      </c>
      <c r="T477" s="30" t="inlineStr">
        <is>
          <t>A+</t>
        </is>
      </c>
      <c r="U477" s="30" t="inlineStr">
        <is>
          <t>A+</t>
        </is>
      </c>
      <c r="V477" s="30" t="n"/>
    </row>
    <row r="478">
      <c r="A478" s="30" t="inlineStr">
        <is>
          <t>XS2594990892</t>
        </is>
      </c>
      <c r="B478" s="30" t="inlineStr">
        <is>
          <t>Hold</t>
        </is>
      </c>
      <c r="C478" s="30" t="inlineStr">
        <is>
          <t>Mizuho Financial Group</t>
        </is>
      </c>
      <c r="D478" s="30" t="n">
        <v>5.628</v>
      </c>
      <c r="E478" s="30" t="inlineStr">
        <is>
          <t>Sr Unsecured</t>
        </is>
      </c>
      <c r="F478" s="30" t="inlineStr">
        <is>
          <t>13.06.2028</t>
        </is>
      </c>
      <c r="G478" s="30" t="inlineStr">
        <is>
          <t>Japan</t>
        </is>
      </c>
      <c r="H478" s="30" t="inlineStr">
        <is>
          <t>Financial</t>
        </is>
      </c>
      <c r="I478" s="30" t="n">
        <v>100</v>
      </c>
      <c r="J478" s="30" t="n">
        <v>103.24</v>
      </c>
      <c r="K478" s="30" t="n">
        <v>4.373877</v>
      </c>
      <c r="L478" s="30" t="n">
        <v>-0.074587</v>
      </c>
      <c r="M478" s="30" t="n">
        <v>-0.364168</v>
      </c>
      <c r="N478" s="30" t="n">
        <v>63.33281444</v>
      </c>
      <c r="O478" s="30" t="n">
        <v>2.855649514</v>
      </c>
      <c r="P478" s="30" t="n">
        <v>85</v>
      </c>
      <c r="Q478" s="30" t="inlineStr">
        <is>
          <t>One of the largest banks in Japan</t>
        </is>
      </c>
      <c r="R478" s="30" t="inlineStr">
        <is>
          <t>GBP</t>
        </is>
      </c>
      <c r="S478" s="30" t="inlineStr">
        <is>
          <t>Investment Grade</t>
        </is>
      </c>
      <c r="T478" s="30" t="inlineStr">
        <is>
          <t>A</t>
        </is>
      </c>
      <c r="U478" s="30" t="inlineStr">
        <is>
          <t>A</t>
        </is>
      </c>
      <c r="V478" s="30" t="n"/>
    </row>
    <row r="479">
      <c r="A479" s="30" t="inlineStr">
        <is>
          <t>XS2826616596</t>
        </is>
      </c>
      <c r="B479" s="30" t="inlineStr">
        <is>
          <t xml:space="preserve">Hold </t>
        </is>
      </c>
      <c r="C479" s="30" t="inlineStr">
        <is>
          <t>Cellnex Finance Co Sa</t>
        </is>
      </c>
      <c r="D479" s="30" t="n">
        <v>3.625</v>
      </c>
      <c r="E479" s="30" t="inlineStr">
        <is>
          <t>Sr Unsecured</t>
        </is>
      </c>
      <c r="F479" s="30" t="inlineStr">
        <is>
          <t>24.01.2029</t>
        </is>
      </c>
      <c r="G479" s="30" t="inlineStr">
        <is>
          <t>Spain</t>
        </is>
      </c>
      <c r="H479" s="30" t="inlineStr">
        <is>
          <t>Industrial</t>
        </is>
      </c>
      <c r="I479" s="30" t="n">
        <v>100</v>
      </c>
      <c r="J479" s="30" t="n">
        <v>102.848</v>
      </c>
      <c r="K479" s="30" t="n">
        <v>2.708553</v>
      </c>
      <c r="L479" s="30" t="n">
        <v>-0.139399</v>
      </c>
      <c r="M479" s="30" t="n">
        <v>-0.138962</v>
      </c>
      <c r="N479" s="30" t="n">
        <v>63.32618383</v>
      </c>
      <c r="O479" s="30" t="n">
        <v>3.384627114</v>
      </c>
      <c r="P479" s="30" t="n">
        <v>85</v>
      </c>
      <c r="Q479" s="30" t="inlineStr">
        <is>
          <t>Europe's largest telecom tower operator</t>
        </is>
      </c>
      <c r="R479" s="30" t="inlineStr">
        <is>
          <t>EUR</t>
        </is>
      </c>
      <c r="S479" s="30" t="inlineStr">
        <is>
          <t>Investment Grade</t>
        </is>
      </c>
      <c r="T479" s="30" t="inlineStr">
        <is>
          <t>BBB-</t>
        </is>
      </c>
      <c r="U479" s="30" t="inlineStr">
        <is>
          <t>BBB-</t>
        </is>
      </c>
      <c r="V479" s="30" t="n"/>
    </row>
    <row r="480">
      <c r="A480" s="30" t="inlineStr">
        <is>
          <t>XS2592301365</t>
        </is>
      </c>
      <c r="B480" s="30" t="inlineStr">
        <is>
          <t>Hold</t>
        </is>
      </c>
      <c r="C480" s="30" t="inlineStr">
        <is>
          <t>Tesco Corp Treasury Serv</t>
        </is>
      </c>
      <c r="D480" s="30" t="n">
        <v>4.25</v>
      </c>
      <c r="E480" s="30" t="inlineStr">
        <is>
          <t>Sr Unsecured</t>
        </is>
      </c>
      <c r="F480" s="30" t="inlineStr">
        <is>
          <t>27.02.2031</t>
        </is>
      </c>
      <c r="G480" s="30" t="inlineStr">
        <is>
          <t>United Kingdom</t>
        </is>
      </c>
      <c r="H480" s="30" t="inlineStr">
        <is>
          <t>Consumer, Non-cyclical</t>
        </is>
      </c>
      <c r="I480" s="30" t="n">
        <v>100</v>
      </c>
      <c r="J480" s="30" t="n">
        <v>106.084</v>
      </c>
      <c r="K480" s="30" t="n">
        <v>3.00861</v>
      </c>
      <c r="L480" s="30" t="n">
        <v>-0.071271</v>
      </c>
      <c r="M480" s="30" t="n">
        <v>-0.143728</v>
      </c>
      <c r="N480" s="30" t="n">
        <v>62.88123883</v>
      </c>
      <c r="O480" s="30" t="n">
        <v>4.874523974</v>
      </c>
      <c r="P480" s="30" t="n">
        <v>60</v>
      </c>
      <c r="Q480" s="30" t="inlineStr">
        <is>
          <t>Largest player in the UK grocery industry</t>
        </is>
      </c>
      <c r="R480" s="30" t="inlineStr">
        <is>
          <t>EUR</t>
        </is>
      </c>
      <c r="S480" s="30" t="inlineStr">
        <is>
          <t>Investment Grade</t>
        </is>
      </c>
      <c r="T480" s="30" t="inlineStr">
        <is>
          <t>BBB-</t>
        </is>
      </c>
      <c r="U480" s="30" t="inlineStr">
        <is>
          <t>BBB-</t>
        </is>
      </c>
      <c r="V480" s="30" t="n"/>
    </row>
    <row r="481">
      <c r="A481" s="30" t="inlineStr">
        <is>
          <t>CH1236363425</t>
        </is>
      </c>
      <c r="B481" s="30" t="inlineStr">
        <is>
          <t>Hold</t>
        </is>
      </c>
      <c r="C481" s="30" t="inlineStr">
        <is>
          <t>Cooperatieve Rabobank Ua</t>
        </is>
      </c>
      <c r="D481" s="30" t="n">
        <v>2.4875</v>
      </c>
      <c r="E481" s="30" t="inlineStr">
        <is>
          <t>Sr Non Preferred</t>
        </is>
      </c>
      <c r="F481" s="30" t="inlineStr">
        <is>
          <t>25.01.2029</t>
        </is>
      </c>
      <c r="G481" s="30" t="inlineStr">
        <is>
          <t>Netherlands</t>
        </is>
      </c>
      <c r="H481" s="30" t="inlineStr">
        <is>
          <t>Financial</t>
        </is>
      </c>
      <c r="I481" s="30" t="n">
        <v>200</v>
      </c>
      <c r="J481" s="30" t="n">
        <v>104.584</v>
      </c>
      <c r="K481" s="30" t="n">
        <v>0.663884</v>
      </c>
      <c r="L481" s="30" t="n">
        <v>0.027156</v>
      </c>
      <c r="M481" s="30" t="n">
        <v>0.145351</v>
      </c>
      <c r="N481" s="30" t="n">
        <v>62.5063439</v>
      </c>
      <c r="O481" s="30" t="n">
        <v>2.820583207</v>
      </c>
      <c r="P481" s="30" t="n">
        <v>80</v>
      </c>
      <c r="Q481" s="30" t="inlineStr">
        <is>
          <t>Largest bank in the Netherlands</t>
        </is>
      </c>
      <c r="R481" s="30" t="inlineStr">
        <is>
          <t>CHF</t>
        </is>
      </c>
      <c r="S481" s="30" t="inlineStr">
        <is>
          <t>Investment Grade</t>
        </is>
      </c>
      <c r="T481" s="30" t="inlineStr">
        <is>
          <t>A-</t>
        </is>
      </c>
      <c r="U481" s="30" t="inlineStr">
        <is>
          <t>A-</t>
        </is>
      </c>
      <c r="V481" s="30" t="n"/>
    </row>
    <row r="482">
      <c r="A482" s="30" t="inlineStr">
        <is>
          <t>XS2600248335</t>
        </is>
      </c>
      <c r="B482" s="30" t="inlineStr">
        <is>
          <t>Hold</t>
        </is>
      </c>
      <c r="C482" s="30" t="inlineStr">
        <is>
          <t>Abu Dhabi National Energ</t>
        </is>
      </c>
      <c r="D482" s="30" t="n">
        <v>4.696</v>
      </c>
      <c r="E482" s="30" t="inlineStr">
        <is>
          <t>Sr Unsecured</t>
        </is>
      </c>
      <c r="F482" s="30" t="inlineStr">
        <is>
          <t>24.04.2033</t>
        </is>
      </c>
      <c r="G482" s="30" t="inlineStr">
        <is>
          <t>U.A.E</t>
        </is>
      </c>
      <c r="H482" s="30" t="inlineStr">
        <is>
          <t>Utilities</t>
        </is>
      </c>
      <c r="I482" s="30" t="n">
        <v>200</v>
      </c>
      <c r="J482" s="30" t="n">
        <v>99.196</v>
      </c>
      <c r="K482" s="30" t="n">
        <v>4.819864</v>
      </c>
      <c r="L482" s="30" t="n">
        <v>0.020622</v>
      </c>
      <c r="M482" s="30" t="n">
        <v>-0.131972</v>
      </c>
      <c r="N482" s="30" t="n">
        <v>62.48924704</v>
      </c>
      <c r="O482" s="30" t="n">
        <v>6.572888728</v>
      </c>
      <c r="P482" s="30" t="n">
        <v>85</v>
      </c>
      <c r="Q482" s="30" t="inlineStr">
        <is>
          <t>Abu Dhabi majority state-owned energy company</t>
        </is>
      </c>
      <c r="R482" s="30" t="inlineStr">
        <is>
          <t>USD</t>
        </is>
      </c>
      <c r="S482" s="30" t="inlineStr">
        <is>
          <t>Investment Grade</t>
        </is>
      </c>
      <c r="T482" s="30" t="inlineStr">
        <is>
          <t>AA-</t>
        </is>
      </c>
      <c r="U482" s="30" t="inlineStr">
        <is>
          <t>AA-</t>
        </is>
      </c>
      <c r="V482" s="30" t="n"/>
    </row>
    <row r="483">
      <c r="A483" s="30" t="inlineStr">
        <is>
          <t>XS1992985694</t>
        </is>
      </c>
      <c r="B483" s="30" t="inlineStr">
        <is>
          <t>Hold</t>
        </is>
      </c>
      <c r="C483" s="30" t="inlineStr">
        <is>
          <t>Saudi Telecom Co</t>
        </is>
      </c>
      <c r="D483" s="30" t="n">
        <v>3.89</v>
      </c>
      <c r="E483" s="30" t="inlineStr">
        <is>
          <t>Sr Unsecured</t>
        </is>
      </c>
      <c r="F483" s="30" t="inlineStr">
        <is>
          <t>13.05.2029</t>
        </is>
      </c>
      <c r="G483" s="30" t="inlineStr">
        <is>
          <t>Saudi Arabia</t>
        </is>
      </c>
      <c r="H483" s="30" t="inlineStr">
        <is>
          <t>Communications</t>
        </is>
      </c>
      <c r="I483" s="30" t="n">
        <v>200</v>
      </c>
      <c r="J483" s="30" t="n">
        <v>97.84999999999999</v>
      </c>
      <c r="K483" s="30" t="n">
        <v>4.503705</v>
      </c>
      <c r="L483" s="30" t="n">
        <v>-0.022459</v>
      </c>
      <c r="M483" s="30" t="n">
        <v>-0.059528</v>
      </c>
      <c r="N483" s="30" t="n">
        <v>62.31849717</v>
      </c>
      <c r="O483" s="30" t="n">
        <v>3.790780921</v>
      </c>
      <c r="P483" s="30" t="n">
        <v>80</v>
      </c>
      <c r="Q483" s="30" t="inlineStr">
        <is>
          <t xml:space="preserve">Majority state-owned telecom </t>
        </is>
      </c>
      <c r="R483" s="30" t="inlineStr">
        <is>
          <t>USD</t>
        </is>
      </c>
      <c r="S483" s="30" t="inlineStr">
        <is>
          <t>Investment Grade</t>
        </is>
      </c>
      <c r="T483" s="30" t="inlineStr">
        <is>
          <t>A+</t>
        </is>
      </c>
      <c r="U483" s="30" t="inlineStr">
        <is>
          <t>A+</t>
        </is>
      </c>
      <c r="V483" s="30" t="n"/>
    </row>
    <row r="484">
      <c r="A484" s="30" t="inlineStr">
        <is>
          <t>XS2972971803</t>
        </is>
      </c>
      <c r="B484" s="30" t="inlineStr">
        <is>
          <t xml:space="preserve">Hold </t>
        </is>
      </c>
      <c r="C484" s="30" t="inlineStr">
        <is>
          <t>Fed Caisses Desjardins</t>
        </is>
      </c>
      <c r="D484" s="30" t="n">
        <v>5.188645996</v>
      </c>
      <c r="E484" s="30" t="inlineStr">
        <is>
          <t>Secured</t>
        </is>
      </c>
      <c r="F484" s="30" t="inlineStr">
        <is>
          <t>15.07.2028</t>
        </is>
      </c>
      <c r="G484" s="30" t="inlineStr">
        <is>
          <t>Canada</t>
        </is>
      </c>
      <c r="H484" s="30" t="inlineStr">
        <is>
          <t>Financial</t>
        </is>
      </c>
      <c r="I484" s="30" t="n">
        <v>100</v>
      </c>
      <c r="J484" s="30" t="n">
        <v>100.049</v>
      </c>
      <c r="K484" s="30" t="n">
        <v>4.829685</v>
      </c>
      <c r="L484" s="30" t="n">
        <v>-0.014188</v>
      </c>
      <c r="M484" s="30" t="n">
        <v>-0.022687</v>
      </c>
      <c r="N484" s="30" t="n">
        <v>62.24879498</v>
      </c>
      <c r="O484" s="30" t="n">
        <v>0.002739347</v>
      </c>
      <c r="P484" s="30" t="n">
        <v>0</v>
      </c>
      <c r="Q484" s="30" t="inlineStr">
        <is>
          <t>Canadian coopeative financial group</t>
        </is>
      </c>
      <c r="R484" s="30" t="inlineStr">
        <is>
          <t>GBP</t>
        </is>
      </c>
      <c r="S484" s="30" t="inlineStr">
        <is>
          <t>Investment Grade</t>
        </is>
      </c>
      <c r="T484" s="30" t="inlineStr">
        <is>
          <t>AAA</t>
        </is>
      </c>
      <c r="U484" s="30" t="inlineStr">
        <is>
          <t>AAA</t>
        </is>
      </c>
      <c r="V484" s="30" t="n"/>
    </row>
    <row r="485">
      <c r="A485" s="30" t="inlineStr">
        <is>
          <t>US76720AAN63</t>
        </is>
      </c>
      <c r="B485" s="30" t="inlineStr">
        <is>
          <t>Hold</t>
        </is>
      </c>
      <c r="C485" s="30" t="inlineStr">
        <is>
          <t>Rio Tinto Fin Usa Plc</t>
        </is>
      </c>
      <c r="D485" s="30" t="n">
        <v>5</v>
      </c>
      <c r="E485" s="30" t="inlineStr">
        <is>
          <t>Sr Unsecured</t>
        </is>
      </c>
      <c r="F485" s="30" t="inlineStr">
        <is>
          <t>09.03.2033</t>
        </is>
      </c>
      <c r="G485" s="30" t="inlineStr">
        <is>
          <t>Australia</t>
        </is>
      </c>
      <c r="H485" s="30" t="inlineStr">
        <is>
          <t>Basic Materials</t>
        </is>
      </c>
      <c r="I485" s="30" t="n">
        <v>2</v>
      </c>
      <c r="J485" s="30" t="n">
        <v>101.124</v>
      </c>
      <c r="K485" s="30" t="n">
        <v>4.817868</v>
      </c>
      <c r="L485" s="30" t="n">
        <v>-0.001113</v>
      </c>
      <c r="M485" s="30" t="n">
        <v>-0.129793</v>
      </c>
      <c r="N485" s="30" t="n">
        <v>61.92442816</v>
      </c>
      <c r="O485" s="30" t="n">
        <v>6.416659416</v>
      </c>
      <c r="P485" s="30" t="n">
        <v>80</v>
      </c>
      <c r="Q485" s="30" t="inlineStr">
        <is>
          <t>Provides iron ore mining services</t>
        </is>
      </c>
      <c r="R485" s="30" t="inlineStr">
        <is>
          <t>USD</t>
        </is>
      </c>
      <c r="S485" s="30" t="inlineStr">
        <is>
          <t>Investment Grade</t>
        </is>
      </c>
      <c r="T485" s="30" t="inlineStr">
        <is>
          <t>A</t>
        </is>
      </c>
      <c r="U485" s="30" t="inlineStr">
        <is>
          <t>A</t>
        </is>
      </c>
      <c r="V485" s="30" t="n"/>
    </row>
    <row r="486">
      <c r="A486" s="30" t="inlineStr">
        <is>
          <t>US58733RAE27</t>
        </is>
      </c>
      <c r="B486" s="30" t="inlineStr">
        <is>
          <t xml:space="preserve">Hold </t>
        </is>
      </c>
      <c r="C486" s="30" t="inlineStr">
        <is>
          <t>Mercadolibre Inc</t>
        </is>
      </c>
      <c r="D486" s="30" t="n">
        <v>2.375</v>
      </c>
      <c r="E486" s="30" t="inlineStr">
        <is>
          <t>Sr Unsecured</t>
        </is>
      </c>
      <c r="F486" s="30" t="inlineStr">
        <is>
          <t>14.01.2026</t>
        </is>
      </c>
      <c r="G486" s="30" t="inlineStr">
        <is>
          <t>Brazil</t>
        </is>
      </c>
      <c r="H486" s="30" t="inlineStr">
        <is>
          <t>Communications</t>
        </is>
      </c>
      <c r="I486" s="30" t="n">
        <v>200</v>
      </c>
      <c r="J486" s="30" t="n">
        <v>98.72799999999999</v>
      </c>
      <c r="K486" s="30" t="n">
        <v>4.897311</v>
      </c>
      <c r="L486" s="30" t="n">
        <v>-0.024687</v>
      </c>
      <c r="M486" s="30" t="n">
        <v>-0.104686</v>
      </c>
      <c r="N486" s="30" t="n">
        <v>61.88223542</v>
      </c>
      <c r="O486" s="30" t="n">
        <v>0.868231012</v>
      </c>
      <c r="P486" s="30" t="n">
        <v>25</v>
      </c>
      <c r="Q486" s="30" t="inlineStr">
        <is>
          <t>Operates as an online trading site for the latin american market</t>
        </is>
      </c>
      <c r="R486" s="30" t="inlineStr">
        <is>
          <t>USD</t>
        </is>
      </c>
      <c r="S486" s="30" t="inlineStr">
        <is>
          <t>Latin America</t>
        </is>
      </c>
      <c r="T486" s="30" t="inlineStr">
        <is>
          <t>BB+</t>
        </is>
      </c>
      <c r="U486" s="30" t="inlineStr">
        <is>
          <t>BB+</t>
        </is>
      </c>
      <c r="V486" s="30" t="n"/>
    </row>
    <row r="487">
      <c r="A487" s="30" t="inlineStr">
        <is>
          <t>XS2592650373</t>
        </is>
      </c>
      <c r="B487" s="30" t="inlineStr">
        <is>
          <t>Hold</t>
        </is>
      </c>
      <c r="C487" s="30" t="inlineStr">
        <is>
          <t>Intesa Sanpaolo Spa</t>
        </is>
      </c>
      <c r="D487" s="30" t="n">
        <v>5</v>
      </c>
      <c r="E487" s="30" t="inlineStr">
        <is>
          <t>Sr Non Preferred</t>
        </is>
      </c>
      <c r="F487" s="30" t="inlineStr">
        <is>
          <t>08.03.2028</t>
        </is>
      </c>
      <c r="G487" s="30" t="inlineStr">
        <is>
          <t>Italy</t>
        </is>
      </c>
      <c r="H487" s="30" t="inlineStr">
        <is>
          <t>Financial</t>
        </is>
      </c>
      <c r="I487" s="30" t="n">
        <v>150</v>
      </c>
      <c r="J487" s="30" t="n">
        <v>104.222</v>
      </c>
      <c r="K487" s="30" t="n">
        <v>2.371809</v>
      </c>
      <c r="L487" s="30" t="n">
        <v>-0.081759</v>
      </c>
      <c r="M487" s="30" t="n">
        <v>-0.169997</v>
      </c>
      <c r="N487" s="30" t="n">
        <v>61.71660218</v>
      </c>
      <c r="O487" s="30" t="n">
        <v>1.84463866</v>
      </c>
      <c r="P487" s="30" t="n">
        <v>80</v>
      </c>
      <c r="Q487" s="30" t="inlineStr">
        <is>
          <t>One of the largest Italian banks</t>
        </is>
      </c>
      <c r="R487" s="30" t="inlineStr">
        <is>
          <t>EUR</t>
        </is>
      </c>
      <c r="S487" s="30" t="inlineStr">
        <is>
          <t>Investment Grade</t>
        </is>
      </c>
      <c r="T487" s="30" t="inlineStr">
        <is>
          <t>BBB-</t>
        </is>
      </c>
      <c r="U487" s="30" t="inlineStr">
        <is>
          <t>BBB-</t>
        </is>
      </c>
      <c r="V487" s="30" t="n"/>
    </row>
    <row r="488">
      <c r="A488" s="30" t="inlineStr">
        <is>
          <t>XS2534976886</t>
        </is>
      </c>
      <c r="B488" s="30" t="inlineStr">
        <is>
          <t xml:space="preserve">Hold </t>
        </is>
      </c>
      <c r="C488" s="30" t="inlineStr">
        <is>
          <t>A2A Spa</t>
        </is>
      </c>
      <c r="D488" s="30" t="n">
        <v>4.5</v>
      </c>
      <c r="E488" s="30" t="inlineStr">
        <is>
          <t>Sr Unsecured</t>
        </is>
      </c>
      <c r="F488" s="30" t="inlineStr">
        <is>
          <t>19.09.2030</t>
        </is>
      </c>
      <c r="G488" s="30" t="inlineStr">
        <is>
          <t>Italy</t>
        </is>
      </c>
      <c r="H488" s="30" t="inlineStr">
        <is>
          <t>Utilities</t>
        </is>
      </c>
      <c r="I488" s="30" t="n">
        <v>100</v>
      </c>
      <c r="J488" s="30" t="n">
        <v>107.199</v>
      </c>
      <c r="K488" s="30" t="n">
        <v>2.915865</v>
      </c>
      <c r="L488" s="30" t="n">
        <v>-0.052884</v>
      </c>
      <c r="M488" s="30" t="n">
        <v>-0.047087</v>
      </c>
      <c r="N488" s="30" t="n">
        <v>61.25507489</v>
      </c>
      <c r="O488" s="30" t="n">
        <v>4.637730941</v>
      </c>
      <c r="P488" s="30" t="n">
        <v>60</v>
      </c>
      <c r="Q488" s="30" t="inlineStr">
        <is>
          <t>Italian diversified utility in electricity, renewables, gas, water, waste management</t>
        </is>
      </c>
      <c r="R488" s="30" t="inlineStr">
        <is>
          <t>EUR</t>
        </is>
      </c>
      <c r="S488" s="30" t="inlineStr">
        <is>
          <t>Investment Grade</t>
        </is>
      </c>
      <c r="T488" s="30" t="inlineStr">
        <is>
          <t>BBB</t>
        </is>
      </c>
      <c r="U488" s="30" t="inlineStr">
        <is>
          <t>BBB</t>
        </is>
      </c>
      <c r="V488" s="30" t="n"/>
    </row>
    <row r="489">
      <c r="A489" s="30" t="inlineStr">
        <is>
          <t>FR001400F075</t>
        </is>
      </c>
      <c r="B489" s="30" t="inlineStr">
        <is>
          <t xml:space="preserve">Hold </t>
        </is>
      </c>
      <c r="C489" s="30" t="inlineStr">
        <is>
          <t>Bpce Sa</t>
        </is>
      </c>
      <c r="D489" s="30" t="n">
        <v>4.375</v>
      </c>
      <c r="E489" s="30" t="inlineStr">
        <is>
          <t>Sr Non Preferred</t>
        </is>
      </c>
      <c r="F489" s="30" t="inlineStr">
        <is>
          <t>13.07.2028</t>
        </is>
      </c>
      <c r="G489" s="30" t="inlineStr">
        <is>
          <t>France</t>
        </is>
      </c>
      <c r="H489" s="30" t="inlineStr">
        <is>
          <t>Financial</t>
        </is>
      </c>
      <c r="I489" s="30" t="n">
        <v>100</v>
      </c>
      <c r="J489" s="30" t="n">
        <v>105.081</v>
      </c>
      <c r="K489" s="30" t="n">
        <v>2.598754</v>
      </c>
      <c r="L489" s="30" t="n">
        <v>-0.108883</v>
      </c>
      <c r="M489" s="30" t="n">
        <v>-0.200814</v>
      </c>
      <c r="N489" s="30" t="n">
        <v>61.20277954</v>
      </c>
      <c r="O489" s="30" t="n">
        <v>3.05052543</v>
      </c>
      <c r="P489" s="30" t="n">
        <v>60</v>
      </c>
      <c r="Q489" s="30" t="inlineStr">
        <is>
          <t>One of the largest French retail banks</t>
        </is>
      </c>
      <c r="R489" s="30" t="inlineStr">
        <is>
          <t>EUR</t>
        </is>
      </c>
      <c r="S489" s="30" t="inlineStr">
        <is>
          <t>Investment Grade</t>
        </is>
      </c>
      <c r="T489" s="30" t="inlineStr">
        <is>
          <t>BBB+</t>
        </is>
      </c>
      <c r="U489" s="30" t="inlineStr">
        <is>
          <t>BBB+</t>
        </is>
      </c>
      <c r="V489" s="30" t="n"/>
    </row>
    <row r="490">
      <c r="A490" s="30" t="inlineStr">
        <is>
          <t>USU51407AE17</t>
        </is>
      </c>
      <c r="B490" s="30" t="inlineStr">
        <is>
          <t>Hold</t>
        </is>
      </c>
      <c r="C490" s="30" t="inlineStr">
        <is>
          <t>Bath &amp; Body Works Inc</t>
        </is>
      </c>
      <c r="D490" s="30" t="n">
        <v>6.625</v>
      </c>
      <c r="E490" s="30" t="inlineStr">
        <is>
          <t>Sr Unsecured</t>
        </is>
      </c>
      <c r="F490" s="30" t="inlineStr">
        <is>
          <t>01.10.2030</t>
        </is>
      </c>
      <c r="G490" s="30" t="inlineStr">
        <is>
          <t>United states</t>
        </is>
      </c>
      <c r="H490" s="30" t="inlineStr">
        <is>
          <t>Consumer, Cyclical</t>
        </is>
      </c>
      <c r="I490" s="30" t="n">
        <v>2</v>
      </c>
      <c r="J490" s="30" t="n">
        <v>103.305</v>
      </c>
      <c r="K490" s="30" t="n">
        <v>5.494301</v>
      </c>
      <c r="L490" s="30" t="n">
        <v>-0.09674000000000001</v>
      </c>
      <c r="M490" s="30" t="n">
        <v>-0.384379</v>
      </c>
      <c r="N490" s="30" t="n">
        <v>61.17701051</v>
      </c>
      <c r="O490" s="30" t="n">
        <v>3.105722799</v>
      </c>
      <c r="P490" s="30" t="n">
        <v>25</v>
      </c>
      <c r="Q490" s="30" t="inlineStr">
        <is>
          <t>A specialty retailer that operates in US and Canada</t>
        </is>
      </c>
      <c r="R490" s="30" t="inlineStr">
        <is>
          <t>USD</t>
        </is>
      </c>
      <c r="S490" s="30" t="inlineStr">
        <is>
          <t>High Yield</t>
        </is>
      </c>
      <c r="T490" s="30" t="inlineStr">
        <is>
          <t>BB</t>
        </is>
      </c>
      <c r="U490" s="30" t="inlineStr">
        <is>
          <t>BB</t>
        </is>
      </c>
      <c r="V490" s="30" t="n"/>
    </row>
    <row r="491">
      <c r="A491" s="30" t="inlineStr">
        <is>
          <t>XS2429208056</t>
        </is>
      </c>
      <c r="B491" s="30" t="inlineStr">
        <is>
          <t xml:space="preserve">Hold </t>
        </is>
      </c>
      <c r="C491" s="30" t="inlineStr">
        <is>
          <t>Met Life Glob Funding I</t>
        </is>
      </c>
      <c r="D491" s="30" t="n">
        <v>1.625</v>
      </c>
      <c r="E491" s="30" t="inlineStr">
        <is>
          <t>Secured</t>
        </is>
      </c>
      <c r="F491" s="30" t="inlineStr">
        <is>
          <t>12.10.2028</t>
        </is>
      </c>
      <c r="G491" s="30" t="inlineStr">
        <is>
          <t>United states</t>
        </is>
      </c>
      <c r="H491" s="30" t="inlineStr">
        <is>
          <t>Financial</t>
        </is>
      </c>
      <c r="I491" s="30" t="n">
        <v>100</v>
      </c>
      <c r="J491" s="30" t="n">
        <v>91.717</v>
      </c>
      <c r="K491" s="30" t="n">
        <v>4.378911</v>
      </c>
      <c r="L491" s="30" t="n">
        <v>-0.014045</v>
      </c>
      <c r="M491" s="30" t="n">
        <v>-0.218043</v>
      </c>
      <c r="N491" s="30" t="n">
        <v>60.97393109</v>
      </c>
      <c r="O491" s="30" t="n">
        <v>3.430900786</v>
      </c>
      <c r="P491" s="30" t="n">
        <v>85</v>
      </c>
      <c r="Q491" s="30" t="inlineStr">
        <is>
          <t>The company provides life insurance, automobile and homeowners insurance.</t>
        </is>
      </c>
      <c r="R491" s="30" t="inlineStr">
        <is>
          <t>GBP</t>
        </is>
      </c>
      <c r="S491" s="30" t="inlineStr">
        <is>
          <t>Investment Grade</t>
        </is>
      </c>
      <c r="T491" s="30" t="inlineStr">
        <is>
          <t>AA-</t>
        </is>
      </c>
      <c r="U491" s="30" t="inlineStr">
        <is>
          <t>AA-</t>
        </is>
      </c>
      <c r="V491" s="30" t="n"/>
    </row>
    <row r="492">
      <c r="A492" s="30" t="inlineStr">
        <is>
          <t>XS2815984732</t>
        </is>
      </c>
      <c r="B492" s="30" t="inlineStr">
        <is>
          <t>Top Pick</t>
        </is>
      </c>
      <c r="C492" s="30" t="inlineStr">
        <is>
          <t>Deutsche Lufthansa Ag</t>
        </is>
      </c>
      <c r="D492" s="30" t="n">
        <v>4</v>
      </c>
      <c r="E492" s="30" t="inlineStr">
        <is>
          <t>Sr Unsecured</t>
        </is>
      </c>
      <c r="F492" s="30" t="inlineStr">
        <is>
          <t>21.05.2030</t>
        </is>
      </c>
      <c r="G492" s="30" t="inlineStr">
        <is>
          <t>Germany</t>
        </is>
      </c>
      <c r="H492" s="30" t="inlineStr">
        <is>
          <t>Consumer, Cyclical</t>
        </is>
      </c>
      <c r="I492" s="30" t="n">
        <v>1</v>
      </c>
      <c r="J492" s="30" t="n">
        <v>104.814</v>
      </c>
      <c r="K492" s="30" t="n">
        <v>2.873261</v>
      </c>
      <c r="L492" s="30" t="n">
        <v>-0.100921</v>
      </c>
      <c r="M492" s="30" t="n">
        <v>-0.273165</v>
      </c>
      <c r="N492" s="30" t="n">
        <v>60.87626007</v>
      </c>
      <c r="O492" s="30" t="n">
        <v>4.367442556</v>
      </c>
      <c r="P492" s="30" t="n">
        <v>60</v>
      </c>
      <c r="Q492" s="30" t="inlineStr">
        <is>
          <t>Europe's largest airline group</t>
        </is>
      </c>
      <c r="R492" s="30" t="inlineStr">
        <is>
          <t>EUR</t>
        </is>
      </c>
      <c r="S492" s="30" t="inlineStr">
        <is>
          <t>Investment Grade</t>
        </is>
      </c>
      <c r="T492" s="30" t="inlineStr">
        <is>
          <t>BBB-</t>
        </is>
      </c>
      <c r="U492" s="30" t="inlineStr">
        <is>
          <t>BBB-</t>
        </is>
      </c>
      <c r="V492" s="30" t="n"/>
    </row>
    <row r="493">
      <c r="A493" s="30" t="inlineStr">
        <is>
          <t>XS2804485915</t>
        </is>
      </c>
      <c r="B493" s="30" t="inlineStr">
        <is>
          <t>Hold</t>
        </is>
      </c>
      <c r="C493" s="30" t="inlineStr">
        <is>
          <t>Intesa Sanpaolo Spa</t>
        </is>
      </c>
      <c r="D493" s="30" t="n">
        <v>3.625</v>
      </c>
      <c r="E493" s="30" t="inlineStr">
        <is>
          <t>Sr Preferred</t>
        </is>
      </c>
      <c r="F493" s="30" t="inlineStr">
        <is>
          <t>16.10.2030</t>
        </is>
      </c>
      <c r="G493" s="30" t="inlineStr">
        <is>
          <t>Italy</t>
        </is>
      </c>
      <c r="H493" s="30" t="inlineStr">
        <is>
          <t>Financial</t>
        </is>
      </c>
      <c r="I493" s="30" t="n">
        <v>100</v>
      </c>
      <c r="J493" s="30" t="n">
        <v>103.284</v>
      </c>
      <c r="K493" s="30" t="n">
        <v>2.940991</v>
      </c>
      <c r="L493" s="30" t="n">
        <v>-0.063198</v>
      </c>
      <c r="M493" s="30" t="n">
        <v>-0.074403</v>
      </c>
      <c r="N493" s="30" t="n">
        <v>60.7678194</v>
      </c>
      <c r="O493" s="30" t="n">
        <v>4.989324509</v>
      </c>
      <c r="P493" s="30" t="n">
        <v>60</v>
      </c>
      <c r="Q493" s="30" t="inlineStr">
        <is>
          <t>One of the largest banks in Italy</t>
        </is>
      </c>
      <c r="R493" s="30" t="inlineStr">
        <is>
          <t>EUR</t>
        </is>
      </c>
      <c r="S493" s="30" t="inlineStr">
        <is>
          <t>Investment Grade</t>
        </is>
      </c>
      <c r="T493" s="30" t="inlineStr">
        <is>
          <t>BBB</t>
        </is>
      </c>
      <c r="U493" s="30" t="inlineStr">
        <is>
          <t>BBB</t>
        </is>
      </c>
      <c r="V493" s="30" t="n"/>
    </row>
    <row r="494">
      <c r="A494" s="30" t="inlineStr">
        <is>
          <t>XS2914524009</t>
        </is>
      </c>
      <c r="B494" s="30" t="inlineStr">
        <is>
          <t>Top pick</t>
        </is>
      </c>
      <c r="C494" s="30" t="inlineStr">
        <is>
          <t>Emirates Nbd Bank Pjsc</t>
        </is>
      </c>
      <c r="D494" s="30" t="n">
        <v>5.141</v>
      </c>
      <c r="E494" s="30" t="inlineStr">
        <is>
          <t>Sr Unsecured</t>
        </is>
      </c>
      <c r="F494" s="30" t="inlineStr">
        <is>
          <t>26.11.2029</t>
        </is>
      </c>
      <c r="G494" s="30" t="inlineStr">
        <is>
          <t>U.A.E</t>
        </is>
      </c>
      <c r="H494" s="30" t="inlineStr">
        <is>
          <t>Financial</t>
        </is>
      </c>
      <c r="I494" s="30" t="n">
        <v>200</v>
      </c>
      <c r="J494" s="30" t="n">
        <v>102.465</v>
      </c>
      <c r="K494" s="30" t="n">
        <v>4.513076</v>
      </c>
      <c r="L494" s="30" t="n">
        <v>0.026422</v>
      </c>
      <c r="M494" s="30" t="n">
        <v>-0.09922599999999999</v>
      </c>
      <c r="N494" s="30" t="n">
        <v>60.67611753</v>
      </c>
      <c r="O494" s="30" t="n">
        <v>4.124101491</v>
      </c>
      <c r="P494" s="30" t="n">
        <v>0</v>
      </c>
      <c r="Q494" s="30" t="inlineStr">
        <is>
          <t xml:space="preserve">the UAE's second largest bank </t>
        </is>
      </c>
      <c r="R494" s="30" t="inlineStr">
        <is>
          <t>USD</t>
        </is>
      </c>
      <c r="S494" s="30" t="inlineStr">
        <is>
          <t>Investment Grade</t>
        </is>
      </c>
      <c r="T494" s="30" t="inlineStr">
        <is>
          <t>A+</t>
        </is>
      </c>
      <c r="U494" s="30" t="inlineStr">
        <is>
          <t>A</t>
        </is>
      </c>
      <c r="V494" s="30" t="n"/>
    </row>
    <row r="495">
      <c r="A495" s="30" t="inlineStr">
        <is>
          <t>US404119CP27</t>
        </is>
      </c>
      <c r="B495" s="30" t="inlineStr">
        <is>
          <t>Top Pick</t>
        </is>
      </c>
      <c r="C495" s="30" t="inlineStr">
        <is>
          <t>Hca Inc</t>
        </is>
      </c>
      <c r="D495" s="30" t="n">
        <v>5.2</v>
      </c>
      <c r="E495" s="30" t="inlineStr">
        <is>
          <t>Sr Unsecured</t>
        </is>
      </c>
      <c r="F495" s="30" t="inlineStr">
        <is>
          <t>01.06.2028</t>
        </is>
      </c>
      <c r="G495" s="30" t="inlineStr">
        <is>
          <t>United states</t>
        </is>
      </c>
      <c r="H495" s="30" t="inlineStr">
        <is>
          <t>Consumer, Non-cyclical</t>
        </is>
      </c>
      <c r="I495" s="30" t="n">
        <v>2</v>
      </c>
      <c r="J495" s="30" t="n">
        <v>101.971</v>
      </c>
      <c r="K495" s="30" t="n">
        <v>4.446815</v>
      </c>
      <c r="L495" s="30" t="n">
        <v>-0.021333</v>
      </c>
      <c r="M495" s="30" t="n">
        <v>-0.201392</v>
      </c>
      <c r="N495" s="30" t="n">
        <v>60.54346098</v>
      </c>
      <c r="O495" s="30" t="n">
        <v>2.880826677</v>
      </c>
      <c r="P495" s="30" t="n">
        <v>85</v>
      </c>
      <c r="Q495" s="30" t="inlineStr">
        <is>
          <t>Provides health care services</t>
        </is>
      </c>
      <c r="R495" s="30" t="inlineStr">
        <is>
          <t>USD</t>
        </is>
      </c>
      <c r="S495" s="30" t="inlineStr">
        <is>
          <t>Investment Grade</t>
        </is>
      </c>
      <c r="T495" s="30" t="inlineStr">
        <is>
          <t>BBB-</t>
        </is>
      </c>
      <c r="U495" s="30" t="inlineStr">
        <is>
          <t>BBB-</t>
        </is>
      </c>
      <c r="V495" s="30" t="n"/>
    </row>
    <row r="496">
      <c r="A496" s="30" t="inlineStr">
        <is>
          <t>XS2579483319</t>
        </is>
      </c>
      <c r="B496" s="30" t="inlineStr">
        <is>
          <t xml:space="preserve">Hold </t>
        </is>
      </c>
      <c r="C496" s="30" t="inlineStr">
        <is>
          <t>Bulgaria</t>
        </is>
      </c>
      <c r="D496" s="30" t="n">
        <v>4.5</v>
      </c>
      <c r="E496" s="30" t="inlineStr">
        <is>
          <t>Sr Unsecured</t>
        </is>
      </c>
      <c r="F496" s="30" t="inlineStr">
        <is>
          <t>27.01.2033</t>
        </is>
      </c>
      <c r="G496" s="30" t="inlineStr">
        <is>
          <t>Bulgaria</t>
        </is>
      </c>
      <c r="H496" s="30" t="inlineStr">
        <is>
          <t>Government</t>
        </is>
      </c>
      <c r="I496" s="30" t="n">
        <v>1</v>
      </c>
      <c r="J496" s="30" t="n">
        <v>108.516</v>
      </c>
      <c r="K496" s="30" t="n">
        <v>3.209878</v>
      </c>
      <c r="L496" s="30" t="n">
        <v>-0.007076</v>
      </c>
      <c r="M496" s="30" t="n">
        <v>0.038135</v>
      </c>
      <c r="N496" s="30" t="n">
        <v>60.46822191</v>
      </c>
      <c r="O496" s="30" t="n">
        <v>6.661918324</v>
      </c>
      <c r="P496" s="30" t="n">
        <v>85</v>
      </c>
      <c r="Q496" s="30" t="inlineStr">
        <is>
          <t>Bulgaria government bond</t>
        </is>
      </c>
      <c r="R496" s="30" t="inlineStr">
        <is>
          <t>EUR</t>
        </is>
      </c>
      <c r="S496" s="30" t="inlineStr">
        <is>
          <t>Investment Grade</t>
        </is>
      </c>
      <c r="T496" s="30" t="inlineStr">
        <is>
          <t>BBB</t>
        </is>
      </c>
      <c r="U496" s="30" t="inlineStr">
        <is>
          <t>BBB</t>
        </is>
      </c>
      <c r="V496" s="30" t="n"/>
    </row>
    <row r="497">
      <c r="A497" s="30" t="inlineStr">
        <is>
          <t>XS1586555945</t>
        </is>
      </c>
      <c r="B497" s="30" t="inlineStr">
        <is>
          <t>Hold</t>
        </is>
      </c>
      <c r="C497" s="30" t="inlineStr">
        <is>
          <t>Volkswagen Intl Fin Nv</t>
        </is>
      </c>
      <c r="D497" s="30" t="n">
        <v>1.875</v>
      </c>
      <c r="E497" s="30" t="inlineStr">
        <is>
          <t>Sr Unsecured</t>
        </is>
      </c>
      <c r="F497" s="30" t="inlineStr">
        <is>
          <t>30.03.2027</t>
        </is>
      </c>
      <c r="G497" s="30" t="inlineStr">
        <is>
          <t>Germany</t>
        </is>
      </c>
      <c r="H497" s="30" t="inlineStr">
        <is>
          <t>Consumer, Cyclical</t>
        </is>
      </c>
      <c r="I497" s="30" t="n">
        <v>100</v>
      </c>
      <c r="J497" s="30" t="n">
        <v>99.01000000000001</v>
      </c>
      <c r="K497" s="30" t="n">
        <v>2.467604</v>
      </c>
      <c r="L497" s="30" t="n">
        <v>-0.140202</v>
      </c>
      <c r="M497" s="30" t="n">
        <v>-0.156562</v>
      </c>
      <c r="N497" s="30" t="n">
        <v>60.38383298</v>
      </c>
      <c r="O497" s="30" t="n">
        <v>1.980074611</v>
      </c>
      <c r="P497" s="30" t="n">
        <v>60</v>
      </c>
      <c r="Q497" s="30" t="inlineStr">
        <is>
          <t>Financial arm of multinational auto manufacturing company</t>
        </is>
      </c>
      <c r="R497" s="30" t="inlineStr">
        <is>
          <t>EUR</t>
        </is>
      </c>
      <c r="S497" s="30" t="inlineStr">
        <is>
          <t>Investment Grade</t>
        </is>
      </c>
      <c r="T497" s="30" t="inlineStr">
        <is>
          <t>BBB+</t>
        </is>
      </c>
      <c r="U497" s="30" t="inlineStr">
        <is>
          <t>BBB+</t>
        </is>
      </c>
      <c r="V497" s="30" t="n"/>
    </row>
    <row r="498">
      <c r="A498" s="30" t="inlineStr">
        <is>
          <t>XS0162990229</t>
        </is>
      </c>
      <c r="B498" s="30" t="inlineStr">
        <is>
          <t>Hold</t>
        </is>
      </c>
      <c r="C498" s="30" t="inlineStr">
        <is>
          <t>Electricite De France Sa</t>
        </is>
      </c>
      <c r="D498" s="30" t="n">
        <v>5.625</v>
      </c>
      <c r="E498" s="30" t="inlineStr">
        <is>
          <t>Sr Unsecured</t>
        </is>
      </c>
      <c r="F498" s="30" t="inlineStr">
        <is>
          <t>21.02.2033</t>
        </is>
      </c>
      <c r="G498" s="30" t="inlineStr">
        <is>
          <t>France</t>
        </is>
      </c>
      <c r="H498" s="30" t="inlineStr">
        <is>
          <t>Utilities</t>
        </is>
      </c>
      <c r="I498" s="30" t="n">
        <v>1</v>
      </c>
      <c r="J498" s="30" t="n">
        <v>116.12</v>
      </c>
      <c r="K498" s="30" t="n">
        <v>3.204584</v>
      </c>
      <c r="L498" s="30" t="n">
        <v>-0.080514</v>
      </c>
      <c r="M498" s="30" t="n">
        <v>-0.084081</v>
      </c>
      <c r="N498" s="30" t="n">
        <v>60.29791735</v>
      </c>
      <c r="O498" s="30" t="n">
        <v>6.546474723</v>
      </c>
      <c r="P498" s="30" t="n">
        <v>60</v>
      </c>
      <c r="Q498" s="30" t="inlineStr">
        <is>
          <t>French utility company fully owned by the State</t>
        </is>
      </c>
      <c r="R498" s="30" t="inlineStr">
        <is>
          <t>EUR</t>
        </is>
      </c>
      <c r="S498" s="30" t="inlineStr">
        <is>
          <t>Investment Grade</t>
        </is>
      </c>
      <c r="T498" s="30" t="inlineStr">
        <is>
          <t>BBB</t>
        </is>
      </c>
      <c r="U498" s="30" t="inlineStr">
        <is>
          <t>BBB</t>
        </is>
      </c>
      <c r="V498" s="30" t="n"/>
    </row>
    <row r="499">
      <c r="A499" s="30" t="inlineStr">
        <is>
          <t>US716973AE24</t>
        </is>
      </c>
      <c r="B499" s="30" t="inlineStr">
        <is>
          <t>Top Pick</t>
        </is>
      </c>
      <c r="C499" s="30" t="inlineStr">
        <is>
          <t>Pfizer Investment Enter</t>
        </is>
      </c>
      <c r="D499" s="30" t="n">
        <v>4.75</v>
      </c>
      <c r="E499" s="30" t="inlineStr">
        <is>
          <t>Sr Unsecured</t>
        </is>
      </c>
      <c r="F499" s="30" t="inlineStr">
        <is>
          <t>19.05.2033</t>
        </is>
      </c>
      <c r="G499" s="30" t="inlineStr">
        <is>
          <t>United states</t>
        </is>
      </c>
      <c r="H499" s="30" t="inlineStr">
        <is>
          <t>Consumer, Non-cyclical</t>
        </is>
      </c>
      <c r="I499" s="30" t="n">
        <v>2</v>
      </c>
      <c r="J499" s="30" t="n">
        <v>99.532</v>
      </c>
      <c r="K499" s="30" t="n">
        <v>4.821349</v>
      </c>
      <c r="L499" s="30" t="n">
        <v>-0.019061</v>
      </c>
      <c r="M499" s="30" t="n">
        <v>-0.165733</v>
      </c>
      <c r="N499" s="30" t="n">
        <v>60.25718564</v>
      </c>
      <c r="O499" s="30" t="n">
        <v>6.641114746</v>
      </c>
      <c r="P499" s="30" t="n">
        <v>0</v>
      </c>
      <c r="Q499" s="30" t="inlineStr">
        <is>
          <t>One of the world's largest pharmaceutical companies</t>
        </is>
      </c>
      <c r="R499" s="30" t="inlineStr">
        <is>
          <t>USD</t>
        </is>
      </c>
      <c r="S499" s="30" t="inlineStr">
        <is>
          <t>Investment Grade</t>
        </is>
      </c>
      <c r="T499" s="30" t="inlineStr">
        <is>
          <t>A</t>
        </is>
      </c>
      <c r="U499" s="30" t="inlineStr">
        <is>
          <t>A</t>
        </is>
      </c>
      <c r="V499" s="30" t="n"/>
    </row>
    <row r="500">
      <c r="A500" s="30" t="inlineStr">
        <is>
          <t>US455780DR40</t>
        </is>
      </c>
      <c r="B500" s="30" t="inlineStr">
        <is>
          <t xml:space="preserve">Hold </t>
        </is>
      </c>
      <c r="C500" s="30" t="inlineStr">
        <is>
          <t>Republic Of Indonesia</t>
        </is>
      </c>
      <c r="D500" s="30" t="n">
        <v>4.85</v>
      </c>
      <c r="E500" s="30" t="inlineStr">
        <is>
          <t>Sr Unsecured</t>
        </is>
      </c>
      <c r="F500" s="30" t="inlineStr">
        <is>
          <t>11.01.2033</t>
        </is>
      </c>
      <c r="G500" s="30" t="inlineStr">
        <is>
          <t>Indonesia</t>
        </is>
      </c>
      <c r="H500" s="30" t="inlineStr">
        <is>
          <t>Government</t>
        </is>
      </c>
      <c r="I500" s="30" t="n">
        <v>200</v>
      </c>
      <c r="J500" s="30" t="n">
        <v>100.374</v>
      </c>
      <c r="K500" s="30" t="n">
        <v>4.789234</v>
      </c>
      <c r="L500" s="30" t="n">
        <v>-0.003634</v>
      </c>
      <c r="M500" s="30" t="n">
        <v>-0.104762</v>
      </c>
      <c r="N500" s="30" t="n">
        <v>60.10250088</v>
      </c>
      <c r="O500" s="30" t="n">
        <v>6.425800393</v>
      </c>
      <c r="P500" s="30" t="n">
        <v>60</v>
      </c>
      <c r="Q500" s="30" t="inlineStr">
        <is>
          <t>Republic Of Indonesia</t>
        </is>
      </c>
      <c r="R500" s="30" t="inlineStr">
        <is>
          <t>USD</t>
        </is>
      </c>
      <c r="S500" s="30" t="inlineStr">
        <is>
          <t>Investment Grade</t>
        </is>
      </c>
      <c r="T500" s="30" t="inlineStr">
        <is>
          <t>BBB</t>
        </is>
      </c>
      <c r="U500" s="30" t="inlineStr">
        <is>
          <t>BBB</t>
        </is>
      </c>
      <c r="V500" s="30" t="n"/>
    </row>
    <row r="501">
      <c r="A501" s="30" t="inlineStr">
        <is>
          <t>US78016FZX58</t>
        </is>
      </c>
      <c r="B501" s="30" t="inlineStr">
        <is>
          <t>Hold</t>
        </is>
      </c>
      <c r="C501" s="30" t="inlineStr">
        <is>
          <t>Royal Bank Of Canada</t>
        </is>
      </c>
      <c r="D501" s="30" t="n">
        <v>5</v>
      </c>
      <c r="E501" s="30" t="inlineStr">
        <is>
          <t>Sr Unsecured</t>
        </is>
      </c>
      <c r="F501" s="30" t="inlineStr">
        <is>
          <t>01.02.2033</t>
        </is>
      </c>
      <c r="G501" s="30" t="inlineStr">
        <is>
          <t>Canada</t>
        </is>
      </c>
      <c r="H501" s="30" t="inlineStr">
        <is>
          <t>Financial</t>
        </is>
      </c>
      <c r="I501" s="30" t="n">
        <v>2</v>
      </c>
      <c r="J501" s="30" t="n">
        <v>101.399</v>
      </c>
      <c r="K501" s="30" t="n">
        <v>4.776919</v>
      </c>
      <c r="L501" s="30" t="n">
        <v>-0.030753</v>
      </c>
      <c r="M501" s="30" t="n">
        <v>-0.177085</v>
      </c>
      <c r="N501" s="30" t="n">
        <v>60.08055375</v>
      </c>
      <c r="O501" s="30" t="n">
        <v>6.467626145</v>
      </c>
      <c r="P501" s="30" t="n">
        <v>80</v>
      </c>
      <c r="Q501" s="30" t="inlineStr">
        <is>
          <t>Largest bank in Canada</t>
        </is>
      </c>
      <c r="R501" s="30" t="inlineStr">
        <is>
          <t>USD</t>
        </is>
      </c>
      <c r="S501" s="30" t="inlineStr">
        <is>
          <t>Investment Grade</t>
        </is>
      </c>
      <c r="T501" s="30" t="inlineStr">
        <is>
          <t>A+</t>
        </is>
      </c>
      <c r="U501" s="30" t="inlineStr">
        <is>
          <t>A+</t>
        </is>
      </c>
      <c r="V501" s="30" t="n"/>
    </row>
    <row r="502">
      <c r="A502" s="30" t="inlineStr">
        <is>
          <t>XS2390400716</t>
        </is>
      </c>
      <c r="B502" s="30" t="inlineStr">
        <is>
          <t>Hold</t>
        </is>
      </c>
      <c r="C502" s="30" t="inlineStr">
        <is>
          <t>Enel Finance Intl Nv</t>
        </is>
      </c>
      <c r="D502" s="30" t="n">
        <v>0.625</v>
      </c>
      <c r="E502" s="30" t="inlineStr">
        <is>
          <t>Sr Unsecured</t>
        </is>
      </c>
      <c r="F502" s="30" t="inlineStr">
        <is>
          <t>28.05.2029</t>
        </is>
      </c>
      <c r="G502" s="30" t="inlineStr">
        <is>
          <t>Italy</t>
        </is>
      </c>
      <c r="H502" s="30" t="inlineStr">
        <is>
          <t>Utilities</t>
        </is>
      </c>
      <c r="I502" s="30" t="n">
        <v>100</v>
      </c>
      <c r="J502" s="30" t="n">
        <v>92.324</v>
      </c>
      <c r="K502" s="30" t="n">
        <v>2.734413</v>
      </c>
      <c r="L502" s="30" t="n">
        <v>-0.050789</v>
      </c>
      <c r="M502" s="30" t="n">
        <v>-0.056184</v>
      </c>
      <c r="N502" s="30" t="n">
        <v>59.93879476</v>
      </c>
      <c r="O502" s="30" t="n">
        <v>4.069311996</v>
      </c>
      <c r="P502" s="30" t="n">
        <v>60</v>
      </c>
      <c r="Q502" s="30" t="inlineStr">
        <is>
          <t xml:space="preserve">Italian utility company </t>
        </is>
      </c>
      <c r="R502" s="30" t="inlineStr">
        <is>
          <t>EUR</t>
        </is>
      </c>
      <c r="S502" s="30" t="inlineStr">
        <is>
          <t>Investment Grade</t>
        </is>
      </c>
      <c r="T502" s="30" t="inlineStr">
        <is>
          <t>BBB</t>
        </is>
      </c>
      <c r="U502" s="30" t="inlineStr">
        <is>
          <t>BBB</t>
        </is>
      </c>
      <c r="V502" s="30" t="n"/>
    </row>
    <row r="503">
      <c r="A503" s="30" t="inlineStr">
        <is>
          <t>XS2574873183</t>
        </is>
      </c>
      <c r="B503" s="30" t="inlineStr">
        <is>
          <t>Hold</t>
        </is>
      </c>
      <c r="C503" s="30" t="inlineStr">
        <is>
          <t>E.On Se</t>
        </is>
      </c>
      <c r="D503" s="30" t="n">
        <v>3.875</v>
      </c>
      <c r="E503" s="30" t="inlineStr">
        <is>
          <t>Sr Unsecured</t>
        </is>
      </c>
      <c r="F503" s="30" t="inlineStr">
        <is>
          <t>12.01.2035</t>
        </is>
      </c>
      <c r="G503" s="30" t="inlineStr">
        <is>
          <t>Germany</t>
        </is>
      </c>
      <c r="H503" s="30" t="inlineStr">
        <is>
          <t>Utilities</t>
        </is>
      </c>
      <c r="I503" s="30" t="n">
        <v>1</v>
      </c>
      <c r="J503" s="30" t="n">
        <v>103.555</v>
      </c>
      <c r="K503" s="30" t="n">
        <v>3.4194</v>
      </c>
      <c r="L503" s="30" t="n">
        <v>-0.070817</v>
      </c>
      <c r="M503" s="30" t="n">
        <v>-0.021837</v>
      </c>
      <c r="N503" s="30" t="n">
        <v>59.90727109</v>
      </c>
      <c r="O503" s="30" t="n">
        <v>7.935141253</v>
      </c>
      <c r="P503" s="30" t="n">
        <v>60</v>
      </c>
      <c r="Q503" s="30" t="inlineStr">
        <is>
          <t>One of the Europe's largest operators of energy networks and infrastructure</t>
        </is>
      </c>
      <c r="R503" s="30" t="inlineStr">
        <is>
          <t>EUR</t>
        </is>
      </c>
      <c r="S503" s="30" t="inlineStr">
        <is>
          <t>Investment Grade</t>
        </is>
      </c>
      <c r="T503" s="30" t="inlineStr">
        <is>
          <t>BBB+</t>
        </is>
      </c>
      <c r="U503" s="30" t="inlineStr">
        <is>
          <t>BBB+</t>
        </is>
      </c>
      <c r="V503" s="30" t="n"/>
    </row>
    <row r="504">
      <c r="A504" s="30" t="inlineStr">
        <is>
          <t>XS2339427820</t>
        </is>
      </c>
      <c r="B504" s="30" t="inlineStr">
        <is>
          <t>Hold</t>
        </is>
      </c>
      <c r="C504" s="30" t="inlineStr">
        <is>
          <t>Emirates Telecom Group</t>
        </is>
      </c>
      <c r="D504" s="30" t="n">
        <v>0.875</v>
      </c>
      <c r="E504" s="30" t="inlineStr">
        <is>
          <t>Sr Unsecured</t>
        </is>
      </c>
      <c r="F504" s="30" t="inlineStr">
        <is>
          <t>17.05.2033</t>
        </is>
      </c>
      <c r="G504" s="30" t="inlineStr">
        <is>
          <t>U.A.E</t>
        </is>
      </c>
      <c r="H504" s="30" t="inlineStr">
        <is>
          <t>Communications</t>
        </is>
      </c>
      <c r="I504" s="30" t="n">
        <v>100</v>
      </c>
      <c r="J504" s="30" t="n">
        <v>83.587</v>
      </c>
      <c r="K504" s="30" t="n">
        <v>3.278876</v>
      </c>
      <c r="L504" s="30" t="n">
        <v>-0.027851</v>
      </c>
      <c r="M504" s="30" t="n">
        <v>-0.038551</v>
      </c>
      <c r="N504" s="30" t="n">
        <v>59.70853123</v>
      </c>
      <c r="O504" s="30" t="n">
        <v>7.636812759</v>
      </c>
      <c r="P504" s="30" t="n">
        <v>80</v>
      </c>
      <c r="Q504" s="30" t="inlineStr">
        <is>
          <t>UAE partially state-owned telecom</t>
        </is>
      </c>
      <c r="R504" s="30" t="inlineStr">
        <is>
          <t>EUR</t>
        </is>
      </c>
      <c r="S504" s="30" t="inlineStr">
        <is>
          <t>Investment Grade</t>
        </is>
      </c>
      <c r="T504" s="30" t="inlineStr">
        <is>
          <t>AA-</t>
        </is>
      </c>
      <c r="U504" s="30" t="inlineStr">
        <is>
          <t>AA-</t>
        </is>
      </c>
      <c r="V504" s="30" t="n"/>
    </row>
    <row r="505">
      <c r="A505" s="30" t="inlineStr">
        <is>
          <t>US532457CG18</t>
        </is>
      </c>
      <c r="B505" s="30" t="inlineStr">
        <is>
          <t>Hold</t>
        </is>
      </c>
      <c r="C505" s="30" t="inlineStr">
        <is>
          <t>Eli Lilly &amp; Co</t>
        </is>
      </c>
      <c r="D505" s="30" t="n">
        <v>4.875</v>
      </c>
      <c r="E505" s="30" t="inlineStr">
        <is>
          <t>Sr Unsecured</t>
        </is>
      </c>
      <c r="F505" s="30" t="inlineStr">
        <is>
          <t>27.02.2053</t>
        </is>
      </c>
      <c r="G505" s="30" t="inlineStr">
        <is>
          <t>United states</t>
        </is>
      </c>
      <c r="H505" s="30" t="inlineStr">
        <is>
          <t>Consumer, Non-cyclical</t>
        </is>
      </c>
      <c r="I505" s="30" t="n">
        <v>2</v>
      </c>
      <c r="J505" s="30" t="n">
        <v>91.51600000000001</v>
      </c>
      <c r="K505" s="30" t="n">
        <v>5.473617</v>
      </c>
      <c r="L505" s="30" t="n">
        <v>-0.04972</v>
      </c>
      <c r="M505" s="30" t="n">
        <v>-0.127559</v>
      </c>
      <c r="N505" s="30" t="n">
        <v>59.603402</v>
      </c>
      <c r="O505" s="30" t="n">
        <v>14.23640573</v>
      </c>
      <c r="P505" s="30" t="n">
        <v>60</v>
      </c>
      <c r="Q505" s="30" t="inlineStr">
        <is>
          <t>Develops and sells pharmaceutical products for humans and animals</t>
        </is>
      </c>
      <c r="R505" s="30" t="inlineStr">
        <is>
          <t>USD</t>
        </is>
      </c>
      <c r="S505" s="30" t="inlineStr">
        <is>
          <t>Investment Grade</t>
        </is>
      </c>
      <c r="T505" s="30" t="inlineStr">
        <is>
          <t>A+</t>
        </is>
      </c>
      <c r="U505" s="30" t="inlineStr">
        <is>
          <t>A+</t>
        </is>
      </c>
      <c r="V505" s="30" t="n"/>
    </row>
    <row r="506">
      <c r="A506" s="30" t="inlineStr">
        <is>
          <t>XS2441552192</t>
        </is>
      </c>
      <c r="B506" s="30" t="inlineStr">
        <is>
          <t>Top Pick</t>
        </is>
      </c>
      <c r="C506" s="30" t="inlineStr">
        <is>
          <t>Goldman Sachs Group Inc</t>
        </is>
      </c>
      <c r="D506" s="30" t="n">
        <v>1.25</v>
      </c>
      <c r="E506" s="30" t="inlineStr">
        <is>
          <t>Sr Unsecured</t>
        </is>
      </c>
      <c r="F506" s="30" t="inlineStr">
        <is>
          <t>07.02.2029</t>
        </is>
      </c>
      <c r="G506" s="30" t="inlineStr">
        <is>
          <t>United states</t>
        </is>
      </c>
      <c r="H506" s="30" t="inlineStr">
        <is>
          <t>Financial</t>
        </is>
      </c>
      <c r="I506" s="30" t="n">
        <v>1</v>
      </c>
      <c r="J506" s="30" t="n">
        <v>95.14700000000001</v>
      </c>
      <c r="K506" s="30" t="n">
        <v>2.687405</v>
      </c>
      <c r="L506" s="30" t="n">
        <v>-0.08081099999999999</v>
      </c>
      <c r="M506" s="30" t="n">
        <v>-0.078667</v>
      </c>
      <c r="N506" s="30" t="n">
        <v>59.56255105</v>
      </c>
      <c r="O506" s="30" t="n">
        <v>3.766062359</v>
      </c>
      <c r="P506" s="30" t="n">
        <v>60</v>
      </c>
      <c r="Q506" s="30" t="inlineStr">
        <is>
          <t>One of the largest US investment banks</t>
        </is>
      </c>
      <c r="R506" s="30" t="inlineStr">
        <is>
          <t>EUR</t>
        </is>
      </c>
      <c r="S506" s="30" t="inlineStr">
        <is>
          <t>Investment Grade</t>
        </is>
      </c>
      <c r="T506" s="30" t="inlineStr">
        <is>
          <t>A-</t>
        </is>
      </c>
      <c r="U506" s="30" t="inlineStr">
        <is>
          <t>A-</t>
        </is>
      </c>
      <c r="V506" s="30" t="n"/>
    </row>
    <row r="507">
      <c r="A507" s="30" t="inlineStr">
        <is>
          <t>CH1371736815</t>
        </is>
      </c>
      <c r="B507" s="30" t="inlineStr">
        <is>
          <t>Hold</t>
        </is>
      </c>
      <c r="C507" s="30" t="inlineStr">
        <is>
          <t>Roche Kapitalmarkt Ag</t>
        </is>
      </c>
      <c r="D507" s="30" t="n">
        <v>1.0975</v>
      </c>
      <c r="E507" s="30" t="inlineStr">
        <is>
          <t>Sr Unsecured</t>
        </is>
      </c>
      <c r="F507" s="30" t="inlineStr">
        <is>
          <t>06.09.2034</t>
        </is>
      </c>
      <c r="G507" s="30" t="inlineStr">
        <is>
          <t>United states</t>
        </is>
      </c>
      <c r="H507" s="30" t="inlineStr">
        <is>
          <t>Consumer, Non-cyclical</t>
        </is>
      </c>
      <c r="I507" s="30" t="n">
        <v>5</v>
      </c>
      <c r="J507" s="30" t="n">
        <v>101.11</v>
      </c>
      <c r="K507" s="30" t="n">
        <v>0.970167</v>
      </c>
      <c r="L507" s="30" t="n">
        <v>0.0345</v>
      </c>
      <c r="M507" s="30" t="n">
        <v>0.181281</v>
      </c>
      <c r="N507" s="30" t="n">
        <v>59.55612913</v>
      </c>
      <c r="O507" s="30" t="n">
        <v>8.970466734</v>
      </c>
      <c r="P507" s="30" t="n">
        <v>0</v>
      </c>
      <c r="Q507" s="30" t="inlineStr">
        <is>
          <t>One of the largest Swiss pharmaceutical company</t>
        </is>
      </c>
      <c r="R507" s="30" t="inlineStr">
        <is>
          <t>CHF</t>
        </is>
      </c>
      <c r="S507" s="30" t="inlineStr">
        <is>
          <t>Investment Grade</t>
        </is>
      </c>
      <c r="T507" s="30" t="inlineStr">
        <is>
          <t>AA</t>
        </is>
      </c>
      <c r="U507" s="30" t="inlineStr">
        <is>
          <t>AA</t>
        </is>
      </c>
      <c r="V507" s="30" t="n"/>
    </row>
    <row r="508">
      <c r="A508" s="30" t="inlineStr">
        <is>
          <t>XS0928618569</t>
        </is>
      </c>
      <c r="B508" s="30" t="inlineStr">
        <is>
          <t xml:space="preserve">Hold </t>
        </is>
      </c>
      <c r="C508" s="30" t="inlineStr">
        <is>
          <t>Transport For London</t>
        </is>
      </c>
      <c r="D508" s="30" t="n">
        <v>3.625</v>
      </c>
      <c r="E508" s="30" t="inlineStr">
        <is>
          <t>Sr Unsecured</t>
        </is>
      </c>
      <c r="F508" s="30" t="inlineStr">
        <is>
          <t>15.05.2045</t>
        </is>
      </c>
      <c r="G508" s="30" t="inlineStr">
        <is>
          <t>United Kingdom</t>
        </is>
      </c>
      <c r="H508" s="30" t="inlineStr">
        <is>
          <t>Government</t>
        </is>
      </c>
      <c r="I508" s="30" t="n">
        <v>100</v>
      </c>
      <c r="J508" s="30" t="n">
        <v>74.325</v>
      </c>
      <c r="K508" s="30" t="n">
        <v>5.760255</v>
      </c>
      <c r="L508" s="30" t="n">
        <v>0.068665</v>
      </c>
      <c r="M508" s="30" t="n">
        <v>-0.016288</v>
      </c>
      <c r="N508" s="30" t="n">
        <v>59.43134913</v>
      </c>
      <c r="O508" s="30" t="n">
        <v>12.50700444</v>
      </c>
      <c r="P508" s="30" t="n">
        <v>85</v>
      </c>
      <c r="Q508" s="30" t="inlineStr">
        <is>
          <t>Manage and provide transportation facilities in London</t>
        </is>
      </c>
      <c r="R508" s="30" t="inlineStr">
        <is>
          <t>GBP</t>
        </is>
      </c>
      <c r="S508" s="30" t="inlineStr">
        <is>
          <t>Investment Grade</t>
        </is>
      </c>
      <c r="T508" s="30" t="inlineStr">
        <is>
          <t>A+</t>
        </is>
      </c>
      <c r="U508" s="30" t="inlineStr">
        <is>
          <t>A+</t>
        </is>
      </c>
      <c r="V508" s="30" t="n"/>
    </row>
    <row r="509">
      <c r="A509" s="30" t="inlineStr">
        <is>
          <t>XS2178769159</t>
        </is>
      </c>
      <c r="B509" s="30" t="inlineStr">
        <is>
          <t xml:space="preserve">Hold </t>
        </is>
      </c>
      <c r="C509" s="30" t="inlineStr">
        <is>
          <t>Fresenius Medical Care A</t>
        </is>
      </c>
      <c r="D509" s="30" t="n">
        <v>1.5</v>
      </c>
      <c r="E509" s="30" t="inlineStr">
        <is>
          <t>Sr Unsecured</t>
        </is>
      </c>
      <c r="F509" s="30" t="inlineStr">
        <is>
          <t>29.05.2030</t>
        </is>
      </c>
      <c r="G509" s="30" t="inlineStr">
        <is>
          <t>Germany</t>
        </is>
      </c>
      <c r="H509" s="30" t="inlineStr">
        <is>
          <t>Consumer, Non-cyclical</t>
        </is>
      </c>
      <c r="I509" s="30" t="n">
        <v>1</v>
      </c>
      <c r="J509" s="30" t="n">
        <v>93.797</v>
      </c>
      <c r="K509" s="30" t="n">
        <v>2.878494</v>
      </c>
      <c r="L509" s="30" t="n">
        <v>-0.151561</v>
      </c>
      <c r="M509" s="30" t="n">
        <v>-0.150252</v>
      </c>
      <c r="N509" s="30" t="n">
        <v>59.41248614</v>
      </c>
      <c r="O509" s="30" t="n">
        <v>4.875449278</v>
      </c>
      <c r="P509" s="30" t="n">
        <v>0</v>
      </c>
      <c r="Q509" s="30" t="inlineStr">
        <is>
          <t>One of the world's leading dialysis providers</t>
        </is>
      </c>
      <c r="R509" s="30" t="inlineStr">
        <is>
          <t>EUR</t>
        </is>
      </c>
      <c r="S509" s="30" t="inlineStr">
        <is>
          <t>Investment Grade</t>
        </is>
      </c>
      <c r="T509" s="30" t="inlineStr">
        <is>
          <t>BBB-</t>
        </is>
      </c>
      <c r="U509" s="30" t="inlineStr">
        <is>
          <t>BBB-</t>
        </is>
      </c>
      <c r="V509" s="30" t="n"/>
    </row>
    <row r="510">
      <c r="A510" s="30" t="inlineStr">
        <is>
          <t>XS2084418339</t>
        </is>
      </c>
      <c r="B510" s="30" t="inlineStr">
        <is>
          <t>Hold</t>
        </is>
      </c>
      <c r="C510" s="30" t="inlineStr">
        <is>
          <t>Cez As</t>
        </is>
      </c>
      <c r="D510" s="30" t="n">
        <v>0.875</v>
      </c>
      <c r="E510" s="30" t="inlineStr">
        <is>
          <t>Sr Unsecured</t>
        </is>
      </c>
      <c r="F510" s="30" t="inlineStr">
        <is>
          <t>02.12.2026</t>
        </is>
      </c>
      <c r="G510" s="30" t="inlineStr">
        <is>
          <t>Czech Republic</t>
        </is>
      </c>
      <c r="H510" s="30" t="inlineStr">
        <is>
          <t>Utilities</t>
        </is>
      </c>
      <c r="I510" s="30" t="n">
        <v>100</v>
      </c>
      <c r="J510" s="30" t="n">
        <v>97.858</v>
      </c>
      <c r="K510" s="30" t="n">
        <v>2.448152</v>
      </c>
      <c r="L510" s="30" t="n">
        <v>-0.10752</v>
      </c>
      <c r="M510" s="30" t="n">
        <v>-0.141591</v>
      </c>
      <c r="N510" s="30" t="n">
        <v>59.3157553</v>
      </c>
      <c r="O510" s="30" t="n">
        <v>1.711237864</v>
      </c>
      <c r="P510" s="30" t="n">
        <v>60</v>
      </c>
      <c r="Q510" s="30" t="inlineStr">
        <is>
          <t>Czech provider of integrated energy services owned by the government</t>
        </is>
      </c>
      <c r="R510" s="30" t="inlineStr">
        <is>
          <t>EUR</t>
        </is>
      </c>
      <c r="S510" s="30" t="inlineStr">
        <is>
          <t>Investment Grade</t>
        </is>
      </c>
      <c r="T510" s="30" t="inlineStr">
        <is>
          <t>BBB+</t>
        </is>
      </c>
      <c r="U510" s="30" t="inlineStr">
        <is>
          <t>BBB+</t>
        </is>
      </c>
      <c r="V510" s="30" t="n"/>
    </row>
    <row r="511">
      <c r="A511" s="30" t="inlineStr">
        <is>
          <t>US05530QAP54</t>
        </is>
      </c>
      <c r="B511" s="30" t="inlineStr">
        <is>
          <t>Top Pick</t>
        </is>
      </c>
      <c r="C511" s="30" t="inlineStr">
        <is>
          <t>Bat Intl Finance Plc</t>
        </is>
      </c>
      <c r="D511" s="30" t="n">
        <v>4.448</v>
      </c>
      <c r="E511" s="30" t="inlineStr">
        <is>
          <t>Sr Unsecured</t>
        </is>
      </c>
      <c r="F511" s="30" t="inlineStr">
        <is>
          <t>16.03.2028</t>
        </is>
      </c>
      <c r="G511" s="30" t="inlineStr">
        <is>
          <t>United Kingdom</t>
        </is>
      </c>
      <c r="H511" s="30" t="inlineStr">
        <is>
          <t>Consumer, Non-cyclical</t>
        </is>
      </c>
      <c r="I511" s="30" t="n">
        <v>2</v>
      </c>
      <c r="J511" s="30" t="n">
        <v>99.995</v>
      </c>
      <c r="K511" s="30" t="n">
        <v>4.447699</v>
      </c>
      <c r="L511" s="30" t="n">
        <v>0.063601</v>
      </c>
      <c r="M511" s="30" t="n">
        <v>-0.119408</v>
      </c>
      <c r="N511" s="30" t="n">
        <v>59.25801819</v>
      </c>
      <c r="O511" s="30" t="n">
        <v>2.779628269</v>
      </c>
      <c r="P511" s="30" t="n">
        <v>60</v>
      </c>
      <c r="Q511" s="30" t="inlineStr">
        <is>
          <t>Tobacco company</t>
        </is>
      </c>
      <c r="R511" s="30" t="inlineStr">
        <is>
          <t>USD</t>
        </is>
      </c>
      <c r="S511" s="30" t="inlineStr">
        <is>
          <t>Investment Grade</t>
        </is>
      </c>
      <c r="T511" s="30" t="inlineStr">
        <is>
          <t>BBB+</t>
        </is>
      </c>
      <c r="U511" s="30" t="inlineStr">
        <is>
          <t>BBB+</t>
        </is>
      </c>
      <c r="V511" s="30" t="n"/>
    </row>
    <row r="512">
      <c r="A512" s="30" t="inlineStr">
        <is>
          <t>XS2577135127</t>
        </is>
      </c>
      <c r="B512" s="30" t="inlineStr">
        <is>
          <t>Top pick</t>
        </is>
      </c>
      <c r="C512" s="30" t="inlineStr">
        <is>
          <t>Saudi International Bond</t>
        </is>
      </c>
      <c r="D512" s="30" t="n">
        <v>4.875</v>
      </c>
      <c r="E512" s="30" t="inlineStr">
        <is>
          <t>Sr Unsecured</t>
        </is>
      </c>
      <c r="F512" s="30" t="inlineStr">
        <is>
          <t>18.07.2033</t>
        </is>
      </c>
      <c r="G512" s="30" t="inlineStr">
        <is>
          <t>Saudi Arabia</t>
        </is>
      </c>
      <c r="H512" s="30" t="inlineStr">
        <is>
          <t>Government</t>
        </is>
      </c>
      <c r="I512" s="30" t="n">
        <v>200</v>
      </c>
      <c r="J512" s="30" t="n">
        <v>100.474</v>
      </c>
      <c r="K512" s="30" t="n">
        <v>4.802915</v>
      </c>
      <c r="L512" s="30" t="n">
        <v>-0.025677</v>
      </c>
      <c r="M512" s="30" t="n">
        <v>-0.13102</v>
      </c>
      <c r="N512" s="30" t="n">
        <v>58.91333797</v>
      </c>
      <c r="O512" s="30" t="n">
        <v>6.756165877</v>
      </c>
      <c r="P512" s="30" t="n">
        <v>80</v>
      </c>
      <c r="Q512" s="30" t="inlineStr">
        <is>
          <t>Kingdom of Saudia sovereign bond</t>
        </is>
      </c>
      <c r="R512" s="30" t="inlineStr">
        <is>
          <t>USD</t>
        </is>
      </c>
      <c r="S512" s="30" t="inlineStr">
        <is>
          <t>Investment Grade</t>
        </is>
      </c>
      <c r="T512" s="30" t="inlineStr">
        <is>
          <t>A+</t>
        </is>
      </c>
      <c r="U512" s="30" t="inlineStr">
        <is>
          <t>A+</t>
        </is>
      </c>
      <c r="V512" s="30" t="n"/>
    </row>
    <row r="513">
      <c r="A513" s="30" t="inlineStr">
        <is>
          <t>US25389JAT34</t>
        </is>
      </c>
      <c r="B513" s="30" t="inlineStr">
        <is>
          <t>Top Pick</t>
        </is>
      </c>
      <c r="C513" s="30" t="inlineStr">
        <is>
          <t>Digital Realty Trust Lp</t>
        </is>
      </c>
      <c r="D513" s="30" t="n">
        <v>4.45</v>
      </c>
      <c r="E513" s="30" t="inlineStr">
        <is>
          <t>Sr Unsecured</t>
        </is>
      </c>
      <c r="F513" s="30" t="inlineStr">
        <is>
          <t>15.07.2028</t>
        </is>
      </c>
      <c r="G513" s="30" t="inlineStr">
        <is>
          <t>United states</t>
        </is>
      </c>
      <c r="H513" s="30" t="inlineStr">
        <is>
          <t>Financial</t>
        </is>
      </c>
      <c r="I513" s="30" t="n">
        <v>2</v>
      </c>
      <c r="J513" s="30" t="n">
        <v>99.932</v>
      </c>
      <c r="K513" s="30" t="n">
        <v>4.473996</v>
      </c>
      <c r="L513" s="30" t="n">
        <v>0.041524</v>
      </c>
      <c r="M513" s="30" t="n">
        <v>-0.122898</v>
      </c>
      <c r="N513" s="30" t="n">
        <v>58.9010797</v>
      </c>
      <c r="O513" s="30" t="n">
        <v>3.101619447</v>
      </c>
      <c r="P513" s="30" t="n">
        <v>0</v>
      </c>
      <c r="Q513" s="30" t="inlineStr">
        <is>
          <t xml:space="preserve">Owns and operate data centres </t>
        </is>
      </c>
      <c r="R513" s="30" t="inlineStr">
        <is>
          <t>USD</t>
        </is>
      </c>
      <c r="S513" s="30" t="inlineStr">
        <is>
          <t>Investment Grade</t>
        </is>
      </c>
      <c r="T513" s="30" t="inlineStr">
        <is>
          <t>BBB</t>
        </is>
      </c>
      <c r="U513" s="30" t="inlineStr">
        <is>
          <t>BBB</t>
        </is>
      </c>
      <c r="V513" s="30" t="n"/>
    </row>
    <row r="514">
      <c r="A514" s="30" t="inlineStr">
        <is>
          <t>US718172DP15</t>
        </is>
      </c>
      <c r="B514" s="30" t="inlineStr">
        <is>
          <t>Top Pick</t>
        </is>
      </c>
      <c r="C514" s="30" t="inlineStr">
        <is>
          <t>Philip Morris Intl Inc</t>
        </is>
      </c>
      <c r="D514" s="30" t="n">
        <v>4.75</v>
      </c>
      <c r="E514" s="30" t="inlineStr">
        <is>
          <t>Sr Unsecured</t>
        </is>
      </c>
      <c r="F514" s="30" t="inlineStr">
        <is>
          <t>01.11.2031</t>
        </is>
      </c>
      <c r="G514" s="30" t="inlineStr">
        <is>
          <t>United states</t>
        </is>
      </c>
      <c r="H514" s="30" t="inlineStr">
        <is>
          <t>Consumer, Non-cyclical</t>
        </is>
      </c>
      <c r="I514" s="30" t="n">
        <v>2</v>
      </c>
      <c r="J514" s="30" t="n">
        <v>100.43</v>
      </c>
      <c r="K514" s="30" t="n">
        <v>4.66829</v>
      </c>
      <c r="L514" s="30" t="n">
        <v>0.018722</v>
      </c>
      <c r="M514" s="30" t="n">
        <v>-0.149059</v>
      </c>
      <c r="N514" s="30" t="n">
        <v>58.78365608</v>
      </c>
      <c r="O514" s="30" t="n">
        <v>5.58125733</v>
      </c>
      <c r="P514" s="30" t="n">
        <v>0</v>
      </c>
      <c r="Q514" s="30" t="inlineStr">
        <is>
          <t>World's leading international tobacco company</t>
        </is>
      </c>
      <c r="R514" s="30" t="inlineStr">
        <is>
          <t>USD</t>
        </is>
      </c>
      <c r="S514" s="30" t="inlineStr">
        <is>
          <t>Investment Grade</t>
        </is>
      </c>
      <c r="T514" s="30" t="inlineStr">
        <is>
          <t>A-</t>
        </is>
      </c>
      <c r="U514" s="30" t="inlineStr">
        <is>
          <t>A-</t>
        </is>
      </c>
      <c r="V514" s="30" t="n"/>
    </row>
    <row r="515">
      <c r="A515" s="30" t="inlineStr">
        <is>
          <t>XS2582814039</t>
        </is>
      </c>
      <c r="B515" s="30" t="inlineStr">
        <is>
          <t>Hold</t>
        </is>
      </c>
      <c r="C515" s="30" t="inlineStr">
        <is>
          <t>British Telecommunicatio</t>
        </is>
      </c>
      <c r="D515" s="30" t="n">
        <v>3.75</v>
      </c>
      <c r="E515" s="30" t="inlineStr">
        <is>
          <t>Sr Unsecured</t>
        </is>
      </c>
      <c r="F515" s="30" t="inlineStr">
        <is>
          <t>13.05.2031</t>
        </is>
      </c>
      <c r="G515" s="30" t="inlineStr">
        <is>
          <t>United Kingdom</t>
        </is>
      </c>
      <c r="H515" s="30" t="inlineStr">
        <is>
          <t>Communications</t>
        </is>
      </c>
      <c r="I515" s="30" t="n">
        <v>100</v>
      </c>
      <c r="J515" s="30" t="n">
        <v>103.821</v>
      </c>
      <c r="K515" s="30" t="n">
        <v>2.998997</v>
      </c>
      <c r="L515" s="30" t="n">
        <v>-0.126967</v>
      </c>
      <c r="M515" s="30" t="n">
        <v>-0.135449</v>
      </c>
      <c r="N515" s="30" t="n">
        <v>58.02538552</v>
      </c>
      <c r="O515" s="30" t="n">
        <v>5.157702996</v>
      </c>
      <c r="P515" s="30" t="n">
        <v>60</v>
      </c>
      <c r="Q515" s="30" t="inlineStr">
        <is>
          <t>UK telecom company</t>
        </is>
      </c>
      <c r="R515" s="30" t="inlineStr">
        <is>
          <t>EUR</t>
        </is>
      </c>
      <c r="S515" s="30" t="inlineStr">
        <is>
          <t>Investment Grade</t>
        </is>
      </c>
      <c r="T515" s="30" t="inlineStr">
        <is>
          <t>BBB</t>
        </is>
      </c>
      <c r="U515" s="30" t="inlineStr">
        <is>
          <t>BBB</t>
        </is>
      </c>
      <c r="V515" s="30" t="n"/>
    </row>
    <row r="516">
      <c r="A516" s="30" t="inlineStr">
        <is>
          <t>US22535EAC12</t>
        </is>
      </c>
      <c r="B516" s="30" t="inlineStr">
        <is>
          <t>Hold</t>
        </is>
      </c>
      <c r="C516" s="30" t="inlineStr">
        <is>
          <t>Credit Agricole Sa</t>
        </is>
      </c>
      <c r="D516" s="30" t="n">
        <v>5.301</v>
      </c>
      <c r="E516" s="30" t="inlineStr">
        <is>
          <t>Sr Preferred</t>
        </is>
      </c>
      <c r="F516" s="30" t="inlineStr">
        <is>
          <t>12.07.2028</t>
        </is>
      </c>
      <c r="G516" s="30" t="inlineStr">
        <is>
          <t>France</t>
        </is>
      </c>
      <c r="H516" s="30" t="inlineStr">
        <is>
          <t>Financial</t>
        </is>
      </c>
      <c r="I516" s="30" t="n">
        <v>250</v>
      </c>
      <c r="J516" s="30" t="n">
        <v>102.487</v>
      </c>
      <c r="K516" s="30" t="n">
        <v>4.409902</v>
      </c>
      <c r="L516" s="30" t="n">
        <v>0.105971</v>
      </c>
      <c r="M516" s="30" t="n">
        <v>-0.107879</v>
      </c>
      <c r="N516" s="30" t="n">
        <v>57.88895006</v>
      </c>
      <c r="O516" s="30" t="n">
        <v>3.058374481</v>
      </c>
      <c r="P516" s="30" t="n">
        <v>80</v>
      </c>
      <c r="Q516" s="30" t="inlineStr">
        <is>
          <t>One of the largest retail bank in Europe</t>
        </is>
      </c>
      <c r="R516" s="30" t="inlineStr">
        <is>
          <t>USD</t>
        </is>
      </c>
      <c r="S516" s="30" t="inlineStr">
        <is>
          <t>Investment Grade</t>
        </is>
      </c>
      <c r="T516" s="30" t="inlineStr">
        <is>
          <t>A+</t>
        </is>
      </c>
      <c r="U516" s="30" t="inlineStr">
        <is>
          <t>A+</t>
        </is>
      </c>
      <c r="V516" s="30" t="n"/>
    </row>
    <row r="517">
      <c r="A517" s="30" t="inlineStr">
        <is>
          <t>XS2723549361</t>
        </is>
      </c>
      <c r="B517" s="30" t="inlineStr">
        <is>
          <t>Hold</t>
        </is>
      </c>
      <c r="C517" s="30" t="inlineStr">
        <is>
          <t>Cie De Saint-Gobain Sa</t>
        </is>
      </c>
      <c r="D517" s="30" t="n">
        <v>3.875</v>
      </c>
      <c r="E517" s="30" t="inlineStr">
        <is>
          <t>Sr Unsecured</t>
        </is>
      </c>
      <c r="F517" s="30" t="inlineStr">
        <is>
          <t>29.11.2030</t>
        </is>
      </c>
      <c r="G517" s="30" t="inlineStr">
        <is>
          <t>France</t>
        </is>
      </c>
      <c r="H517" s="30" t="inlineStr">
        <is>
          <t>Industrial</t>
        </is>
      </c>
      <c r="I517" s="30" t="n">
        <v>100</v>
      </c>
      <c r="J517" s="30" t="n">
        <v>104.47</v>
      </c>
      <c r="K517" s="30" t="n">
        <v>2.924561</v>
      </c>
      <c r="L517" s="30" t="n">
        <v>-0.07287</v>
      </c>
      <c r="M517" s="30" t="n">
        <v>-0.08785</v>
      </c>
      <c r="N517" s="30" t="n">
        <v>57.74721426</v>
      </c>
      <c r="O517" s="30" t="n">
        <v>4.880382841</v>
      </c>
      <c r="P517" s="30" t="n">
        <v>60</v>
      </c>
      <c r="Q517" s="30" t="inlineStr">
        <is>
          <t>Manufactures glass products and construction materials</t>
        </is>
      </c>
      <c r="R517" s="30" t="inlineStr">
        <is>
          <t>EUR</t>
        </is>
      </c>
      <c r="S517" s="30" t="inlineStr">
        <is>
          <t>Investment Grade</t>
        </is>
      </c>
      <c r="T517" s="30" t="inlineStr">
        <is>
          <t>BBB+</t>
        </is>
      </c>
      <c r="U517" s="30" t="inlineStr">
        <is>
          <t>BBB+</t>
        </is>
      </c>
      <c r="V517" s="30" t="n"/>
    </row>
    <row r="518">
      <c r="A518" s="30" t="inlineStr">
        <is>
          <t>US47215PAE60</t>
        </is>
      </c>
      <c r="B518" s="30" t="inlineStr">
        <is>
          <t>Hold</t>
        </is>
      </c>
      <c r="C518" s="30" t="inlineStr">
        <is>
          <t>Jd.Com Inc</t>
        </is>
      </c>
      <c r="D518" s="30" t="n">
        <v>3.375</v>
      </c>
      <c r="E518" s="30" t="inlineStr">
        <is>
          <t>Sr Unsecured</t>
        </is>
      </c>
      <c r="F518" s="30" t="inlineStr">
        <is>
          <t>14.01.2030</t>
        </is>
      </c>
      <c r="G518" s="30" t="inlineStr">
        <is>
          <t>China</t>
        </is>
      </c>
      <c r="H518" s="30" t="inlineStr">
        <is>
          <t>Communications</t>
        </is>
      </c>
      <c r="I518" s="30" t="n">
        <v>200</v>
      </c>
      <c r="J518" s="30" t="n">
        <v>95.44</v>
      </c>
      <c r="K518" s="30" t="n">
        <v>4.501844</v>
      </c>
      <c r="L518" s="30" t="n">
        <v>0.087439</v>
      </c>
      <c r="M518" s="30" t="n">
        <v>-0.103462</v>
      </c>
      <c r="N518" s="30" t="n">
        <v>57.72828855</v>
      </c>
      <c r="O518" s="30" t="n">
        <v>4.413945317</v>
      </c>
      <c r="P518" s="30" t="n">
        <v>55</v>
      </c>
      <c r="Q518" s="30" t="inlineStr">
        <is>
          <t>Online direct sales company in China</t>
        </is>
      </c>
      <c r="R518" s="30" t="inlineStr">
        <is>
          <t>USD</t>
        </is>
      </c>
      <c r="S518" s="30" t="inlineStr">
        <is>
          <t>Investment Grade</t>
        </is>
      </c>
      <c r="T518" s="30" t="inlineStr">
        <is>
          <t>A-</t>
        </is>
      </c>
      <c r="U518" s="30" t="inlineStr">
        <is>
          <t>A-</t>
        </is>
      </c>
      <c r="V518" s="30" t="n"/>
    </row>
    <row r="519">
      <c r="A519" s="30" t="inlineStr">
        <is>
          <t>XS0944831154</t>
        </is>
      </c>
      <c r="B519" s="30" t="inlineStr">
        <is>
          <t>Hold</t>
        </is>
      </c>
      <c r="C519" s="30" t="inlineStr">
        <is>
          <t>Rolls-Royce Plc</t>
        </is>
      </c>
      <c r="D519" s="30" t="n">
        <v>3.375</v>
      </c>
      <c r="E519" s="30" t="inlineStr">
        <is>
          <t>Sr Unsecured</t>
        </is>
      </c>
      <c r="F519" s="30" t="inlineStr">
        <is>
          <t>18.06.2026</t>
        </is>
      </c>
      <c r="G519" s="30" t="inlineStr">
        <is>
          <t>United Kingdom</t>
        </is>
      </c>
      <c r="H519" s="30" t="inlineStr">
        <is>
          <t>Industrial</t>
        </is>
      </c>
      <c r="I519" s="30" t="n">
        <v>100</v>
      </c>
      <c r="J519" s="30" t="n">
        <v>99.036</v>
      </c>
      <c r="K519" s="30" t="n">
        <v>4.432524</v>
      </c>
      <c r="L519" s="30" t="n">
        <v>-0.061742</v>
      </c>
      <c r="M519" s="30" t="n">
        <v>-0.216485</v>
      </c>
      <c r="N519" s="30" t="n">
        <v>56.83291161</v>
      </c>
      <c r="O519" s="30" t="n">
        <v>1.222274198</v>
      </c>
      <c r="P519" s="30" t="n">
        <v>20</v>
      </c>
      <c r="Q519" s="30" t="inlineStr">
        <is>
          <t xml:space="preserve">Manufactures aero, marine, and industrial gas turbines for civil and military aircraft. </t>
        </is>
      </c>
      <c r="R519" s="30" t="inlineStr">
        <is>
          <t>GBP</t>
        </is>
      </c>
      <c r="S519" s="30" t="inlineStr">
        <is>
          <t>High Yield</t>
        </is>
      </c>
      <c r="T519" s="30" t="inlineStr">
        <is>
          <t>BBB</t>
        </is>
      </c>
      <c r="U519" s="30" t="inlineStr">
        <is>
          <t>BBB-</t>
        </is>
      </c>
      <c r="V519" s="30" t="n"/>
    </row>
    <row r="520">
      <c r="A520" s="30" t="inlineStr">
        <is>
          <t>US11135FBY60</t>
        </is>
      </c>
      <c r="B520" s="30" t="inlineStr">
        <is>
          <t>Top Pick</t>
        </is>
      </c>
      <c r="C520" s="30" t="inlineStr">
        <is>
          <t>Broadcom Inc</t>
        </is>
      </c>
      <c r="D520" s="30" t="n">
        <v>5.15</v>
      </c>
      <c r="E520" s="30" t="inlineStr">
        <is>
          <t>Sr Unsecured</t>
        </is>
      </c>
      <c r="F520" s="30" t="inlineStr">
        <is>
          <t>15.11.2031</t>
        </is>
      </c>
      <c r="G520" s="30" t="inlineStr">
        <is>
          <t>United states</t>
        </is>
      </c>
      <c r="H520" s="30" t="inlineStr">
        <is>
          <t>Technology</t>
        </is>
      </c>
      <c r="I520" s="30" t="n">
        <v>2</v>
      </c>
      <c r="J520" s="30" t="n">
        <v>102.687</v>
      </c>
      <c r="K520" s="30" t="n">
        <v>4.645037</v>
      </c>
      <c r="L520" s="30" t="n">
        <v>-0.006626</v>
      </c>
      <c r="M520" s="30" t="n">
        <v>-0.177595</v>
      </c>
      <c r="N520" s="30" t="n">
        <v>56.79776514</v>
      </c>
      <c r="O520" s="30" t="n">
        <v>5.444402829</v>
      </c>
      <c r="P520" s="30" t="n">
        <v>0</v>
      </c>
      <c r="Q520" s="30" t="inlineStr">
        <is>
          <t xml:space="preserve">Diversified semi-conductor company </t>
        </is>
      </c>
      <c r="R520" s="30" t="inlineStr">
        <is>
          <t>USD</t>
        </is>
      </c>
      <c r="S520" s="30" t="inlineStr">
        <is>
          <t>Investment Grade</t>
        </is>
      </c>
      <c r="T520" s="30" t="inlineStr">
        <is>
          <t>BBB</t>
        </is>
      </c>
      <c r="U520" s="30" t="inlineStr">
        <is>
          <t>BBB</t>
        </is>
      </c>
      <c r="V520" s="30" t="n"/>
    </row>
    <row r="521">
      <c r="A521" s="30" t="inlineStr">
        <is>
          <t>XS0123656836</t>
        </is>
      </c>
      <c r="B521" s="30" t="inlineStr">
        <is>
          <t>Not accumulate</t>
        </is>
      </c>
      <c r="C521" s="30" t="inlineStr">
        <is>
          <t>Sncf Reseau</t>
        </is>
      </c>
      <c r="D521" s="30" t="n">
        <v>5.25</v>
      </c>
      <c r="E521" s="30" t="inlineStr">
        <is>
          <t>Sr Unsecured</t>
        </is>
      </c>
      <c r="F521" s="30" t="inlineStr">
        <is>
          <t>31.01.2035</t>
        </is>
      </c>
      <c r="G521" s="30" t="inlineStr">
        <is>
          <t>France</t>
        </is>
      </c>
      <c r="H521" s="30" t="inlineStr">
        <is>
          <t>Industrial</t>
        </is>
      </c>
      <c r="I521" s="30" t="n">
        <v>1</v>
      </c>
      <c r="J521" s="30" t="n">
        <v>101.078</v>
      </c>
      <c r="K521" s="30" t="n">
        <v>5.037008</v>
      </c>
      <c r="L521" s="30" t="n">
        <v>0.075478</v>
      </c>
      <c r="M521" s="30" t="n">
        <v>-0.04568</v>
      </c>
      <c r="N521" s="30" t="n">
        <v>56.72249856</v>
      </c>
      <c r="O521" s="30" t="n">
        <v>7.577135792</v>
      </c>
      <c r="P521" s="30" t="n">
        <v>85</v>
      </c>
      <c r="Q521" s="30" t="inlineStr">
        <is>
          <t>Provides railway network management services</t>
        </is>
      </c>
      <c r="R521" s="30" t="inlineStr">
        <is>
          <t>GBP</t>
        </is>
      </c>
      <c r="S521" s="30" t="inlineStr">
        <is>
          <t>Investment Grade</t>
        </is>
      </c>
      <c r="T521" s="30" t="inlineStr">
        <is>
          <t>AA-</t>
        </is>
      </c>
      <c r="U521" s="30" t="inlineStr">
        <is>
          <t>AA-</t>
        </is>
      </c>
      <c r="V521" s="30" t="n"/>
    </row>
    <row r="522">
      <c r="A522" s="30" t="inlineStr">
        <is>
          <t>BE6258029741</t>
        </is>
      </c>
      <c r="B522" s="30" t="inlineStr">
        <is>
          <t>Hold</t>
        </is>
      </c>
      <c r="C522" s="30" t="inlineStr">
        <is>
          <t>Anheuser-Busch Inbev Sa/</t>
        </is>
      </c>
      <c r="D522" s="30" t="n">
        <v>4</v>
      </c>
      <c r="E522" s="30" t="inlineStr">
        <is>
          <t>Sr Unsecured</t>
        </is>
      </c>
      <c r="F522" s="30" t="inlineStr">
        <is>
          <t>24.09.2025</t>
        </is>
      </c>
      <c r="G522" s="30" t="inlineStr">
        <is>
          <t>Belgium</t>
        </is>
      </c>
      <c r="H522" s="30" t="inlineStr">
        <is>
          <t>Consumer, Non-cyclical</t>
        </is>
      </c>
      <c r="I522" s="30" t="n">
        <v>100</v>
      </c>
      <c r="J522" s="30" t="n">
        <v>99.88800000000001</v>
      </c>
      <c r="K522" s="30" t="n">
        <v>4.397055</v>
      </c>
      <c r="L522" s="30" t="n">
        <v>-0.050225</v>
      </c>
      <c r="M522" s="30" t="n">
        <v>-0.190482</v>
      </c>
      <c r="N522" s="30" t="n">
        <v>56.57308825</v>
      </c>
      <c r="O522" s="30" t="n">
        <v>0.566182484</v>
      </c>
      <c r="P522" s="30" t="n">
        <v>75</v>
      </c>
      <c r="Q522" s="30" t="inlineStr">
        <is>
          <t>the world's largest brewing company</t>
        </is>
      </c>
      <c r="R522" s="30" t="inlineStr">
        <is>
          <t>GBP</t>
        </is>
      </c>
      <c r="S522" s="30" t="inlineStr">
        <is>
          <t>Investment Grade</t>
        </is>
      </c>
      <c r="T522" s="30" t="inlineStr">
        <is>
          <t>A-</t>
        </is>
      </c>
      <c r="U522" s="30" t="inlineStr">
        <is>
          <t>A-</t>
        </is>
      </c>
      <c r="V522" s="30" t="n"/>
    </row>
    <row r="523">
      <c r="A523" s="30" t="inlineStr">
        <is>
          <t>US10373QBT67</t>
        </is>
      </c>
      <c r="B523" s="30" t="inlineStr">
        <is>
          <t>Hold</t>
        </is>
      </c>
      <c r="C523" s="30" t="inlineStr">
        <is>
          <t>Bp Cap Markets America</t>
        </is>
      </c>
      <c r="D523" s="30" t="n">
        <v>2.721</v>
      </c>
      <c r="E523" s="30" t="inlineStr">
        <is>
          <t>Sr Unsecured</t>
        </is>
      </c>
      <c r="F523" s="30" t="inlineStr">
        <is>
          <t>12.01.2032</t>
        </is>
      </c>
      <c r="G523" s="30" t="inlineStr">
        <is>
          <t>United states</t>
        </is>
      </c>
      <c r="H523" s="30" t="inlineStr">
        <is>
          <t>Energy</t>
        </is>
      </c>
      <c r="I523" s="30" t="n">
        <v>1</v>
      </c>
      <c r="J523" s="30" t="n">
        <v>89.235</v>
      </c>
      <c r="K523" s="30" t="n">
        <v>4.656582</v>
      </c>
      <c r="L523" s="30" t="n">
        <v>-0.024164</v>
      </c>
      <c r="M523" s="30" t="n">
        <v>-0.185228</v>
      </c>
      <c r="N523" s="30" t="n">
        <v>56.49479937</v>
      </c>
      <c r="O523" s="30" t="n">
        <v>6.100384526</v>
      </c>
      <c r="P523" s="30" t="n">
        <v>80</v>
      </c>
      <c r="Q523" s="30" t="inlineStr">
        <is>
          <t>Leading oil and gas company</t>
        </is>
      </c>
      <c r="R523" s="30" t="inlineStr">
        <is>
          <t>USD</t>
        </is>
      </c>
      <c r="S523" s="30" t="inlineStr">
        <is>
          <t>Investment Grade</t>
        </is>
      </c>
      <c r="T523" s="30" t="inlineStr">
        <is>
          <t>A</t>
        </is>
      </c>
      <c r="U523" s="30" t="inlineStr">
        <is>
          <t>A</t>
        </is>
      </c>
      <c r="V523" s="30" t="n"/>
    </row>
    <row r="524">
      <c r="A524" s="30" t="inlineStr">
        <is>
          <t>FR001400A1H6</t>
        </is>
      </c>
      <c r="B524" s="30" t="inlineStr">
        <is>
          <t>Hold</t>
        </is>
      </c>
      <c r="C524" s="30" t="inlineStr">
        <is>
          <t>Engie Sa</t>
        </is>
      </c>
      <c r="D524" s="30" t="n">
        <v>3.5</v>
      </c>
      <c r="E524" s="30" t="inlineStr">
        <is>
          <t>Sr Unsecured</t>
        </is>
      </c>
      <c r="F524" s="30" t="inlineStr">
        <is>
          <t>27.09.2029</t>
        </is>
      </c>
      <c r="G524" s="30" t="inlineStr">
        <is>
          <t>France</t>
        </is>
      </c>
      <c r="H524" s="30" t="inlineStr">
        <is>
          <t>Utilities</t>
        </is>
      </c>
      <c r="I524" s="30" t="n">
        <v>100</v>
      </c>
      <c r="J524" s="30" t="n">
        <v>102.825</v>
      </c>
      <c r="K524" s="30" t="n">
        <v>2.739451</v>
      </c>
      <c r="L524" s="30" t="n">
        <v>-0.057285</v>
      </c>
      <c r="M524" s="30" t="n">
        <v>-0.096223</v>
      </c>
      <c r="N524" s="30" t="n">
        <v>56.27559342</v>
      </c>
      <c r="O524" s="30" t="n">
        <v>3.93049882</v>
      </c>
      <c r="P524" s="30" t="n">
        <v>60</v>
      </c>
      <c r="Q524" s="30" t="inlineStr">
        <is>
          <t>French utility company specialised in renewables</t>
        </is>
      </c>
      <c r="R524" s="30" t="inlineStr">
        <is>
          <t>EUR</t>
        </is>
      </c>
      <c r="S524" s="30" t="inlineStr">
        <is>
          <t>Investment Grade</t>
        </is>
      </c>
      <c r="T524" s="30" t="inlineStr">
        <is>
          <t>BBB+</t>
        </is>
      </c>
      <c r="U524" s="30" t="inlineStr">
        <is>
          <t>BBB+</t>
        </is>
      </c>
      <c r="V524" s="30" t="n"/>
    </row>
    <row r="525">
      <c r="A525" s="30" t="inlineStr">
        <is>
          <t>XS2583742239</t>
        </is>
      </c>
      <c r="B525" s="30" t="inlineStr">
        <is>
          <t>Hold</t>
        </is>
      </c>
      <c r="C525" s="30" t="inlineStr">
        <is>
          <t>Ibm Corp</t>
        </is>
      </c>
      <c r="D525" s="30" t="n">
        <v>3.625</v>
      </c>
      <c r="E525" s="30" t="inlineStr">
        <is>
          <t>Sr Unsecured</t>
        </is>
      </c>
      <c r="F525" s="30" t="inlineStr">
        <is>
          <t>06.02.2031</t>
        </is>
      </c>
      <c r="G525" s="30" t="inlineStr">
        <is>
          <t>United states</t>
        </is>
      </c>
      <c r="H525" s="30" t="inlineStr">
        <is>
          <t>Technology</t>
        </is>
      </c>
      <c r="I525" s="30" t="n">
        <v>100</v>
      </c>
      <c r="J525" s="30" t="n">
        <v>103.302</v>
      </c>
      <c r="K525" s="30" t="n">
        <v>2.9456</v>
      </c>
      <c r="L525" s="30" t="n">
        <v>-0.096272</v>
      </c>
      <c r="M525" s="30" t="n">
        <v>-0.076486</v>
      </c>
      <c r="N525" s="30" t="n">
        <v>56.26486039</v>
      </c>
      <c r="O525" s="30" t="n">
        <v>5.087463817</v>
      </c>
      <c r="P525" s="30" t="n">
        <v>80</v>
      </c>
      <c r="Q525" s="30" t="inlineStr">
        <is>
          <t>International Business Machines Corporation (IBM) provides computer solutions</t>
        </is>
      </c>
      <c r="R525" s="30" t="inlineStr">
        <is>
          <t>EUR</t>
        </is>
      </c>
      <c r="S525" s="30" t="inlineStr">
        <is>
          <t>Investment Grade</t>
        </is>
      </c>
      <c r="T525" s="30" t="inlineStr">
        <is>
          <t>A-</t>
        </is>
      </c>
      <c r="U525" s="30" t="inlineStr">
        <is>
          <t>A-</t>
        </is>
      </c>
      <c r="V525" s="30" t="n"/>
    </row>
    <row r="526">
      <c r="A526" s="30" t="inlineStr">
        <is>
          <t>XS2233217558</t>
        </is>
      </c>
      <c r="B526" s="30" t="inlineStr">
        <is>
          <t>Top Pick</t>
        </is>
      </c>
      <c r="C526" s="30" t="inlineStr">
        <is>
          <t>Edp Finance Bv</t>
        </is>
      </c>
      <c r="D526" s="30" t="n">
        <v>1.71</v>
      </c>
      <c r="E526" s="30" t="inlineStr">
        <is>
          <t>Sr Unsecured</t>
        </is>
      </c>
      <c r="F526" s="30" t="inlineStr">
        <is>
          <t>24.01.2028</t>
        </is>
      </c>
      <c r="G526" s="30" t="inlineStr">
        <is>
          <t>Portugal</t>
        </is>
      </c>
      <c r="H526" s="30" t="inlineStr">
        <is>
          <t>Utilities</t>
        </is>
      </c>
      <c r="I526" s="30" t="n">
        <v>200</v>
      </c>
      <c r="J526" s="30" t="n">
        <v>93.59999999999999</v>
      </c>
      <c r="K526" s="30" t="n">
        <v>4.398893</v>
      </c>
      <c r="L526" s="30" t="n">
        <v>0.031383</v>
      </c>
      <c r="M526" s="30" t="n">
        <v>-0.238369</v>
      </c>
      <c r="N526" s="30" t="n">
        <v>56.23817411</v>
      </c>
      <c r="O526" s="30" t="n">
        <v>2.782140957</v>
      </c>
      <c r="P526" s="30" t="n">
        <v>60</v>
      </c>
      <c r="Q526" s="30" t="inlineStr">
        <is>
          <t>Portugal's largest utility company</t>
        </is>
      </c>
      <c r="R526" s="30" t="inlineStr">
        <is>
          <t>USD</t>
        </is>
      </c>
      <c r="S526" s="30" t="inlineStr">
        <is>
          <t>Investment Grade</t>
        </is>
      </c>
      <c r="T526" s="30" t="inlineStr">
        <is>
          <t>BBB</t>
        </is>
      </c>
      <c r="U526" s="30" t="inlineStr">
        <is>
          <t>BBB</t>
        </is>
      </c>
      <c r="V526" s="30" t="n"/>
    </row>
    <row r="527">
      <c r="A527" s="30" t="inlineStr">
        <is>
          <t>USG2176WAB21</t>
        </is>
      </c>
      <c r="B527" s="30" t="inlineStr">
        <is>
          <t>Top pick</t>
        </is>
      </c>
      <c r="C527" s="30" t="inlineStr">
        <is>
          <t>Ck Hutchison Intl 16 Ltd</t>
        </is>
      </c>
      <c r="D527" s="30" t="n">
        <v>2.75</v>
      </c>
      <c r="E527" s="30" t="inlineStr">
        <is>
          <t>Sr Unsecured</t>
        </is>
      </c>
      <c r="F527" s="30" t="inlineStr">
        <is>
          <t>03.10.2026</t>
        </is>
      </c>
      <c r="G527" s="30" t="inlineStr">
        <is>
          <t>United Kingdom</t>
        </is>
      </c>
      <c r="H527" s="30" t="inlineStr">
        <is>
          <t>Diversified</t>
        </is>
      </c>
      <c r="I527" s="30" t="n">
        <v>200</v>
      </c>
      <c r="J527" s="30" t="n">
        <v>97.886</v>
      </c>
      <c r="K527" s="30" t="n">
        <v>4.524516</v>
      </c>
      <c r="L527" s="30" t="n">
        <v>0.083907</v>
      </c>
      <c r="M527" s="30" t="n">
        <v>-0.091955</v>
      </c>
      <c r="N527" s="30" t="n">
        <v>56.01124406</v>
      </c>
      <c r="O527" s="30" t="n">
        <v>1.53941237</v>
      </c>
      <c r="P527" s="30" t="n">
        <v>80</v>
      </c>
      <c r="Q527" s="30" t="inlineStr">
        <is>
          <t xml:space="preserve">Retails prescription drugs and medicines </t>
        </is>
      </c>
      <c r="R527" s="30" t="inlineStr">
        <is>
          <t>USD</t>
        </is>
      </c>
      <c r="S527" s="30" t="inlineStr">
        <is>
          <t>Investment Grade</t>
        </is>
      </c>
      <c r="T527" s="30" t="inlineStr">
        <is>
          <t>A-</t>
        </is>
      </c>
      <c r="U527" s="30" t="inlineStr">
        <is>
          <t>A-</t>
        </is>
      </c>
      <c r="V527" s="30" t="n"/>
    </row>
    <row r="528">
      <c r="A528" s="30" t="inlineStr">
        <is>
          <t>USU5876JAG05</t>
        </is>
      </c>
      <c r="B528" s="30" t="inlineStr">
        <is>
          <t>Top Pick</t>
        </is>
      </c>
      <c r="C528" s="30" t="inlineStr">
        <is>
          <t>Mercedes-Benz Fin Na</t>
        </is>
      </c>
      <c r="D528" s="30" t="n">
        <v>4.8</v>
      </c>
      <c r="E528" s="30" t="inlineStr">
        <is>
          <t>Sr Unsecured</t>
        </is>
      </c>
      <c r="F528" s="30" t="inlineStr">
        <is>
          <t>30.03.2028</t>
        </is>
      </c>
      <c r="G528" s="30" t="inlineStr">
        <is>
          <t>Germany</t>
        </is>
      </c>
      <c r="H528" s="30" t="inlineStr">
        <is>
          <t>Consumer, Cyclical</t>
        </is>
      </c>
      <c r="I528" s="30" t="n">
        <v>150</v>
      </c>
      <c r="J528" s="30" t="n">
        <v>101.041</v>
      </c>
      <c r="K528" s="30" t="n">
        <v>4.388367</v>
      </c>
      <c r="L528" s="30" t="n">
        <v>0.007285</v>
      </c>
      <c r="M528" s="30" t="n">
        <v>-0.210756</v>
      </c>
      <c r="N528" s="30" t="n">
        <v>55.91592673</v>
      </c>
      <c r="O528" s="30" t="n">
        <v>2.802573853</v>
      </c>
      <c r="P528" s="30" t="n">
        <v>85</v>
      </c>
      <c r="Q528" s="30" t="inlineStr">
        <is>
          <t>Developer and Manufacturer of automotive products</t>
        </is>
      </c>
      <c r="R528" s="30" t="inlineStr">
        <is>
          <t>USD</t>
        </is>
      </c>
      <c r="S528" s="30" t="inlineStr">
        <is>
          <t>Investment Grade</t>
        </is>
      </c>
      <c r="T528" s="30" t="inlineStr">
        <is>
          <t>A</t>
        </is>
      </c>
      <c r="U528" s="30" t="inlineStr">
        <is>
          <t>A</t>
        </is>
      </c>
      <c r="V528" s="30" t="n"/>
    </row>
    <row r="529">
      <c r="A529" s="30" t="inlineStr">
        <is>
          <t>XS2597093009</t>
        </is>
      </c>
      <c r="B529" s="30" t="inlineStr">
        <is>
          <t>Top Pick</t>
        </is>
      </c>
      <c r="C529" s="30" t="inlineStr">
        <is>
          <t>Toyota Motor Credit Corp</t>
        </is>
      </c>
      <c r="D529" s="30" t="n">
        <v>4.05</v>
      </c>
      <c r="E529" s="30" t="inlineStr">
        <is>
          <t>Sr Unsecured</t>
        </is>
      </c>
      <c r="F529" s="30" t="inlineStr">
        <is>
          <t>13.09.2029</t>
        </is>
      </c>
      <c r="G529" s="30" t="inlineStr">
        <is>
          <t>United states</t>
        </is>
      </c>
      <c r="H529" s="30" t="inlineStr">
        <is>
          <t>Consumer, Cyclical</t>
        </is>
      </c>
      <c r="I529" s="30" t="n">
        <v>100</v>
      </c>
      <c r="J529" s="30" t="n">
        <v>105.146</v>
      </c>
      <c r="K529" s="30" t="n">
        <v>2.728942</v>
      </c>
      <c r="L529" s="30" t="n">
        <v>-0.079402</v>
      </c>
      <c r="M529" s="30" t="n">
        <v>-0.043754</v>
      </c>
      <c r="N529" s="30" t="n">
        <v>55.88804618</v>
      </c>
      <c r="O529" s="30" t="n">
        <v>4.067574079</v>
      </c>
      <c r="P529" s="30" t="n">
        <v>80</v>
      </c>
      <c r="Q529" s="30" t="inlineStr">
        <is>
          <t>One of the largest car maker in the world</t>
        </is>
      </c>
      <c r="R529" s="30" t="inlineStr">
        <is>
          <t>EUR</t>
        </is>
      </c>
      <c r="S529" s="30" t="inlineStr">
        <is>
          <t>Investment Grade</t>
        </is>
      </c>
      <c r="T529" s="30" t="inlineStr">
        <is>
          <t>A+</t>
        </is>
      </c>
      <c r="U529" s="30" t="inlineStr">
        <is>
          <t>A+</t>
        </is>
      </c>
      <c r="V529" s="30" t="n"/>
    </row>
    <row r="530">
      <c r="A530" s="30" t="inlineStr">
        <is>
          <t>XS2583742585</t>
        </is>
      </c>
      <c r="B530" s="30" t="inlineStr">
        <is>
          <t>Hold</t>
        </is>
      </c>
      <c r="C530" s="30" t="inlineStr">
        <is>
          <t>Ibm Corp</t>
        </is>
      </c>
      <c r="D530" s="30" t="n">
        <v>3.75</v>
      </c>
      <c r="E530" s="30" t="inlineStr">
        <is>
          <t>Sr Unsecured</t>
        </is>
      </c>
      <c r="F530" s="30" t="inlineStr">
        <is>
          <t>06.02.2035</t>
        </is>
      </c>
      <c r="G530" s="30" t="inlineStr">
        <is>
          <t>United states</t>
        </is>
      </c>
      <c r="H530" s="30" t="inlineStr">
        <is>
          <t>Technology</t>
        </is>
      </c>
      <c r="I530" s="30" t="n">
        <v>100</v>
      </c>
      <c r="J530" s="30" t="n">
        <v>102.864</v>
      </c>
      <c r="K530" s="30" t="n">
        <v>3.386063</v>
      </c>
      <c r="L530" s="30" t="n">
        <v>-0.121946</v>
      </c>
      <c r="M530" s="30" t="n">
        <v>-0.143972</v>
      </c>
      <c r="N530" s="30" t="n">
        <v>55.67517194</v>
      </c>
      <c r="O530" s="30" t="n">
        <v>8.039233723000001</v>
      </c>
      <c r="P530" s="30" t="n">
        <v>80</v>
      </c>
      <c r="Q530" s="30" t="inlineStr">
        <is>
          <t>International Business Machines Corporation (IBM) provides computer solutions</t>
        </is>
      </c>
      <c r="R530" s="30" t="inlineStr">
        <is>
          <t>EUR</t>
        </is>
      </c>
      <c r="S530" s="30" t="inlineStr">
        <is>
          <t>Investment Grade</t>
        </is>
      </c>
      <c r="T530" s="30" t="inlineStr">
        <is>
          <t>A-</t>
        </is>
      </c>
      <c r="U530" s="30" t="inlineStr">
        <is>
          <t>A-</t>
        </is>
      </c>
      <c r="V530" s="30" t="n"/>
    </row>
    <row r="531">
      <c r="A531" s="30" t="inlineStr">
        <is>
          <t>FR001400FIM6</t>
        </is>
      </c>
      <c r="B531" s="30" t="inlineStr">
        <is>
          <t>Hold</t>
        </is>
      </c>
      <c r="C531" s="30" t="inlineStr">
        <is>
          <t>Ile De France Mobilites</t>
        </is>
      </c>
      <c r="D531" s="30" t="n">
        <v>3.05</v>
      </c>
      <c r="E531" s="30" t="inlineStr">
        <is>
          <t>Sr Unsecured</t>
        </is>
      </c>
      <c r="F531" s="30" t="inlineStr">
        <is>
          <t>03.02.2033</t>
        </is>
      </c>
      <c r="G531" s="30" t="inlineStr">
        <is>
          <t>France</t>
        </is>
      </c>
      <c r="H531" s="30" t="inlineStr">
        <is>
          <t>Industrial</t>
        </is>
      </c>
      <c r="I531" s="30" t="n">
        <v>100</v>
      </c>
      <c r="J531" s="30" t="n">
        <v>99.152</v>
      </c>
      <c r="K531" s="30" t="n">
        <v>3.176219</v>
      </c>
      <c r="L531" s="30" t="n">
        <v>0.043491</v>
      </c>
      <c r="M531" s="30" t="n">
        <v>0.071716</v>
      </c>
      <c r="N531" s="30" t="n">
        <v>55.41097439</v>
      </c>
      <c r="O531" s="30" t="n">
        <v>6.926365163</v>
      </c>
      <c r="P531" s="30" t="n">
        <v>85</v>
      </c>
      <c r="Q531" s="30" t="inlineStr">
        <is>
          <t>Operates as the transport authority</t>
        </is>
      </c>
      <c r="R531" s="30" t="inlineStr">
        <is>
          <t>EUR</t>
        </is>
      </c>
      <c r="S531" s="30" t="inlineStr">
        <is>
          <t>Investment Grade</t>
        </is>
      </c>
      <c r="T531" s="30" t="inlineStr">
        <is>
          <t>NR</t>
        </is>
      </c>
      <c r="U531" s="30" t="inlineStr">
        <is>
          <t>NR</t>
        </is>
      </c>
      <c r="V531" s="30" t="n"/>
    </row>
    <row r="532">
      <c r="A532" s="30" t="inlineStr">
        <is>
          <t>US59156RCE62</t>
        </is>
      </c>
      <c r="B532" s="30" t="inlineStr">
        <is>
          <t>Top Pick</t>
        </is>
      </c>
      <c r="C532" s="30" t="inlineStr">
        <is>
          <t>Metlife Inc</t>
        </is>
      </c>
      <c r="D532" s="30" t="n">
        <v>5.375</v>
      </c>
      <c r="E532" s="30" t="inlineStr">
        <is>
          <t>Sr Unsecured</t>
        </is>
      </c>
      <c r="F532" s="30" t="inlineStr">
        <is>
          <t>15.07.2033</t>
        </is>
      </c>
      <c r="G532" s="30" t="inlineStr">
        <is>
          <t>United states</t>
        </is>
      </c>
      <c r="H532" s="30" t="inlineStr">
        <is>
          <t>Financial</t>
        </is>
      </c>
      <c r="I532" s="30" t="n">
        <v>2</v>
      </c>
      <c r="J532" s="30" t="n">
        <v>103.863</v>
      </c>
      <c r="K532" s="30" t="n">
        <v>4.774708</v>
      </c>
      <c r="L532" s="30" t="n">
        <v>-0.02109</v>
      </c>
      <c r="M532" s="30" t="n">
        <v>-0.137834</v>
      </c>
      <c r="N532" s="30" t="n">
        <v>55.34413564</v>
      </c>
      <c r="O532" s="30" t="n">
        <v>6.518268328</v>
      </c>
      <c r="P532" s="30" t="n">
        <v>80</v>
      </c>
      <c r="Q532" s="30" t="inlineStr">
        <is>
          <t>Provides individual insurance, employee benefits, and financial services</t>
        </is>
      </c>
      <c r="R532" s="30" t="inlineStr">
        <is>
          <t>USD</t>
        </is>
      </c>
      <c r="S532" s="30" t="inlineStr">
        <is>
          <t>Investment Grade</t>
        </is>
      </c>
      <c r="T532" s="30" t="inlineStr">
        <is>
          <t>A-</t>
        </is>
      </c>
      <c r="U532" s="30" t="inlineStr">
        <is>
          <t>A-</t>
        </is>
      </c>
      <c r="V532" s="30" t="n"/>
    </row>
    <row r="533">
      <c r="A533" s="30" t="inlineStr">
        <is>
          <t>CH1226543879</t>
        </is>
      </c>
      <c r="B533" s="30" t="inlineStr">
        <is>
          <t>Hold</t>
        </is>
      </c>
      <c r="C533" s="30" t="inlineStr">
        <is>
          <t>Sika Ag</t>
        </is>
      </c>
      <c r="D533" s="30" t="n">
        <v>2.35</v>
      </c>
      <c r="E533" s="30" t="inlineStr">
        <is>
          <t>Sr Unsecured</t>
        </is>
      </c>
      <c r="F533" s="30" t="inlineStr">
        <is>
          <t>28.11.2028</t>
        </is>
      </c>
      <c r="G533" s="30" t="inlineStr">
        <is>
          <t>Switzerland</t>
        </is>
      </c>
      <c r="H533" s="30" t="inlineStr">
        <is>
          <t>Industrial</t>
        </is>
      </c>
      <c r="I533" s="30" t="n">
        <v>5</v>
      </c>
      <c r="J533" s="30" t="n">
        <v>105.471</v>
      </c>
      <c r="K533" s="30" t="n">
        <v>0.580196</v>
      </c>
      <c r="L533" s="30" t="n">
        <v>0.041258</v>
      </c>
      <c r="M533" s="30" t="n">
        <v>0.225899</v>
      </c>
      <c r="N533" s="30" t="n">
        <v>55.30746332</v>
      </c>
      <c r="O533" s="30" t="n">
        <v>3.369613998</v>
      </c>
      <c r="P533" s="30" t="n">
        <v>80</v>
      </c>
      <c r="Q533" s="30" t="inlineStr">
        <is>
          <t>Manufactures construction materials</t>
        </is>
      </c>
      <c r="R533" s="30" t="inlineStr">
        <is>
          <t>CHF</t>
        </is>
      </c>
      <c r="S533" s="30" t="inlineStr">
        <is>
          <t>Investment Grade</t>
        </is>
      </c>
      <c r="T533" s="30" t="inlineStr">
        <is>
          <t>NR</t>
        </is>
      </c>
      <c r="U533" s="30" t="inlineStr">
        <is>
          <t>NR</t>
        </is>
      </c>
      <c r="V533" s="30" t="n"/>
    </row>
    <row r="534">
      <c r="A534" s="30" t="inlineStr">
        <is>
          <t>USG01719AK24</t>
        </is>
      </c>
      <c r="B534" s="30" t="inlineStr">
        <is>
          <t>Hold</t>
        </is>
      </c>
      <c r="C534" s="30" t="inlineStr">
        <is>
          <t>Alibaba Group Holding</t>
        </is>
      </c>
      <c r="D534" s="30" t="n">
        <v>4.875</v>
      </c>
      <c r="E534" s="30" t="inlineStr">
        <is>
          <t>Sr Unsecured</t>
        </is>
      </c>
      <c r="F534" s="30" t="inlineStr">
        <is>
          <t>26.05.2030</t>
        </is>
      </c>
      <c r="G534" s="30" t="inlineStr">
        <is>
          <t>China</t>
        </is>
      </c>
      <c r="H534" s="30" t="inlineStr">
        <is>
          <t>Communications</t>
        </is>
      </c>
      <c r="I534" s="30" t="n">
        <v>200</v>
      </c>
      <c r="J534" s="30" t="n">
        <v>101.679</v>
      </c>
      <c r="K534" s="30" t="n">
        <v>4.481812</v>
      </c>
      <c r="L534" s="30" t="n">
        <v>0.082318</v>
      </c>
      <c r="M534" s="30" t="n">
        <v>-0.079439</v>
      </c>
      <c r="N534" s="30" t="n">
        <v>55.26274903</v>
      </c>
      <c r="O534" s="30" t="n">
        <v>4.543089215</v>
      </c>
      <c r="P534" s="30" t="n">
        <v>0</v>
      </c>
      <c r="Q534" s="30" t="inlineStr">
        <is>
          <t xml:space="preserve">Chinese largest e-commerce retailer </t>
        </is>
      </c>
      <c r="R534" s="30" t="inlineStr">
        <is>
          <t>USD</t>
        </is>
      </c>
      <c r="S534" s="30" t="inlineStr">
        <is>
          <t>Investment Grade</t>
        </is>
      </c>
      <c r="T534" s="30" t="inlineStr">
        <is>
          <t>A</t>
        </is>
      </c>
      <c r="U534" s="30" t="inlineStr">
        <is>
          <t>A+</t>
        </is>
      </c>
      <c r="V534" s="30" t="n"/>
    </row>
    <row r="535">
      <c r="A535" s="30" t="inlineStr">
        <is>
          <t>XS2051777873</t>
        </is>
      </c>
      <c r="B535" s="30" t="inlineStr">
        <is>
          <t>Hold</t>
        </is>
      </c>
      <c r="C535" s="30" t="inlineStr">
        <is>
          <t>Ds Smith Plc</t>
        </is>
      </c>
      <c r="D535" s="30" t="n">
        <v>0.875</v>
      </c>
      <c r="E535" s="30" t="inlineStr">
        <is>
          <t>Sr Unsecured</t>
        </is>
      </c>
      <c r="F535" s="30" t="inlineStr">
        <is>
          <t>12.09.2026</t>
        </is>
      </c>
      <c r="G535" s="30" t="inlineStr">
        <is>
          <t>United Kingdom</t>
        </is>
      </c>
      <c r="H535" s="30" t="inlineStr">
        <is>
          <t>Industrial</t>
        </is>
      </c>
      <c r="I535" s="30" t="n">
        <v>100</v>
      </c>
      <c r="J535" s="30" t="n">
        <v>98.249</v>
      </c>
      <c r="K535" s="30" t="n">
        <v>2.399287</v>
      </c>
      <c r="L535" s="30" t="n">
        <v>-0.108719</v>
      </c>
      <c r="M535" s="30" t="n">
        <v>-0.110427</v>
      </c>
      <c r="N535" s="30" t="n">
        <v>55.23582148</v>
      </c>
      <c r="O535" s="30" t="n">
        <v>1.497616246</v>
      </c>
      <c r="P535" s="30" t="n">
        <v>80</v>
      </c>
      <c r="Q535" s="30" t="inlineStr">
        <is>
          <t>Provider of corrugated packaging services</t>
        </is>
      </c>
      <c r="R535" s="30" t="inlineStr">
        <is>
          <t>EUR</t>
        </is>
      </c>
      <c r="S535" s="30" t="inlineStr">
        <is>
          <t>Investment Grade</t>
        </is>
      </c>
      <c r="T535" s="30" t="inlineStr">
        <is>
          <t>NR</t>
        </is>
      </c>
      <c r="U535" s="30" t="inlineStr">
        <is>
          <t>NR</t>
        </is>
      </c>
      <c r="V535" s="30" t="n"/>
    </row>
    <row r="536">
      <c r="A536" s="30" t="inlineStr">
        <is>
          <t>XS2384273715</t>
        </is>
      </c>
      <c r="B536" s="30" t="inlineStr">
        <is>
          <t>Hold</t>
        </is>
      </c>
      <c r="C536" s="30" t="inlineStr">
        <is>
          <t>Holcim Finance Lux Sa</t>
        </is>
      </c>
      <c r="D536" s="30" t="n">
        <v>0.5</v>
      </c>
      <c r="E536" s="30" t="inlineStr">
        <is>
          <t>Sr Unsecured</t>
        </is>
      </c>
      <c r="F536" s="30" t="inlineStr">
        <is>
          <t>03.09.2030</t>
        </is>
      </c>
      <c r="G536" s="30" t="inlineStr">
        <is>
          <t>Switzerland</t>
        </is>
      </c>
      <c r="H536" s="30" t="inlineStr">
        <is>
          <t>Industrial</t>
        </is>
      </c>
      <c r="I536" s="30" t="n">
        <v>100</v>
      </c>
      <c r="J536" s="30" t="n">
        <v>88.756</v>
      </c>
      <c r="K536" s="30" t="n">
        <v>2.87858</v>
      </c>
      <c r="L536" s="30" t="n">
        <v>-0.151845</v>
      </c>
      <c r="M536" s="30" t="n">
        <v>-0.25559</v>
      </c>
      <c r="N536" s="30" t="n">
        <v>54.70653183</v>
      </c>
      <c r="O536" s="30" t="n">
        <v>5.272949841</v>
      </c>
      <c r="P536" s="30" t="n">
        <v>60</v>
      </c>
      <c r="Q536" s="30" t="inlineStr">
        <is>
          <t xml:space="preserve">provides construction materials and solutions </t>
        </is>
      </c>
      <c r="R536" s="30" t="inlineStr">
        <is>
          <t>EUR</t>
        </is>
      </c>
      <c r="S536" s="30" t="inlineStr">
        <is>
          <t>Investment Grade</t>
        </is>
      </c>
      <c r="T536" s="30" t="inlineStr">
        <is>
          <t>BBB+</t>
        </is>
      </c>
      <c r="U536" s="30" t="inlineStr">
        <is>
          <t>BBB+</t>
        </is>
      </c>
      <c r="V536" s="30" t="n"/>
    </row>
    <row r="537">
      <c r="A537" s="30" t="inlineStr">
        <is>
          <t>XS2190256706</t>
        </is>
      </c>
      <c r="B537" s="30" t="inlineStr">
        <is>
          <t>Hold</t>
        </is>
      </c>
      <c r="C537" s="30" t="inlineStr">
        <is>
          <t>Snam Spa</t>
        </is>
      </c>
      <c r="D537" s="30" t="n">
        <v>0.75</v>
      </c>
      <c r="E537" s="30" t="inlineStr">
        <is>
          <t>Sr Unsecured</t>
        </is>
      </c>
      <c r="F537" s="30" t="inlineStr">
        <is>
          <t>17.06.2030</t>
        </is>
      </c>
      <c r="G537" s="30" t="inlineStr">
        <is>
          <t>Italy</t>
        </is>
      </c>
      <c r="H537" s="30" t="inlineStr">
        <is>
          <t>Utilities</t>
        </is>
      </c>
      <c r="I537" s="30" t="n">
        <v>100</v>
      </c>
      <c r="J537" s="30" t="n">
        <v>90.491</v>
      </c>
      <c r="K537" s="30" t="n">
        <v>2.84047</v>
      </c>
      <c r="L537" s="30" t="n">
        <v>-0.095648</v>
      </c>
      <c r="M537" s="30" t="n">
        <v>-0.129364</v>
      </c>
      <c r="N537" s="30" t="n">
        <v>54.66884887</v>
      </c>
      <c r="O537" s="30" t="n">
        <v>5.031120276</v>
      </c>
      <c r="P537" s="30" t="n">
        <v>80</v>
      </c>
      <c r="Q537" s="30" t="inlineStr">
        <is>
          <t>Owns and operates Italy's natural-gas distribution network</t>
        </is>
      </c>
      <c r="R537" s="30" t="inlineStr">
        <is>
          <t>EUR</t>
        </is>
      </c>
      <c r="S537" s="30" t="inlineStr">
        <is>
          <t>Investment Grade</t>
        </is>
      </c>
      <c r="T537" s="30" t="inlineStr">
        <is>
          <t>BBB+</t>
        </is>
      </c>
      <c r="U537" s="30" t="inlineStr">
        <is>
          <t>BBB</t>
        </is>
      </c>
      <c r="V537" s="30" t="n"/>
    </row>
    <row r="538">
      <c r="A538" s="30" t="inlineStr">
        <is>
          <t>XS2907161363</t>
        </is>
      </c>
      <c r="B538" s="30" t="inlineStr">
        <is>
          <t>Top pick</t>
        </is>
      </c>
      <c r="C538" s="30" t="inlineStr">
        <is>
          <t>Abu Dhabi Development Ho</t>
        </is>
      </c>
      <c r="D538" s="30" t="n">
        <v>4.375</v>
      </c>
      <c r="E538" s="30" t="inlineStr">
        <is>
          <t>Sr Unsecured</t>
        </is>
      </c>
      <c r="F538" s="30" t="inlineStr">
        <is>
          <t>02.10.2031</t>
        </is>
      </c>
      <c r="G538" s="30" t="inlineStr">
        <is>
          <t>U.A.E</t>
        </is>
      </c>
      <c r="H538" s="30" t="inlineStr">
        <is>
          <t>Financial</t>
        </is>
      </c>
      <c r="I538" s="30" t="n">
        <v>200</v>
      </c>
      <c r="J538" s="30" t="n">
        <v>98.667</v>
      </c>
      <c r="K538" s="30" t="n">
        <v>4.622519</v>
      </c>
      <c r="L538" s="30" t="n">
        <v>-0.039008</v>
      </c>
      <c r="M538" s="30" t="n">
        <v>-0.114985</v>
      </c>
      <c r="N538" s="30" t="n">
        <v>54.46673559</v>
      </c>
      <c r="O538" s="30" t="n">
        <v>5.548326754</v>
      </c>
      <c r="P538" s="30" t="n">
        <v>0</v>
      </c>
      <c r="Q538" s="30" t="inlineStr">
        <is>
          <t xml:space="preserve">Sovereign wealth fund of Abu Dhabi </t>
        </is>
      </c>
      <c r="R538" s="30" t="inlineStr">
        <is>
          <t>USD</t>
        </is>
      </c>
      <c r="S538" s="30" t="inlineStr">
        <is>
          <t>Investment Grade</t>
        </is>
      </c>
      <c r="T538" s="30" t="inlineStr">
        <is>
          <t>AA</t>
        </is>
      </c>
      <c r="U538" s="30" t="inlineStr">
        <is>
          <t>AA</t>
        </is>
      </c>
      <c r="V538" s="30" t="n"/>
    </row>
    <row r="539">
      <c r="A539" s="30" t="inlineStr">
        <is>
          <t>US87264ADE29</t>
        </is>
      </c>
      <c r="B539" s="30" t="inlineStr">
        <is>
          <t xml:space="preserve">Hold </t>
        </is>
      </c>
      <c r="C539" s="30" t="inlineStr">
        <is>
          <t>T-Mobile Usa Inc</t>
        </is>
      </c>
      <c r="D539" s="30" t="n">
        <v>4.85</v>
      </c>
      <c r="E539" s="30" t="inlineStr">
        <is>
          <t>Sr Unsecured</t>
        </is>
      </c>
      <c r="F539" s="30" t="inlineStr">
        <is>
          <t>15.01.2029</t>
        </is>
      </c>
      <c r="G539" s="30" t="inlineStr">
        <is>
          <t>United states</t>
        </is>
      </c>
      <c r="H539" s="30" t="inlineStr">
        <is>
          <t>Communications</t>
        </is>
      </c>
      <c r="I539" s="30" t="n">
        <v>2</v>
      </c>
      <c r="J539" s="30" t="n">
        <v>101.345</v>
      </c>
      <c r="K539" s="30" t="n">
        <v>4.42429</v>
      </c>
      <c r="L539" s="30" t="n">
        <v>0.012746</v>
      </c>
      <c r="M539" s="30" t="n">
        <v>-0.12032</v>
      </c>
      <c r="N539" s="30" t="n">
        <v>54.45377294</v>
      </c>
      <c r="O539" s="30" t="n">
        <v>3.431263977</v>
      </c>
      <c r="P539" s="30" t="n">
        <v>0</v>
      </c>
      <c r="Q539" s="30" t="inlineStr">
        <is>
          <t>Provides telecommunications services</t>
        </is>
      </c>
      <c r="R539" s="30" t="inlineStr">
        <is>
          <t>USD</t>
        </is>
      </c>
      <c r="S539" s="30" t="inlineStr">
        <is>
          <t>Investment Grade</t>
        </is>
      </c>
      <c r="T539" s="30" t="inlineStr">
        <is>
          <t>BBB</t>
        </is>
      </c>
      <c r="U539" s="30" t="inlineStr">
        <is>
          <t>BBB</t>
        </is>
      </c>
      <c r="V539" s="30" t="n"/>
    </row>
    <row r="540">
      <c r="A540" s="30" t="inlineStr">
        <is>
          <t>XS2311299957</t>
        </is>
      </c>
      <c r="B540" s="30" t="inlineStr">
        <is>
          <t>Hold</t>
        </is>
      </c>
      <c r="C540" s="30" t="inlineStr">
        <is>
          <t>Ooredoo Intl Finance</t>
        </is>
      </c>
      <c r="D540" s="30" t="n">
        <v>2.625</v>
      </c>
      <c r="E540" s="30" t="inlineStr">
        <is>
          <t>Sr Unsecured</t>
        </is>
      </c>
      <c r="F540" s="30" t="inlineStr">
        <is>
          <t>08.04.2031</t>
        </is>
      </c>
      <c r="G540" s="30" t="inlineStr">
        <is>
          <t>Qatar</t>
        </is>
      </c>
      <c r="H540" s="30" t="inlineStr">
        <is>
          <t>Communications</t>
        </is>
      </c>
      <c r="I540" s="30" t="n">
        <v>200</v>
      </c>
      <c r="J540" s="30" t="n">
        <v>90.304</v>
      </c>
      <c r="K540" s="30" t="n">
        <v>4.561275</v>
      </c>
      <c r="L540" s="30" t="n">
        <v>0.031284</v>
      </c>
      <c r="M540" s="30" t="n">
        <v>-0.133188</v>
      </c>
      <c r="N540" s="30" t="n">
        <v>54.35560726</v>
      </c>
      <c r="O540" s="30" t="n">
        <v>5.458797628</v>
      </c>
      <c r="P540" s="30" t="n">
        <v>80</v>
      </c>
      <c r="Q540" s="30" t="inlineStr">
        <is>
          <t xml:space="preserve">Qatari majority state-owned telecom </t>
        </is>
      </c>
      <c r="R540" s="30" t="inlineStr">
        <is>
          <t>USD</t>
        </is>
      </c>
      <c r="S540" s="30" t="inlineStr">
        <is>
          <t>Investment Grade</t>
        </is>
      </c>
      <c r="T540" s="30" t="inlineStr">
        <is>
          <t>A</t>
        </is>
      </c>
      <c r="U540" s="30" t="inlineStr">
        <is>
          <t>A</t>
        </is>
      </c>
      <c r="V540" s="30" t="n"/>
    </row>
    <row r="541">
      <c r="A541" s="30" t="inlineStr">
        <is>
          <t>XS2577134401</t>
        </is>
      </c>
      <c r="B541" s="30" t="inlineStr">
        <is>
          <t>Hold</t>
        </is>
      </c>
      <c r="C541" s="30" t="inlineStr">
        <is>
          <t>Saudi International Bond</t>
        </is>
      </c>
      <c r="D541" s="30" t="n">
        <v>4.75</v>
      </c>
      <c r="E541" s="30" t="inlineStr">
        <is>
          <t>Sr Unsecured</t>
        </is>
      </c>
      <c r="F541" s="30" t="inlineStr">
        <is>
          <t>18.01.2028</t>
        </is>
      </c>
      <c r="G541" s="30" t="inlineStr">
        <is>
          <t>Saudi Arabia</t>
        </is>
      </c>
      <c r="H541" s="30" t="inlineStr">
        <is>
          <t>Government</t>
        </is>
      </c>
      <c r="I541" s="30" t="n">
        <v>200</v>
      </c>
      <c r="J541" s="30" t="n">
        <v>100.868</v>
      </c>
      <c r="K541" s="30" t="n">
        <v>4.38344</v>
      </c>
      <c r="L541" s="30" t="n">
        <v>-0.03434</v>
      </c>
      <c r="M541" s="30" t="n">
        <v>-0.102403</v>
      </c>
      <c r="N541" s="30" t="n">
        <v>54.14544428</v>
      </c>
      <c r="O541" s="30" t="n">
        <v>2.669483985</v>
      </c>
      <c r="P541" s="30" t="n">
        <v>80</v>
      </c>
      <c r="Q541" s="30" t="inlineStr">
        <is>
          <t>Kingdom of Saudia sovereign bond</t>
        </is>
      </c>
      <c r="R541" s="30" t="inlineStr">
        <is>
          <t>USD</t>
        </is>
      </c>
      <c r="S541" s="30" t="inlineStr">
        <is>
          <t>Investment Grade</t>
        </is>
      </c>
      <c r="T541" s="30" t="inlineStr">
        <is>
          <t>A+</t>
        </is>
      </c>
      <c r="U541" s="30" t="inlineStr">
        <is>
          <t>A+</t>
        </is>
      </c>
      <c r="V541" s="30" t="n"/>
    </row>
    <row r="542">
      <c r="A542" s="30" t="inlineStr">
        <is>
          <t>XS2791959906</t>
        </is>
      </c>
      <c r="B542" s="30" t="inlineStr">
        <is>
          <t xml:space="preserve">Hold </t>
        </is>
      </c>
      <c r="C542" s="30" t="inlineStr">
        <is>
          <t>E.On Se</t>
        </is>
      </c>
      <c r="D542" s="30" t="n">
        <v>3.5</v>
      </c>
      <c r="E542" s="30" t="inlineStr">
        <is>
          <t>Sr Unsecured</t>
        </is>
      </c>
      <c r="F542" s="30" t="inlineStr">
        <is>
          <t>25.03.2032</t>
        </is>
      </c>
      <c r="G542" s="30" t="inlineStr">
        <is>
          <t>Germany</t>
        </is>
      </c>
      <c r="H542" s="30" t="inlineStr">
        <is>
          <t>Utilities</t>
        </is>
      </c>
      <c r="I542" s="30" t="n">
        <v>1</v>
      </c>
      <c r="J542" s="30" t="n">
        <v>102.496</v>
      </c>
      <c r="K542" s="30" t="n">
        <v>3.067866</v>
      </c>
      <c r="L542" s="30" t="n">
        <v>-0.086106</v>
      </c>
      <c r="M542" s="30" t="n">
        <v>-0.067722</v>
      </c>
      <c r="N542" s="30" t="n">
        <v>54.07066503</v>
      </c>
      <c r="O542" s="30" t="n">
        <v>5.825284422</v>
      </c>
      <c r="P542" s="30" t="n">
        <v>0</v>
      </c>
      <c r="Q542" s="30" t="inlineStr">
        <is>
          <t xml:space="preserve">German utility company </t>
        </is>
      </c>
      <c r="R542" s="30" t="inlineStr">
        <is>
          <t>EUR</t>
        </is>
      </c>
      <c r="S542" s="30" t="inlineStr">
        <is>
          <t>Investment Grade</t>
        </is>
      </c>
      <c r="T542" s="30" t="inlineStr">
        <is>
          <t>BBB+</t>
        </is>
      </c>
      <c r="U542" s="30" t="inlineStr">
        <is>
          <t>BBB+</t>
        </is>
      </c>
      <c r="V542" s="30" t="n"/>
    </row>
    <row r="543">
      <c r="A543" s="30" t="inlineStr">
        <is>
          <t>US68389XCH61</t>
        </is>
      </c>
      <c r="B543" s="30" t="inlineStr">
        <is>
          <t>Hold</t>
        </is>
      </c>
      <c r="C543" s="30" t="inlineStr">
        <is>
          <t>Oracle Corp</t>
        </is>
      </c>
      <c r="D543" s="30" t="n">
        <v>6.15</v>
      </c>
      <c r="E543" s="30" t="inlineStr">
        <is>
          <t>Sr Unsecured</t>
        </is>
      </c>
      <c r="F543" s="30" t="inlineStr">
        <is>
          <t>09.11.2029</t>
        </is>
      </c>
      <c r="G543" s="30" t="inlineStr">
        <is>
          <t>United states</t>
        </is>
      </c>
      <c r="H543" s="30" t="inlineStr">
        <is>
          <t>Technology</t>
        </is>
      </c>
      <c r="I543" s="30" t="n">
        <v>2</v>
      </c>
      <c r="J543" s="30" t="n">
        <v>106.396</v>
      </c>
      <c r="K543" s="30" t="n">
        <v>4.451804</v>
      </c>
      <c r="L543" s="30" t="n">
        <v>0.037294</v>
      </c>
      <c r="M543" s="30" t="n">
        <v>-0.099897</v>
      </c>
      <c r="N543" s="30" t="n">
        <v>53.87631283</v>
      </c>
      <c r="O543" s="30" t="n">
        <v>3.890895516</v>
      </c>
      <c r="P543" s="30" t="n">
        <v>85</v>
      </c>
      <c r="Q543" s="30" t="inlineStr">
        <is>
          <t>One of the largest global enterprise software companies</t>
        </is>
      </c>
      <c r="R543" s="30" t="inlineStr">
        <is>
          <t>USD</t>
        </is>
      </c>
      <c r="S543" s="30" t="inlineStr">
        <is>
          <t>Investment Grade</t>
        </is>
      </c>
      <c r="T543" s="30" t="inlineStr">
        <is>
          <t>BBB</t>
        </is>
      </c>
      <c r="U543" s="30" t="inlineStr">
        <is>
          <t>BBB</t>
        </is>
      </c>
      <c r="V543" s="30" t="n"/>
    </row>
    <row r="544">
      <c r="A544" s="30" t="inlineStr">
        <is>
          <t>IT0003535157</t>
        </is>
      </c>
      <c r="B544" s="30" t="inlineStr">
        <is>
          <t>Hold</t>
        </is>
      </c>
      <c r="C544" s="30" t="inlineStr">
        <is>
          <t>Buoni Poliennali Del Tes</t>
        </is>
      </c>
      <c r="D544" s="30" t="n">
        <v>5</v>
      </c>
      <c r="E544" s="30" t="inlineStr">
        <is>
          <t>Sr Unsecured</t>
        </is>
      </c>
      <c r="F544" s="30" t="inlineStr">
        <is>
          <t>01.08.2034</t>
        </is>
      </c>
      <c r="G544" s="30" t="inlineStr">
        <is>
          <t>Italy</t>
        </is>
      </c>
      <c r="H544" s="30" t="inlineStr">
        <is>
          <t>Government</t>
        </is>
      </c>
      <c r="I544" s="30" t="n">
        <v>1</v>
      </c>
      <c r="J544" s="30" t="n">
        <v>113.52</v>
      </c>
      <c r="K544" s="30" t="n">
        <v>3.290996</v>
      </c>
      <c r="L544" s="30" t="n">
        <v>0.014328</v>
      </c>
      <c r="M544" s="30" t="n">
        <v>-0.018157</v>
      </c>
      <c r="N544" s="30" t="n">
        <v>53.71746831</v>
      </c>
      <c r="O544" s="30" t="n">
        <v>7.469235278</v>
      </c>
      <c r="P544" s="30" t="n">
        <v>70</v>
      </c>
      <c r="Q544" s="30" t="inlineStr">
        <is>
          <t>Italy government bond</t>
        </is>
      </c>
      <c r="R544" s="30" t="inlineStr">
        <is>
          <t>EUR</t>
        </is>
      </c>
      <c r="S544" s="30" t="inlineStr">
        <is>
          <t>Investment Grade</t>
        </is>
      </c>
      <c r="T544" s="30" t="inlineStr">
        <is>
          <t>NR</t>
        </is>
      </c>
      <c r="U544" s="30" t="inlineStr">
        <is>
          <t>NR</t>
        </is>
      </c>
      <c r="V544" s="30" t="n"/>
    </row>
    <row r="545">
      <c r="A545" s="30" t="inlineStr">
        <is>
          <t>XS2911044019</t>
        </is>
      </c>
      <c r="B545" s="30" t="inlineStr">
        <is>
          <t>Top Pick</t>
        </is>
      </c>
      <c r="C545" s="30" t="inlineStr">
        <is>
          <t>Abu Dhabi National Energ</t>
        </is>
      </c>
      <c r="D545" s="30" t="n">
        <v>4.375</v>
      </c>
      <c r="E545" s="30" t="inlineStr">
        <is>
          <t>Sr Unsecured</t>
        </is>
      </c>
      <c r="F545" s="30" t="inlineStr">
        <is>
          <t>09.10.2031</t>
        </is>
      </c>
      <c r="G545" s="30" t="inlineStr">
        <is>
          <t>U.A.E</t>
        </is>
      </c>
      <c r="H545" s="30" t="inlineStr">
        <is>
          <t>Utilities</t>
        </is>
      </c>
      <c r="I545" s="30" t="n">
        <v>200</v>
      </c>
      <c r="J545" s="30" t="n">
        <v>98.803</v>
      </c>
      <c r="K545" s="30" t="n">
        <v>4.596274</v>
      </c>
      <c r="L545" s="30" t="n">
        <v>-0.077172</v>
      </c>
      <c r="M545" s="30" t="n">
        <v>-0.160367</v>
      </c>
      <c r="N545" s="30" t="n">
        <v>53.64619019</v>
      </c>
      <c r="O545" s="30" t="n">
        <v>5.559109655</v>
      </c>
      <c r="P545" s="30" t="n">
        <v>0</v>
      </c>
      <c r="Q545" s="30" t="inlineStr">
        <is>
          <t>Romanian government bond</t>
        </is>
      </c>
      <c r="R545" s="30" t="inlineStr">
        <is>
          <t>USD</t>
        </is>
      </c>
      <c r="S545" s="30" t="inlineStr">
        <is>
          <t>Investment Grade</t>
        </is>
      </c>
      <c r="T545" s="30" t="inlineStr">
        <is>
          <t>AA-</t>
        </is>
      </c>
      <c r="U545" s="30" t="inlineStr">
        <is>
          <t>AA-</t>
        </is>
      </c>
      <c r="V545" s="30" t="n"/>
    </row>
    <row r="546">
      <c r="A546" s="30" t="inlineStr">
        <is>
          <t>XS2997537357</t>
        </is>
      </c>
      <c r="B546" s="30" t="inlineStr">
        <is>
          <t xml:space="preserve">Hold </t>
        </is>
      </c>
      <c r="C546" s="30" t="inlineStr">
        <is>
          <t>Swedbank Ab</t>
        </is>
      </c>
      <c r="D546" s="30" t="n">
        <v>4.875</v>
      </c>
      <c r="E546" s="30" t="inlineStr">
        <is>
          <t>Sr Non Preferred</t>
        </is>
      </c>
      <c r="F546" s="30" t="inlineStr">
        <is>
          <t>11.10.2030</t>
        </is>
      </c>
      <c r="G546" s="30" t="inlineStr">
        <is>
          <t>Sweden</t>
        </is>
      </c>
      <c r="H546" s="30" t="inlineStr">
        <is>
          <t>Financial</t>
        </is>
      </c>
      <c r="I546" s="30" t="n">
        <v>100</v>
      </c>
      <c r="J546" s="30" t="n">
        <v>101.038</v>
      </c>
      <c r="K546" s="30" t="n">
        <v>4.602027</v>
      </c>
      <c r="L546" s="30" t="n">
        <v>-0.023796</v>
      </c>
      <c r="M546" s="30" t="n">
        <v>-0.267222</v>
      </c>
      <c r="N546" s="30" t="n">
        <v>53.42561452</v>
      </c>
      <c r="O546" s="30" t="n">
        <v>4.852515318</v>
      </c>
      <c r="P546" s="30" t="n">
        <v>0</v>
      </c>
      <c r="Q546" s="30" t="inlineStr">
        <is>
          <t xml:space="preserve">Sweden's largest savings bank </t>
        </is>
      </c>
      <c r="R546" s="30" t="inlineStr">
        <is>
          <t>GBP</t>
        </is>
      </c>
      <c r="S546" s="30" t="inlineStr">
        <is>
          <t>Investment Grade</t>
        </is>
      </c>
      <c r="T546" s="30" t="inlineStr">
        <is>
          <t>A</t>
        </is>
      </c>
      <c r="U546" s="30" t="inlineStr">
        <is>
          <t>A-</t>
        </is>
      </c>
      <c r="V546" s="30" t="n"/>
    </row>
    <row r="547">
      <c r="A547" s="30" t="inlineStr">
        <is>
          <t>CH1264414348</t>
        </is>
      </c>
      <c r="B547" s="30" t="inlineStr">
        <is>
          <t>Hold</t>
        </is>
      </c>
      <c r="C547" s="30" t="inlineStr">
        <is>
          <t>Toyota Motor Finance Bv</t>
        </is>
      </c>
      <c r="D547" s="30" t="n">
        <v>2.13</v>
      </c>
      <c r="E547" s="30" t="inlineStr">
        <is>
          <t>Sr Unsecured</t>
        </is>
      </c>
      <c r="F547" s="30" t="inlineStr">
        <is>
          <t>15.06.2027</t>
        </is>
      </c>
      <c r="G547" s="30" t="inlineStr">
        <is>
          <t>Japan</t>
        </is>
      </c>
      <c r="H547" s="30" t="inlineStr">
        <is>
          <t>Consumer, Cyclical</t>
        </is>
      </c>
      <c r="I547" s="30" t="n">
        <v>5</v>
      </c>
      <c r="J547" s="30" t="n">
        <v>103.202</v>
      </c>
      <c r="K547" s="30" t="n">
        <v>0.462394</v>
      </c>
      <c r="L547" s="30" t="n">
        <v>0.038945</v>
      </c>
      <c r="M547" s="30" t="n">
        <v>0.112623</v>
      </c>
      <c r="N547" s="30" t="n">
        <v>53.37486118</v>
      </c>
      <c r="O547" s="30" t="n">
        <v>2.230589886</v>
      </c>
      <c r="P547" s="30" t="n">
        <v>80</v>
      </c>
      <c r="Q547" s="30" t="inlineStr">
        <is>
          <t>Japan's largest auto maker</t>
        </is>
      </c>
      <c r="R547" s="30" t="inlineStr">
        <is>
          <t>CHF</t>
        </is>
      </c>
      <c r="S547" s="30" t="inlineStr">
        <is>
          <t>Investment Grade</t>
        </is>
      </c>
      <c r="T547" s="30" t="inlineStr">
        <is>
          <t>A+</t>
        </is>
      </c>
      <c r="U547" s="30" t="inlineStr">
        <is>
          <t>A+</t>
        </is>
      </c>
      <c r="V547" s="30" t="n"/>
    </row>
    <row r="548">
      <c r="A548" s="30" t="inlineStr">
        <is>
          <t>US459200KY61</t>
        </is>
      </c>
      <c r="B548" s="30" t="inlineStr">
        <is>
          <t>Hold</t>
        </is>
      </c>
      <c r="C548" s="30" t="inlineStr">
        <is>
          <t>Ibm Corp</t>
        </is>
      </c>
      <c r="D548" s="30" t="n">
        <v>4.75</v>
      </c>
      <c r="E548" s="30" t="inlineStr">
        <is>
          <t>Sr Unsecured</t>
        </is>
      </c>
      <c r="F548" s="30" t="inlineStr">
        <is>
          <t>06.02.2033</t>
        </is>
      </c>
      <c r="G548" s="30" t="inlineStr">
        <is>
          <t>United states</t>
        </is>
      </c>
      <c r="H548" s="30" t="inlineStr">
        <is>
          <t>Technology</t>
        </is>
      </c>
      <c r="I548" s="30" t="n">
        <v>100</v>
      </c>
      <c r="J548" s="30" t="n">
        <v>100.116</v>
      </c>
      <c r="K548" s="30" t="n">
        <v>4.731105</v>
      </c>
      <c r="L548" s="30" t="n">
        <v>0.006542</v>
      </c>
      <c r="M548" s="30" t="n">
        <v>-0.183659</v>
      </c>
      <c r="N548" s="30" t="n">
        <v>53.37354739</v>
      </c>
      <c r="O548" s="30" t="n">
        <v>6.524614844</v>
      </c>
      <c r="P548" s="30" t="n">
        <v>80</v>
      </c>
      <c r="Q548" s="30" t="inlineStr">
        <is>
          <t>International Business Machines Corporation (IBM) provides computer solutions</t>
        </is>
      </c>
      <c r="R548" s="30" t="inlineStr">
        <is>
          <t>USD</t>
        </is>
      </c>
      <c r="S548" s="30" t="inlineStr">
        <is>
          <t>Investment Grade</t>
        </is>
      </c>
      <c r="T548" s="30" t="inlineStr">
        <is>
          <t>A-</t>
        </is>
      </c>
      <c r="U548" s="30" t="inlineStr">
        <is>
          <t>A-</t>
        </is>
      </c>
      <c r="V548" s="30" t="n"/>
    </row>
    <row r="549">
      <c r="A549" s="30" t="inlineStr">
        <is>
          <t>FR0013419736</t>
        </is>
      </c>
      <c r="B549" s="30" t="inlineStr">
        <is>
          <t>Hold</t>
        </is>
      </c>
      <c r="C549" s="30" t="inlineStr">
        <is>
          <t>Carrefour Sa</t>
        </is>
      </c>
      <c r="D549" s="30" t="n">
        <v>1</v>
      </c>
      <c r="E549" s="30" t="inlineStr">
        <is>
          <t>Sr Unsecured</t>
        </is>
      </c>
      <c r="F549" s="30" t="inlineStr">
        <is>
          <t>17.05.2027</t>
        </is>
      </c>
      <c r="G549" s="30" t="inlineStr">
        <is>
          <t>France</t>
        </is>
      </c>
      <c r="H549" s="30" t="inlineStr">
        <is>
          <t>Consumer, Non-cyclical</t>
        </is>
      </c>
      <c r="I549" s="30" t="n">
        <v>100</v>
      </c>
      <c r="J549" s="30" t="n">
        <v>97.499</v>
      </c>
      <c r="K549" s="30" t="n">
        <v>2.394094</v>
      </c>
      <c r="L549" s="30" t="n">
        <v>-0.07766000000000001</v>
      </c>
      <c r="M549" s="30" t="n">
        <v>-0.118119</v>
      </c>
      <c r="N549" s="30" t="n">
        <v>53.02775576</v>
      </c>
      <c r="O549" s="30" t="n">
        <v>2.135627847</v>
      </c>
      <c r="P549" s="30" t="n">
        <v>75</v>
      </c>
      <c r="Q549" s="30" t="inlineStr">
        <is>
          <t>French multinational retailer</t>
        </is>
      </c>
      <c r="R549" s="30" t="inlineStr">
        <is>
          <t>EUR</t>
        </is>
      </c>
      <c r="S549" s="30" t="inlineStr">
        <is>
          <t>Investment Grade</t>
        </is>
      </c>
      <c r="T549" s="30" t="inlineStr">
        <is>
          <t>NR</t>
        </is>
      </c>
      <c r="U549" s="30" t="inlineStr">
        <is>
          <t>NR</t>
        </is>
      </c>
      <c r="V549" s="30" t="n"/>
    </row>
    <row r="550">
      <c r="A550" s="30" t="inlineStr">
        <is>
          <t>FR0014006CS9</t>
        </is>
      </c>
      <c r="B550" s="30" t="inlineStr">
        <is>
          <t>Hold</t>
        </is>
      </c>
      <c r="C550" s="30" t="inlineStr">
        <is>
          <t>Bouygues Sa</t>
        </is>
      </c>
      <c r="D550" s="30" t="n">
        <v>0.5</v>
      </c>
      <c r="E550" s="30" t="inlineStr">
        <is>
          <t>Sr Unsecured</t>
        </is>
      </c>
      <c r="F550" s="30" t="inlineStr">
        <is>
          <t>11.02.2030</t>
        </is>
      </c>
      <c r="G550" s="30" t="inlineStr">
        <is>
          <t>France</t>
        </is>
      </c>
      <c r="H550" s="30" t="inlineStr">
        <is>
          <t>Industrial</t>
        </is>
      </c>
      <c r="I550" s="30" t="n">
        <v>100</v>
      </c>
      <c r="J550" s="30" t="n">
        <v>90.297</v>
      </c>
      <c r="K550" s="30" t="n">
        <v>2.779171</v>
      </c>
      <c r="L550" s="30" t="n">
        <v>-0.014362</v>
      </c>
      <c r="M550" s="30" t="n">
        <v>-0.0047</v>
      </c>
      <c r="N550" s="30" t="n">
        <v>53.00754735</v>
      </c>
      <c r="O550" s="30" t="n">
        <v>4.770689813</v>
      </c>
      <c r="P550" s="30" t="n">
        <v>80</v>
      </c>
      <c r="Q550" s="30" t="inlineStr">
        <is>
          <t>Offers construction services, communications services, television programming</t>
        </is>
      </c>
      <c r="R550" s="30" t="inlineStr">
        <is>
          <t>EUR</t>
        </is>
      </c>
      <c r="S550" s="30" t="inlineStr">
        <is>
          <t>Investment Grade</t>
        </is>
      </c>
      <c r="T550" s="30" t="inlineStr">
        <is>
          <t>A-</t>
        </is>
      </c>
      <c r="U550" s="30" t="inlineStr">
        <is>
          <t>A-</t>
        </is>
      </c>
      <c r="V550" s="30" t="n"/>
    </row>
    <row r="551">
      <c r="A551" s="30" t="inlineStr">
        <is>
          <t>XS1681521081</t>
        </is>
      </c>
      <c r="B551" s="30" t="inlineStr">
        <is>
          <t>Hold</t>
        </is>
      </c>
      <c r="C551" s="30" t="inlineStr">
        <is>
          <t>Telefonica Emisiones Sau</t>
        </is>
      </c>
      <c r="D551" s="30" t="n">
        <v>1.715</v>
      </c>
      <c r="E551" s="30" t="inlineStr">
        <is>
          <t>Sr Unsecured</t>
        </is>
      </c>
      <c r="F551" s="30" t="inlineStr">
        <is>
          <t>12.01.2028</t>
        </is>
      </c>
      <c r="G551" s="30" t="inlineStr">
        <is>
          <t>Spain</t>
        </is>
      </c>
      <c r="H551" s="30" t="inlineStr">
        <is>
          <t>Communications</t>
        </is>
      </c>
      <c r="I551" s="30" t="n">
        <v>100</v>
      </c>
      <c r="J551" s="30" t="n">
        <v>98.185</v>
      </c>
      <c r="K551" s="30" t="n">
        <v>2.466968</v>
      </c>
      <c r="L551" s="30" t="n">
        <v>-0.058075</v>
      </c>
      <c r="M551" s="30" t="n">
        <v>-0.076386</v>
      </c>
      <c r="N551" s="30" t="n">
        <v>52.86023257</v>
      </c>
      <c r="O551" s="30" t="n">
        <v>2.758744723</v>
      </c>
      <c r="P551" s="30" t="n">
        <v>60</v>
      </c>
      <c r="Q551" s="30" t="inlineStr">
        <is>
          <t>Leading Spanish telecom company with operations in Latin America</t>
        </is>
      </c>
      <c r="R551" s="30" t="inlineStr">
        <is>
          <t>EUR</t>
        </is>
      </c>
      <c r="S551" s="30" t="inlineStr">
        <is>
          <t>Investment Grade</t>
        </is>
      </c>
      <c r="T551" s="30" t="inlineStr">
        <is>
          <t>BBB-</t>
        </is>
      </c>
      <c r="U551" s="30" t="inlineStr">
        <is>
          <t>BBB-</t>
        </is>
      </c>
      <c r="V551" s="30" t="n"/>
    </row>
    <row r="552">
      <c r="A552" s="30" t="inlineStr">
        <is>
          <t>XS2823302026</t>
        </is>
      </c>
      <c r="B552" s="30" t="inlineStr">
        <is>
          <t>Top Pick</t>
        </is>
      </c>
      <c r="C552" s="30" t="inlineStr">
        <is>
          <t>Toyota Motor Finance Bv</t>
        </is>
      </c>
      <c r="D552" s="30" t="n">
        <v>4.75</v>
      </c>
      <c r="E552" s="30" t="inlineStr">
        <is>
          <t>Sr Unsecured</t>
        </is>
      </c>
      <c r="F552" s="30" t="inlineStr">
        <is>
          <t>22.10.2029</t>
        </is>
      </c>
      <c r="G552" s="30" t="inlineStr">
        <is>
          <t>Japan</t>
        </is>
      </c>
      <c r="H552" s="30" t="inlineStr">
        <is>
          <t>Consumer, Cyclical</t>
        </is>
      </c>
      <c r="I552" s="30" t="n">
        <v>100</v>
      </c>
      <c r="J552" s="30" t="n">
        <v>101.184</v>
      </c>
      <c r="K552" s="30" t="n">
        <v>4.387314</v>
      </c>
      <c r="L552" s="30" t="n">
        <v>0.006731</v>
      </c>
      <c r="M552" s="30" t="n">
        <v>-0.263767</v>
      </c>
      <c r="N552" s="30" t="n">
        <v>52.81823285</v>
      </c>
      <c r="O552" s="30" t="n">
        <v>4.027740131</v>
      </c>
      <c r="P552" s="30" t="n">
        <v>80</v>
      </c>
      <c r="Q552" s="30" t="inlineStr">
        <is>
          <t>Japan's largest auto maker</t>
        </is>
      </c>
      <c r="R552" s="30" t="inlineStr">
        <is>
          <t>GBP</t>
        </is>
      </c>
      <c r="S552" s="30" t="inlineStr">
        <is>
          <t>Investment Grade</t>
        </is>
      </c>
      <c r="T552" s="30" t="inlineStr">
        <is>
          <t>A+</t>
        </is>
      </c>
      <c r="U552" s="30" t="inlineStr">
        <is>
          <t>A+</t>
        </is>
      </c>
      <c r="V552" s="30" t="n"/>
    </row>
    <row r="553">
      <c r="A553" s="30" t="inlineStr">
        <is>
          <t>USG91139AD00</t>
        </is>
      </c>
      <c r="B553" s="30" t="inlineStr">
        <is>
          <t>Hold</t>
        </is>
      </c>
      <c r="C553" s="30" t="inlineStr">
        <is>
          <t>Tsmc Global Ltd</t>
        </is>
      </c>
      <c r="D553" s="30" t="n">
        <v>1</v>
      </c>
      <c r="E553" s="30" t="inlineStr">
        <is>
          <t>Sr Unsecured</t>
        </is>
      </c>
      <c r="F553" s="30" t="inlineStr">
        <is>
          <t>28.09.2027</t>
        </is>
      </c>
      <c r="G553" s="30" t="inlineStr">
        <is>
          <t>Taiwan</t>
        </is>
      </c>
      <c r="H553" s="30" t="inlineStr">
        <is>
          <t>Technology</t>
        </is>
      </c>
      <c r="I553" s="30" t="n">
        <v>200</v>
      </c>
      <c r="J553" s="30" t="n">
        <v>92.925</v>
      </c>
      <c r="K553" s="30" t="n">
        <v>4.374808</v>
      </c>
      <c r="L553" s="30" t="n">
        <v>0.080404</v>
      </c>
      <c r="M553" s="30" t="n">
        <v>-0.063914</v>
      </c>
      <c r="N553" s="30" t="n">
        <v>52.47220236</v>
      </c>
      <c r="O553" s="30" t="n">
        <v>2.504672342</v>
      </c>
      <c r="P553" s="30" t="n">
        <v>70</v>
      </c>
      <c r="Q553" s="30" t="inlineStr">
        <is>
          <t>Manufactures semiconductor devices</t>
        </is>
      </c>
      <c r="R553" s="30" t="inlineStr">
        <is>
          <t>USD</t>
        </is>
      </c>
      <c r="S553" s="30" t="inlineStr">
        <is>
          <t>Investment Grade</t>
        </is>
      </c>
      <c r="T553" s="30" t="inlineStr">
        <is>
          <t>AA-</t>
        </is>
      </c>
      <c r="U553" s="30" t="inlineStr">
        <is>
          <t>AA-</t>
        </is>
      </c>
      <c r="V553" s="30" t="n"/>
    </row>
    <row r="554">
      <c r="A554" s="30" t="inlineStr">
        <is>
          <t>XS2862984510</t>
        </is>
      </c>
      <c r="B554" s="30" t="inlineStr">
        <is>
          <t xml:space="preserve">Hold </t>
        </is>
      </c>
      <c r="C554" s="30" t="inlineStr">
        <is>
          <t>Enbw Intl Finance Bv</t>
        </is>
      </c>
      <c r="D554" s="30" t="n">
        <v>3.5</v>
      </c>
      <c r="E554" s="30" t="inlineStr">
        <is>
          <t>Sr Unsecured</t>
        </is>
      </c>
      <c r="F554" s="30" t="inlineStr">
        <is>
          <t>22.07.2031</t>
        </is>
      </c>
      <c r="G554" s="30" t="inlineStr">
        <is>
          <t>Germany</t>
        </is>
      </c>
      <c r="H554" s="30" t="inlineStr">
        <is>
          <t>Utilities</t>
        </is>
      </c>
      <c r="I554" s="30" t="n">
        <v>1</v>
      </c>
      <c r="J554" s="30" t="n">
        <v>102.769</v>
      </c>
      <c r="K554" s="30" t="n">
        <v>2.973541</v>
      </c>
      <c r="L554" s="30" t="n">
        <v>-0.072672</v>
      </c>
      <c r="M554" s="30" t="n">
        <v>-0.095522</v>
      </c>
      <c r="N554" s="30" t="n">
        <v>52.45091814</v>
      </c>
      <c r="O554" s="30" t="n">
        <v>5.369068578</v>
      </c>
      <c r="P554" s="30" t="n">
        <v>0</v>
      </c>
      <c r="Q554" s="30" t="inlineStr">
        <is>
          <t xml:space="preserve">German utility company </t>
        </is>
      </c>
      <c r="R554" s="30" t="inlineStr">
        <is>
          <t>EUR</t>
        </is>
      </c>
      <c r="S554" s="30" t="inlineStr">
        <is>
          <t>Investment Grade</t>
        </is>
      </c>
      <c r="T554" s="30" t="inlineStr">
        <is>
          <t>BBB+</t>
        </is>
      </c>
      <c r="U554" s="30" t="inlineStr">
        <is>
          <t>BBB+</t>
        </is>
      </c>
      <c r="V554" s="30" t="n"/>
    </row>
    <row r="555">
      <c r="A555" s="30" t="inlineStr">
        <is>
          <t>US105756BX78</t>
        </is>
      </c>
      <c r="B555" s="30" t="inlineStr">
        <is>
          <t xml:space="preserve">Hold </t>
        </is>
      </c>
      <c r="C555" s="30" t="inlineStr">
        <is>
          <t>Fed Republic Of Brazil</t>
        </is>
      </c>
      <c r="D555" s="30" t="n">
        <v>6</v>
      </c>
      <c r="E555" s="30" t="inlineStr">
        <is>
          <t>Sr Unsecured</t>
        </is>
      </c>
      <c r="F555" s="30" t="inlineStr">
        <is>
          <t>07.04.2026</t>
        </is>
      </c>
      <c r="G555" s="30" t="inlineStr">
        <is>
          <t>Brazil</t>
        </is>
      </c>
      <c r="H555" s="30" t="inlineStr">
        <is>
          <t>Government</t>
        </is>
      </c>
      <c r="I555" s="30" t="n">
        <v>200</v>
      </c>
      <c r="J555" s="30" t="n">
        <v>100.985</v>
      </c>
      <c r="K555" s="30" t="n">
        <v>4.631815</v>
      </c>
      <c r="L555" s="30" t="n">
        <v>0.006636</v>
      </c>
      <c r="M555" s="30" t="n">
        <v>-0.119654</v>
      </c>
      <c r="N555" s="30" t="n">
        <v>52.35545264</v>
      </c>
      <c r="O555" s="30" t="n">
        <v>1.05934167</v>
      </c>
      <c r="P555" s="30" t="n">
        <v>25</v>
      </c>
      <c r="Q555" s="30" t="inlineStr">
        <is>
          <t>Brazilian Governemnt</t>
        </is>
      </c>
      <c r="R555" s="30" t="inlineStr">
        <is>
          <t>USD</t>
        </is>
      </c>
      <c r="S555" s="30" t="inlineStr">
        <is>
          <t>Latin America</t>
        </is>
      </c>
      <c r="T555" s="30" t="inlineStr">
        <is>
          <t>BB</t>
        </is>
      </c>
      <c r="U555" s="30" t="inlineStr">
        <is>
          <t>BB</t>
        </is>
      </c>
      <c r="V555" s="30" t="n"/>
    </row>
    <row r="556">
      <c r="A556" s="30" t="inlineStr">
        <is>
          <t>CH1242301278</t>
        </is>
      </c>
      <c r="B556" s="30" t="inlineStr">
        <is>
          <t>Hold</t>
        </is>
      </c>
      <c r="C556" s="30" t="inlineStr">
        <is>
          <t>Swiss Life Holding Ag</t>
        </is>
      </c>
      <c r="D556" s="30" t="n">
        <v>2.2588</v>
      </c>
      <c r="E556" s="30" t="inlineStr">
        <is>
          <t>Sr Unsecured</t>
        </is>
      </c>
      <c r="F556" s="30" t="inlineStr">
        <is>
          <t>26.07.2028</t>
        </is>
      </c>
      <c r="G556" s="30" t="inlineStr">
        <is>
          <t>Switzerland</t>
        </is>
      </c>
      <c r="H556" s="30" t="inlineStr">
        <is>
          <t>Financial</t>
        </is>
      </c>
      <c r="I556" s="30" t="n">
        <v>5</v>
      </c>
      <c r="J556" s="30" t="n">
        <v>104.809</v>
      </c>
      <c r="K556" s="30" t="n">
        <v>0.519128</v>
      </c>
      <c r="L556" s="30" t="n">
        <v>0.022475</v>
      </c>
      <c r="M556" s="30" t="n">
        <v>0.186612</v>
      </c>
      <c r="N556" s="30" t="n">
        <v>52.27820048</v>
      </c>
      <c r="O556" s="30" t="n">
        <v>3.039539489</v>
      </c>
      <c r="P556" s="30" t="n">
        <v>80</v>
      </c>
      <c r="Q556" s="30" t="inlineStr">
        <is>
          <t>Provides life and property insurance</t>
        </is>
      </c>
      <c r="R556" s="30" t="inlineStr">
        <is>
          <t>CHF</t>
        </is>
      </c>
      <c r="S556" s="30" t="inlineStr">
        <is>
          <t>Investment Grade</t>
        </is>
      </c>
      <c r="T556" s="30" t="inlineStr">
        <is>
          <t>NR</t>
        </is>
      </c>
      <c r="U556" s="30" t="inlineStr">
        <is>
          <t>NR</t>
        </is>
      </c>
      <c r="V556" s="30" t="n"/>
    </row>
    <row r="557">
      <c r="A557" s="30" t="inlineStr">
        <is>
          <t>XS2357494322</t>
        </is>
      </c>
      <c r="B557" s="30" t="inlineStr">
        <is>
          <t>Hold</t>
        </is>
      </c>
      <c r="C557" s="30" t="inlineStr">
        <is>
          <t>Qatar Energy</t>
        </is>
      </c>
      <c r="D557" s="30" t="n">
        <v>2.25</v>
      </c>
      <c r="E557" s="30" t="inlineStr">
        <is>
          <t>Sr Unsecured</t>
        </is>
      </c>
      <c r="F557" s="30" t="inlineStr">
        <is>
          <t>12.07.2031</t>
        </is>
      </c>
      <c r="G557" s="30" t="inlineStr">
        <is>
          <t>Qatar</t>
        </is>
      </c>
      <c r="H557" s="30" t="inlineStr">
        <is>
          <t>Energy</t>
        </is>
      </c>
      <c r="I557" s="30" t="n">
        <v>200</v>
      </c>
      <c r="J557" s="30" t="n">
        <v>87.95</v>
      </c>
      <c r="K557" s="30" t="n">
        <v>4.565723</v>
      </c>
      <c r="L557" s="30" t="n">
        <v>-0.023625</v>
      </c>
      <c r="M557" s="30" t="n">
        <v>-0.062115</v>
      </c>
      <c r="N557" s="30" t="n">
        <v>52.05855421</v>
      </c>
      <c r="O557" s="30" t="n">
        <v>5.776413271</v>
      </c>
      <c r="P557" s="30" t="n">
        <v>85</v>
      </c>
      <c r="Q557" s="30" t="inlineStr">
        <is>
          <t xml:space="preserve">Qatari fully state-owned integrated energy company </t>
        </is>
      </c>
      <c r="R557" s="30" t="inlineStr">
        <is>
          <t>USD</t>
        </is>
      </c>
      <c r="S557" s="30" t="inlineStr">
        <is>
          <t>Investment Grade</t>
        </is>
      </c>
      <c r="T557" s="30" t="inlineStr">
        <is>
          <t>AA</t>
        </is>
      </c>
      <c r="U557" s="30" t="inlineStr">
        <is>
          <t>AA</t>
        </is>
      </c>
      <c r="V557" s="30" t="n"/>
    </row>
    <row r="558">
      <c r="A558" s="30" t="inlineStr">
        <is>
          <t>US718172DN66</t>
        </is>
      </c>
      <c r="B558" s="30" t="inlineStr">
        <is>
          <t>Top Pick</t>
        </is>
      </c>
      <c r="C558" s="30" t="inlineStr">
        <is>
          <t>Philip Morris Intl Inc</t>
        </is>
      </c>
      <c r="D558" s="30" t="n">
        <v>4.625</v>
      </c>
      <c r="E558" s="30" t="inlineStr">
        <is>
          <t>Sr Unsecured</t>
        </is>
      </c>
      <c r="F558" s="30" t="inlineStr">
        <is>
          <t>01.11.2029</t>
        </is>
      </c>
      <c r="G558" s="30" t="inlineStr">
        <is>
          <t>United states</t>
        </is>
      </c>
      <c r="H558" s="30" t="inlineStr">
        <is>
          <t>Consumer, Non-cyclical</t>
        </is>
      </c>
      <c r="I558" s="30" t="n">
        <v>2</v>
      </c>
      <c r="J558" s="30" t="n">
        <v>100.723</v>
      </c>
      <c r="K558" s="30" t="n">
        <v>4.434772</v>
      </c>
      <c r="L558" s="30" t="n">
        <v>0.030279</v>
      </c>
      <c r="M558" s="30" t="n">
        <v>-0.119522</v>
      </c>
      <c r="N558" s="30" t="n">
        <v>51.82612994</v>
      </c>
      <c r="O558" s="30" t="n">
        <v>4.114385928</v>
      </c>
      <c r="P558" s="30" t="n">
        <v>0</v>
      </c>
      <c r="Q558" s="30" t="inlineStr">
        <is>
          <t>World's leading international tobacco company</t>
        </is>
      </c>
      <c r="R558" s="30" t="inlineStr">
        <is>
          <t>USD</t>
        </is>
      </c>
      <c r="S558" s="30" t="inlineStr">
        <is>
          <t>Investment Grade</t>
        </is>
      </c>
      <c r="T558" s="30" t="inlineStr">
        <is>
          <t>A-</t>
        </is>
      </c>
      <c r="U558" s="30" t="inlineStr">
        <is>
          <t>A-</t>
        </is>
      </c>
      <c r="V558" s="30" t="n"/>
    </row>
    <row r="559">
      <c r="A559" s="30" t="inlineStr">
        <is>
          <t>XS2154419118</t>
        </is>
      </c>
      <c r="B559" s="30" t="inlineStr">
        <is>
          <t xml:space="preserve">Hold </t>
        </is>
      </c>
      <c r="C559" s="30" t="inlineStr">
        <is>
          <t>Shell International Fin</t>
        </is>
      </c>
      <c r="D559" s="30" t="n">
        <v>1.875</v>
      </c>
      <c r="E559" s="30" t="inlineStr">
        <is>
          <t>Sr Unsecured</t>
        </is>
      </c>
      <c r="F559" s="30" t="inlineStr">
        <is>
          <t>07.04.2032</t>
        </is>
      </c>
      <c r="G559" s="30" t="inlineStr">
        <is>
          <t>United states</t>
        </is>
      </c>
      <c r="H559" s="30" t="inlineStr">
        <is>
          <t>Energy</t>
        </is>
      </c>
      <c r="I559" s="30" t="n">
        <v>100</v>
      </c>
      <c r="J559" s="30" t="n">
        <v>92.908</v>
      </c>
      <c r="K559" s="30" t="n">
        <v>3.053517</v>
      </c>
      <c r="L559" s="30" t="n">
        <v>-0.022097</v>
      </c>
      <c r="M559" s="30" t="n">
        <v>-0.005662</v>
      </c>
      <c r="N559" s="30" t="n">
        <v>51.56424461</v>
      </c>
      <c r="O559" s="30" t="n">
        <v>6.394957587</v>
      </c>
      <c r="P559" s="30" t="n">
        <v>0</v>
      </c>
      <c r="Q559" s="30" t="inlineStr">
        <is>
          <t>One of the largest and most geographically diversified integrated oil companies</t>
        </is>
      </c>
      <c r="R559" s="30" t="inlineStr">
        <is>
          <t>EUR</t>
        </is>
      </c>
      <c r="S559" s="30" t="inlineStr">
        <is>
          <t>Investment Grade</t>
        </is>
      </c>
      <c r="T559" s="30" t="inlineStr">
        <is>
          <t>AA-</t>
        </is>
      </c>
      <c r="U559" s="30" t="inlineStr">
        <is>
          <t>AA-</t>
        </is>
      </c>
      <c r="V559" s="30" t="n"/>
    </row>
    <row r="560">
      <c r="A560" s="30" t="inlineStr">
        <is>
          <t>US87264ADL61</t>
        </is>
      </c>
      <c r="B560" s="30" t="inlineStr">
        <is>
          <t xml:space="preserve">Hold </t>
        </is>
      </c>
      <c r="C560" s="30" t="inlineStr">
        <is>
          <t>T-Mobile Usa Inc</t>
        </is>
      </c>
      <c r="D560" s="30" t="n">
        <v>4.2</v>
      </c>
      <c r="E560" s="30" t="inlineStr">
        <is>
          <t>Sr Unsecured</t>
        </is>
      </c>
      <c r="F560" s="30" t="inlineStr">
        <is>
          <t>01.10.2029</t>
        </is>
      </c>
      <c r="G560" s="30" t="inlineStr">
        <is>
          <t>United states</t>
        </is>
      </c>
      <c r="H560" s="30" t="inlineStr">
        <is>
          <t>Communications</t>
        </is>
      </c>
      <c r="I560" s="30" t="n">
        <v>2</v>
      </c>
      <c r="J560" s="30" t="n">
        <v>99.13</v>
      </c>
      <c r="K560" s="30" t="n">
        <v>4.426267</v>
      </c>
      <c r="L560" s="30" t="n">
        <v>-0.004026</v>
      </c>
      <c r="M560" s="30" t="n">
        <v>-0.162845</v>
      </c>
      <c r="N560" s="30" t="n">
        <v>51.46390216</v>
      </c>
      <c r="O560" s="30" t="n">
        <v>4.062217211</v>
      </c>
      <c r="P560" s="30" t="n">
        <v>0</v>
      </c>
      <c r="Q560" s="30" t="inlineStr">
        <is>
          <t>Provides telecommunications services</t>
        </is>
      </c>
      <c r="R560" s="30" t="inlineStr">
        <is>
          <t>USD</t>
        </is>
      </c>
      <c r="S560" s="30" t="inlineStr">
        <is>
          <t>Investment Grade</t>
        </is>
      </c>
      <c r="T560" s="30" t="inlineStr">
        <is>
          <t>BBB</t>
        </is>
      </c>
      <c r="U560" s="30" t="inlineStr">
        <is>
          <t>BBB</t>
        </is>
      </c>
      <c r="V560" s="30" t="n"/>
    </row>
    <row r="561">
      <c r="A561" s="30" t="inlineStr">
        <is>
          <t>XS2942478822</t>
        </is>
      </c>
      <c r="B561" s="30" t="inlineStr">
        <is>
          <t xml:space="preserve">Hold </t>
        </is>
      </c>
      <c r="C561" s="30" t="inlineStr">
        <is>
          <t>Enbw Intl Finance Bv</t>
        </is>
      </c>
      <c r="D561" s="30" t="n">
        <v>3</v>
      </c>
      <c r="E561" s="30" t="inlineStr">
        <is>
          <t>Sr Unsecured</t>
        </is>
      </c>
      <c r="F561" s="30" t="inlineStr">
        <is>
          <t>20.05.2029</t>
        </is>
      </c>
      <c r="G561" s="30" t="inlineStr">
        <is>
          <t>Germany</t>
        </is>
      </c>
      <c r="H561" s="30" t="inlineStr">
        <is>
          <t>Utilities</t>
        </is>
      </c>
      <c r="I561" s="30" t="n">
        <v>1</v>
      </c>
      <c r="J561" s="30" t="n">
        <v>101.271</v>
      </c>
      <c r="K561" s="30" t="n">
        <v>2.641942</v>
      </c>
      <c r="L561" s="30" t="n">
        <v>-0.057792</v>
      </c>
      <c r="M561" s="30" t="n">
        <v>-0.074488</v>
      </c>
      <c r="N561" s="30" t="n">
        <v>51.43822003</v>
      </c>
      <c r="O561" s="30" t="n">
        <v>3.889339487</v>
      </c>
      <c r="P561" s="30" t="n">
        <v>0</v>
      </c>
      <c r="Q561" s="30" t="inlineStr">
        <is>
          <t xml:space="preserve">German utility company </t>
        </is>
      </c>
      <c r="R561" s="30" t="inlineStr">
        <is>
          <t>EUR</t>
        </is>
      </c>
      <c r="S561" s="30" t="inlineStr">
        <is>
          <t>Investment Grade</t>
        </is>
      </c>
      <c r="T561" s="30" t="inlineStr">
        <is>
          <t>BBB+</t>
        </is>
      </c>
      <c r="U561" s="30" t="inlineStr">
        <is>
          <t>BBB+</t>
        </is>
      </c>
      <c r="V561" s="30" t="n"/>
    </row>
    <row r="562">
      <c r="A562" s="30" t="inlineStr">
        <is>
          <t>FR0013417128</t>
        </is>
      </c>
      <c r="B562" s="30" t="inlineStr">
        <is>
          <t>Hold</t>
        </is>
      </c>
      <c r="C562" s="30" t="inlineStr">
        <is>
          <t>Wendel Se</t>
        </is>
      </c>
      <c r="D562" s="30" t="n">
        <v>1.375</v>
      </c>
      <c r="E562" s="30" t="inlineStr">
        <is>
          <t>Sr Preferred</t>
        </is>
      </c>
      <c r="F562" s="30" t="inlineStr">
        <is>
          <t>26.04.2026</t>
        </is>
      </c>
      <c r="G562" s="30" t="inlineStr">
        <is>
          <t>France</t>
        </is>
      </c>
      <c r="H562" s="30" t="inlineStr">
        <is>
          <t>Financial</t>
        </is>
      </c>
      <c r="I562" s="30" t="n">
        <v>100</v>
      </c>
      <c r="J562" s="30" t="n">
        <v>99.236</v>
      </c>
      <c r="K562" s="30" t="n">
        <v>2.350851</v>
      </c>
      <c r="L562" s="30" t="n">
        <v>-0.11456</v>
      </c>
      <c r="M562" s="30" t="n">
        <v>-0.116034</v>
      </c>
      <c r="N562" s="30" t="n">
        <v>51.08239617</v>
      </c>
      <c r="O562" s="30" t="n">
        <v>1.123210646</v>
      </c>
      <c r="P562" s="30" t="n">
        <v>80</v>
      </c>
      <c r="Q562" s="30" t="inlineStr">
        <is>
          <t>French investment firm that invest in industrial and services companies</t>
        </is>
      </c>
      <c r="R562" s="30" t="inlineStr">
        <is>
          <t>EUR</t>
        </is>
      </c>
      <c r="S562" s="30" t="inlineStr">
        <is>
          <t>Investment Grade</t>
        </is>
      </c>
      <c r="T562" s="30" t="inlineStr">
        <is>
          <t>NR</t>
        </is>
      </c>
      <c r="U562" s="30" t="inlineStr">
        <is>
          <t>NR</t>
        </is>
      </c>
      <c r="V562" s="30" t="n"/>
    </row>
    <row r="563">
      <c r="A563" s="30" t="inlineStr">
        <is>
          <t>XS1567174286</t>
        </is>
      </c>
      <c r="B563" s="30" t="inlineStr">
        <is>
          <t>Hold</t>
        </is>
      </c>
      <c r="C563" s="30" t="inlineStr">
        <is>
          <t>Mckesson Corp</t>
        </is>
      </c>
      <c r="D563" s="30" t="n">
        <v>1.5</v>
      </c>
      <c r="E563" s="30" t="inlineStr">
        <is>
          <t>Sr Unsecured</t>
        </is>
      </c>
      <c r="F563" s="30" t="inlineStr">
        <is>
          <t>17.11.2025</t>
        </is>
      </c>
      <c r="G563" s="30" t="inlineStr">
        <is>
          <t>United states</t>
        </is>
      </c>
      <c r="H563" s="30" t="inlineStr">
        <is>
          <t>Consumer, Non-cyclical</t>
        </is>
      </c>
      <c r="I563" s="30" t="n">
        <v>100</v>
      </c>
      <c r="J563" s="30" t="n">
        <v>99.693</v>
      </c>
      <c r="K563" s="30" t="n">
        <v>2.357654</v>
      </c>
      <c r="L563" s="30" t="n">
        <v>-0.04821</v>
      </c>
      <c r="M563" s="30" t="n">
        <v>-0.029852</v>
      </c>
      <c r="N563" s="30" t="n">
        <v>51.06593831</v>
      </c>
      <c r="O563" s="30" t="n">
        <v>0.715856456</v>
      </c>
      <c r="P563" s="30" t="n">
        <v>80</v>
      </c>
      <c r="Q563" s="30" t="inlineStr">
        <is>
          <t>Distributor of pharmaceuticals and medical-surgical supplies.</t>
        </is>
      </c>
      <c r="R563" s="30" t="inlineStr">
        <is>
          <t>EUR</t>
        </is>
      </c>
      <c r="S563" s="30" t="inlineStr">
        <is>
          <t>Investment Grade</t>
        </is>
      </c>
      <c r="T563" s="30" t="inlineStr">
        <is>
          <t>BBB+</t>
        </is>
      </c>
      <c r="U563" s="30" t="inlineStr">
        <is>
          <t>BBB+</t>
        </is>
      </c>
      <c r="V563" s="30" t="n"/>
    </row>
    <row r="564">
      <c r="A564" s="30" t="inlineStr">
        <is>
          <t>USU1300RAL60</t>
        </is>
      </c>
      <c r="B564" s="30" t="inlineStr">
        <is>
          <t>Hold</t>
        </is>
      </c>
      <c r="C564" s="30" t="inlineStr">
        <is>
          <t>Energy Transfer Lp</t>
        </is>
      </c>
      <c r="D564" s="30" t="n">
        <v>7.375</v>
      </c>
      <c r="E564" s="30" t="inlineStr">
        <is>
          <t>Sr Unsecured</t>
        </is>
      </c>
      <c r="F564" s="30" t="inlineStr">
        <is>
          <t>01.02.2031</t>
        </is>
      </c>
      <c r="G564" s="30" t="inlineStr">
        <is>
          <t>United states</t>
        </is>
      </c>
      <c r="H564" s="30" t="inlineStr">
        <is>
          <t>Energy</t>
        </is>
      </c>
      <c r="I564" s="30" t="n">
        <v>2</v>
      </c>
      <c r="J564" s="30" t="n">
        <v>104.738</v>
      </c>
      <c r="K564" s="30" t="n">
        <v>5.258062</v>
      </c>
      <c r="L564" s="30" t="n">
        <v>0.040046</v>
      </c>
      <c r="M564" s="30" t="n">
        <v>-0.037528</v>
      </c>
      <c r="N564" s="30" t="n">
        <v>50.74837167</v>
      </c>
      <c r="O564" s="30" t="n">
        <v>1.795569358</v>
      </c>
      <c r="P564" s="30" t="n">
        <v>0</v>
      </c>
      <c r="Q564" s="30" t="inlineStr">
        <is>
          <t xml:space="preserve">US midstream in pipeline and storage </t>
        </is>
      </c>
      <c r="R564" s="30" t="inlineStr">
        <is>
          <t>USD</t>
        </is>
      </c>
      <c r="S564" s="30" t="inlineStr">
        <is>
          <t>Investment Grade</t>
        </is>
      </c>
      <c r="T564" s="30" t="inlineStr">
        <is>
          <t>BBB</t>
        </is>
      </c>
      <c r="U564" s="30" t="inlineStr">
        <is>
          <t>BBB</t>
        </is>
      </c>
      <c r="V564" s="30" t="n"/>
    </row>
    <row r="565">
      <c r="A565" s="30" t="inlineStr">
        <is>
          <t>US05584KAN81</t>
        </is>
      </c>
      <c r="B565" s="30" t="inlineStr">
        <is>
          <t>Hold</t>
        </is>
      </c>
      <c r="C565" s="30" t="inlineStr">
        <is>
          <t>Bpce Sa</t>
        </is>
      </c>
      <c r="D565" s="30" t="n">
        <v>5.975</v>
      </c>
      <c r="E565" s="30" t="inlineStr">
        <is>
          <t>Sr Non Preferred</t>
        </is>
      </c>
      <c r="F565" s="30" t="inlineStr">
        <is>
          <t>18.01.2027</t>
        </is>
      </c>
      <c r="G565" s="30" t="inlineStr">
        <is>
          <t>France</t>
        </is>
      </c>
      <c r="H565" s="30" t="inlineStr">
        <is>
          <t>Financial</t>
        </is>
      </c>
      <c r="I565" s="30" t="n">
        <v>250</v>
      </c>
      <c r="J565" s="30" t="n">
        <v>100.61</v>
      </c>
      <c r="K565" s="30" t="n">
        <v>4.786195</v>
      </c>
      <c r="L565" s="30" t="n">
        <v>0.027898</v>
      </c>
      <c r="M565" s="30" t="n">
        <v>-0.158824</v>
      </c>
      <c r="N565" s="30" t="n">
        <v>50.43424967</v>
      </c>
      <c r="O565" s="30" t="n">
        <v>0.872938984</v>
      </c>
      <c r="P565" s="30" t="n">
        <v>80</v>
      </c>
      <c r="Q565" s="30" t="inlineStr">
        <is>
          <t>One of the largest French retail banks</t>
        </is>
      </c>
      <c r="R565" s="30" t="inlineStr">
        <is>
          <t>USD</t>
        </is>
      </c>
      <c r="S565" s="30" t="inlineStr">
        <is>
          <t>Investment Grade</t>
        </is>
      </c>
      <c r="T565" s="30" t="inlineStr">
        <is>
          <t>BBB+</t>
        </is>
      </c>
      <c r="U565" s="30" t="inlineStr">
        <is>
          <t>BBB+</t>
        </is>
      </c>
      <c r="V565" s="30" t="n"/>
    </row>
    <row r="566">
      <c r="A566" s="30" t="inlineStr">
        <is>
          <t>XS2482887879</t>
        </is>
      </c>
      <c r="B566" s="30" t="inlineStr">
        <is>
          <t xml:space="preserve">Hold </t>
        </is>
      </c>
      <c r="C566" s="30" t="inlineStr">
        <is>
          <t>Rwe Ag</t>
        </is>
      </c>
      <c r="D566" s="30" t="n">
        <v>2.75</v>
      </c>
      <c r="E566" s="30" t="inlineStr">
        <is>
          <t>Sr Unsecured</t>
        </is>
      </c>
      <c r="F566" s="30" t="inlineStr">
        <is>
          <t>24.05.2030</t>
        </is>
      </c>
      <c r="G566" s="30" t="inlineStr">
        <is>
          <t>Germany</t>
        </is>
      </c>
      <c r="H566" s="30" t="inlineStr">
        <is>
          <t>Utilities</t>
        </is>
      </c>
      <c r="I566" s="30" t="n">
        <v>1</v>
      </c>
      <c r="J566" s="30" t="n">
        <v>99.8</v>
      </c>
      <c r="K566" s="30" t="n">
        <v>2.793536</v>
      </c>
      <c r="L566" s="30" t="n">
        <v>-0.047413</v>
      </c>
      <c r="M566" s="30" t="n">
        <v>-0.005578</v>
      </c>
      <c r="N566" s="30" t="n">
        <v>50.34162316</v>
      </c>
      <c r="O566" s="30" t="n">
        <v>4.714821029</v>
      </c>
      <c r="P566" s="30" t="n">
        <v>0</v>
      </c>
      <c r="Q566" s="30" t="inlineStr">
        <is>
          <t xml:space="preserve">German utility company </t>
        </is>
      </c>
      <c r="R566" s="30" t="inlineStr">
        <is>
          <t>EUR</t>
        </is>
      </c>
      <c r="S566" s="30" t="inlineStr">
        <is>
          <t>Investment Grade</t>
        </is>
      </c>
      <c r="T566" s="30" t="inlineStr">
        <is>
          <t>BBB</t>
        </is>
      </c>
      <c r="U566" s="30" t="inlineStr">
        <is>
          <t>BBB</t>
        </is>
      </c>
      <c r="V566" s="30" t="n"/>
    </row>
    <row r="567">
      <c r="A567" s="30" t="inlineStr">
        <is>
          <t>USP2000TAA36</t>
        </is>
      </c>
      <c r="B567" s="30" t="inlineStr">
        <is>
          <t>Hold</t>
        </is>
      </c>
      <c r="C567" s="30" t="inlineStr">
        <is>
          <t>Banco Do Brasil (Cayman)</t>
        </is>
      </c>
      <c r="D567" s="30" t="n">
        <v>3.25</v>
      </c>
      <c r="E567" s="30" t="inlineStr">
        <is>
          <t>Sr Unsecured</t>
        </is>
      </c>
      <c r="F567" s="30" t="inlineStr">
        <is>
          <t>30.09.2026</t>
        </is>
      </c>
      <c r="G567" s="30" t="inlineStr">
        <is>
          <t>Brazil</t>
        </is>
      </c>
      <c r="H567" s="30" t="inlineStr">
        <is>
          <t>Financial</t>
        </is>
      </c>
      <c r="I567" s="30" t="n">
        <v>200</v>
      </c>
      <c r="J567" s="30" t="n">
        <v>98.554</v>
      </c>
      <c r="K567" s="30" t="n">
        <v>4.469688</v>
      </c>
      <c r="L567" s="30" t="n">
        <v>0.023217</v>
      </c>
      <c r="M567" s="30" t="n">
        <v>-0.144608</v>
      </c>
      <c r="N567" s="30" t="n">
        <v>50.29355985</v>
      </c>
      <c r="O567" s="30" t="n">
        <v>1.523750068</v>
      </c>
      <c r="P567" s="30" t="n">
        <v>25</v>
      </c>
      <c r="Q567" s="30" t="inlineStr">
        <is>
          <t>Largest Brazilian and Latin American bank by assets</t>
        </is>
      </c>
      <c r="R567" s="30" t="inlineStr">
        <is>
          <t>USD</t>
        </is>
      </c>
      <c r="S567" s="30" t="inlineStr">
        <is>
          <t>Latin America</t>
        </is>
      </c>
      <c r="T567" s="30" t="inlineStr">
        <is>
          <t>BB</t>
        </is>
      </c>
      <c r="U567" s="30" t="inlineStr">
        <is>
          <t>BB</t>
        </is>
      </c>
      <c r="V567" s="30" t="n"/>
    </row>
    <row r="568">
      <c r="A568" s="30" t="inlineStr">
        <is>
          <t>US05526DBJ37</t>
        </is>
      </c>
      <c r="B568" s="30" t="inlineStr">
        <is>
          <t>Top Pick</t>
        </is>
      </c>
      <c r="C568" s="30" t="inlineStr">
        <is>
          <t>Bat Capital Corp</t>
        </is>
      </c>
      <c r="D568" s="30" t="n">
        <v>3.215</v>
      </c>
      <c r="E568" s="30" t="inlineStr">
        <is>
          <t>Sr Unsecured</t>
        </is>
      </c>
      <c r="F568" s="30" t="inlineStr">
        <is>
          <t>06.09.2026</t>
        </is>
      </c>
      <c r="G568" s="30" t="inlineStr">
        <is>
          <t>United Kingdom</t>
        </is>
      </c>
      <c r="H568" s="30" t="inlineStr">
        <is>
          <t>Consumer, Non-cyclical</t>
        </is>
      </c>
      <c r="I568" s="30" t="n">
        <v>2</v>
      </c>
      <c r="J568" s="30" t="n">
        <v>98.562</v>
      </c>
      <c r="K568" s="30" t="n">
        <v>4.496455</v>
      </c>
      <c r="L568" s="30" t="n">
        <v>0.029018</v>
      </c>
      <c r="M568" s="30" t="n">
        <v>-0.150447</v>
      </c>
      <c r="N568" s="30" t="n">
        <v>50.25617225</v>
      </c>
      <c r="O568" s="30" t="n">
        <v>1.459300418</v>
      </c>
      <c r="P568" s="30" t="n">
        <v>60</v>
      </c>
      <c r="Q568" s="30" t="inlineStr">
        <is>
          <t>Tobacco company</t>
        </is>
      </c>
      <c r="R568" s="30" t="inlineStr">
        <is>
          <t>USD</t>
        </is>
      </c>
      <c r="S568" s="30" t="inlineStr">
        <is>
          <t>Investment Grade</t>
        </is>
      </c>
      <c r="T568" s="30" t="inlineStr">
        <is>
          <t>BBB+</t>
        </is>
      </c>
      <c r="U568" s="30" t="inlineStr">
        <is>
          <t>BBB+</t>
        </is>
      </c>
      <c r="V568" s="30" t="n"/>
    </row>
    <row r="569">
      <c r="A569" s="30" t="inlineStr">
        <is>
          <t>XS2133071774</t>
        </is>
      </c>
      <c r="B569" s="30" t="inlineStr">
        <is>
          <t>Hold</t>
        </is>
      </c>
      <c r="C569" s="30" t="inlineStr">
        <is>
          <t>Carlsberg Breweries A/S</t>
        </is>
      </c>
      <c r="D569" s="30" t="n">
        <v>0.625</v>
      </c>
      <c r="E569" s="30" t="inlineStr">
        <is>
          <t>Sr Unsecured</t>
        </is>
      </c>
      <c r="F569" s="30" t="inlineStr">
        <is>
          <t>09.03.2030</t>
        </is>
      </c>
      <c r="G569" s="30" t="inlineStr">
        <is>
          <t>Denmark</t>
        </is>
      </c>
      <c r="H569" s="30" t="inlineStr">
        <is>
          <t>Consumer, Non-cyclical</t>
        </is>
      </c>
      <c r="I569" s="30" t="n">
        <v>100</v>
      </c>
      <c r="J569" s="30" t="n">
        <v>90.777</v>
      </c>
      <c r="K569" s="30" t="n">
        <v>2.759319</v>
      </c>
      <c r="L569" s="30" t="n">
        <v>-0.086564</v>
      </c>
      <c r="M569" s="30" t="n">
        <v>-0.09296599999999999</v>
      </c>
      <c r="N569" s="30" t="n">
        <v>50.08498947</v>
      </c>
      <c r="O569" s="30" t="n">
        <v>4.789453746</v>
      </c>
      <c r="P569" s="30" t="n">
        <v>60</v>
      </c>
      <c r="Q569" s="30" t="inlineStr">
        <is>
          <t>Provides alcoholic beverages</t>
        </is>
      </c>
      <c r="R569" s="30" t="inlineStr">
        <is>
          <t>EUR</t>
        </is>
      </c>
      <c r="S569" s="30" t="inlineStr">
        <is>
          <t>Investment Grade</t>
        </is>
      </c>
      <c r="T569" s="30" t="inlineStr">
        <is>
          <t>BBB+</t>
        </is>
      </c>
      <c r="U569" s="30" t="inlineStr">
        <is>
          <t>BBB+</t>
        </is>
      </c>
      <c r="V569" s="30" t="n"/>
    </row>
    <row r="570">
      <c r="A570" s="30" t="inlineStr">
        <is>
          <t>XS2447602793</t>
        </is>
      </c>
      <c r="B570" s="30" t="inlineStr">
        <is>
          <t>Hold</t>
        </is>
      </c>
      <c r="C570" s="30" t="inlineStr">
        <is>
          <t>Republic Of Poland</t>
        </is>
      </c>
      <c r="D570" s="30" t="n">
        <v>2.75</v>
      </c>
      <c r="E570" s="30" t="inlineStr">
        <is>
          <t>Sr Unsecured</t>
        </is>
      </c>
      <c r="F570" s="30" t="inlineStr">
        <is>
          <t>25.05.2032</t>
        </is>
      </c>
      <c r="G570" s="30" t="inlineStr">
        <is>
          <t>Poland</t>
        </is>
      </c>
      <c r="H570" s="30" t="inlineStr">
        <is>
          <t>Government</t>
        </is>
      </c>
      <c r="I570" s="30" t="n">
        <v>1</v>
      </c>
      <c r="J570" s="30" t="n">
        <v>98.224</v>
      </c>
      <c r="K570" s="30" t="n">
        <v>3.039359</v>
      </c>
      <c r="L570" s="30" t="n">
        <v>-0.003138</v>
      </c>
      <c r="M570" s="30" t="n">
        <v>-0.031005</v>
      </c>
      <c r="N570" s="30" t="n">
        <v>49.74853372</v>
      </c>
      <c r="O570" s="30" t="n">
        <v>6.337798093</v>
      </c>
      <c r="P570" s="30" t="n">
        <v>80</v>
      </c>
      <c r="Q570" s="30" t="inlineStr">
        <is>
          <t>Poland government bond</t>
        </is>
      </c>
      <c r="R570" s="30" t="inlineStr">
        <is>
          <t>EUR</t>
        </is>
      </c>
      <c r="S570" s="30" t="inlineStr">
        <is>
          <t>Investment Grade</t>
        </is>
      </c>
      <c r="T570" s="30" t="inlineStr">
        <is>
          <t>A-</t>
        </is>
      </c>
      <c r="U570" s="30" t="inlineStr">
        <is>
          <t>A-</t>
        </is>
      </c>
      <c r="V570" s="30" t="n"/>
    </row>
    <row r="571">
      <c r="A571" s="30" t="inlineStr">
        <is>
          <t>US91159HJA95</t>
        </is>
      </c>
      <c r="B571" s="30" t="inlineStr">
        <is>
          <t>Hold</t>
        </is>
      </c>
      <c r="C571" s="30" t="inlineStr">
        <is>
          <t>Us Bancorp</t>
        </is>
      </c>
      <c r="D571" s="30" t="n">
        <v>1.375</v>
      </c>
      <c r="E571" s="30" t="inlineStr">
        <is>
          <t>Sr Unsecured</t>
        </is>
      </c>
      <c r="F571" s="30" t="inlineStr">
        <is>
          <t>22.07.2030</t>
        </is>
      </c>
      <c r="G571" s="30" t="inlineStr">
        <is>
          <t>United states</t>
        </is>
      </c>
      <c r="H571" s="30" t="inlineStr">
        <is>
          <t>Financial</t>
        </is>
      </c>
      <c r="I571" s="30" t="n">
        <v>1</v>
      </c>
      <c r="J571" s="30" t="n">
        <v>86.336</v>
      </c>
      <c r="K571" s="30" t="n">
        <v>4.430322</v>
      </c>
      <c r="L571" s="30" t="n">
        <v>-0.003165</v>
      </c>
      <c r="M571" s="30" t="n">
        <v>-0.20636</v>
      </c>
      <c r="N571" s="30" t="n">
        <v>49.66769396</v>
      </c>
      <c r="O571" s="30" t="n">
        <v>5.087323453</v>
      </c>
      <c r="P571" s="30" t="n">
        <v>80</v>
      </c>
      <c r="Q571" s="30" t="inlineStr">
        <is>
          <t xml:space="preserve">U.S Bancorp is a diversified financial services company </t>
        </is>
      </c>
      <c r="R571" s="30" t="inlineStr">
        <is>
          <t>USD</t>
        </is>
      </c>
      <c r="S571" s="30" t="inlineStr">
        <is>
          <t>Investment Grade</t>
        </is>
      </c>
      <c r="T571" s="30" t="inlineStr">
        <is>
          <t>A</t>
        </is>
      </c>
      <c r="U571" s="30" t="inlineStr">
        <is>
          <t>A</t>
        </is>
      </c>
      <c r="V571" s="30" t="n"/>
    </row>
    <row r="572">
      <c r="A572" s="30" t="inlineStr">
        <is>
          <t>XS1840618059</t>
        </is>
      </c>
      <c r="B572" s="30" t="inlineStr">
        <is>
          <t xml:space="preserve">Not accumulate </t>
        </is>
      </c>
      <c r="C572" s="30" t="inlineStr">
        <is>
          <t>Bayer Capital Corp Bv</t>
        </is>
      </c>
      <c r="D572" s="30" t="n">
        <v>1.5</v>
      </c>
      <c r="E572" s="30" t="inlineStr">
        <is>
          <t>Sr Unsecured</t>
        </is>
      </c>
      <c r="F572" s="30" t="inlineStr">
        <is>
          <t>26.06.2026</t>
        </is>
      </c>
      <c r="G572" s="30" t="inlineStr">
        <is>
          <t>Germany</t>
        </is>
      </c>
      <c r="H572" s="30" t="inlineStr">
        <is>
          <t>Consumer, Non-cyclical</t>
        </is>
      </c>
      <c r="I572" s="30" t="n">
        <v>100</v>
      </c>
      <c r="J572" s="30" t="n">
        <v>99.215</v>
      </c>
      <c r="K572" s="30" t="n">
        <v>2.33254</v>
      </c>
      <c r="L572" s="30" t="n">
        <v>-0.052238</v>
      </c>
      <c r="M572" s="30" t="n">
        <v>-0.164846</v>
      </c>
      <c r="N572" s="30" t="n">
        <v>49.48770682</v>
      </c>
      <c r="O572" s="30" t="n">
        <v>1.284389514</v>
      </c>
      <c r="P572" s="30" t="n">
        <v>60</v>
      </c>
      <c r="Q572" s="30" t="inlineStr">
        <is>
          <t>Multinational pharmaceutical and life sciences company</t>
        </is>
      </c>
      <c r="R572" s="30" t="inlineStr">
        <is>
          <t>EUR</t>
        </is>
      </c>
      <c r="S572" s="30" t="inlineStr">
        <is>
          <t>Investment Grade</t>
        </is>
      </c>
      <c r="T572" s="30" t="inlineStr">
        <is>
          <t>BBB</t>
        </is>
      </c>
      <c r="U572" s="30" t="inlineStr">
        <is>
          <t>BBB</t>
        </is>
      </c>
      <c r="V572" s="30" t="n"/>
    </row>
    <row r="573">
      <c r="A573" s="30" t="inlineStr">
        <is>
          <t>XS2856698126</t>
        </is>
      </c>
      <c r="B573" s="30" t="inlineStr">
        <is>
          <t>Hold</t>
        </is>
      </c>
      <c r="C573" s="30" t="inlineStr">
        <is>
          <t>John Deere Capital Corp</t>
        </is>
      </c>
      <c r="D573" s="30" t="n">
        <v>3.45</v>
      </c>
      <c r="E573" s="30" t="inlineStr">
        <is>
          <t>Sr Unsecured</t>
        </is>
      </c>
      <c r="F573" s="30" t="inlineStr">
        <is>
          <t>16.07.2032</t>
        </is>
      </c>
      <c r="G573" s="30" t="inlineStr">
        <is>
          <t>United states</t>
        </is>
      </c>
      <c r="H573" s="30" t="inlineStr">
        <is>
          <t>Industrial</t>
        </is>
      </c>
      <c r="I573" s="30" t="n">
        <v>100</v>
      </c>
      <c r="J573" s="30" t="n">
        <v>102.545</v>
      </c>
      <c r="K573" s="30" t="n">
        <v>3.041796</v>
      </c>
      <c r="L573" s="30" t="n">
        <v>-0.06458999999999999</v>
      </c>
      <c r="M573" s="30" t="n">
        <v>-0.026106</v>
      </c>
      <c r="N573" s="30" t="n">
        <v>49.24544011</v>
      </c>
      <c r="O573" s="30" t="n">
        <v>6.32641227</v>
      </c>
      <c r="P573" s="30" t="n">
        <v>75</v>
      </c>
      <c r="Q573" s="30" t="inlineStr">
        <is>
          <t>Manufactures agricultural machinery and parts</t>
        </is>
      </c>
      <c r="R573" s="30" t="inlineStr">
        <is>
          <t>EUR</t>
        </is>
      </c>
      <c r="S573" s="30" t="inlineStr">
        <is>
          <t>Investment Grade</t>
        </is>
      </c>
      <c r="T573" s="30" t="inlineStr">
        <is>
          <t>A</t>
        </is>
      </c>
      <c r="U573" s="30" t="inlineStr">
        <is>
          <t>A</t>
        </is>
      </c>
      <c r="V573" s="30" t="n"/>
    </row>
    <row r="574">
      <c r="A574" s="30" t="inlineStr">
        <is>
          <t>US58013MFV19</t>
        </is>
      </c>
      <c r="B574" s="30" t="inlineStr">
        <is>
          <t xml:space="preserve">Hold </t>
        </is>
      </c>
      <c r="C574" s="30" t="inlineStr">
        <is>
          <t>Mcdonald'S Corp</t>
        </is>
      </c>
      <c r="D574" s="30" t="n">
        <v>4.95</v>
      </c>
      <c r="E574" s="30" t="inlineStr">
        <is>
          <t>Sr Unsecured</t>
        </is>
      </c>
      <c r="F574" s="30" t="inlineStr">
        <is>
          <t>14.08.2033</t>
        </is>
      </c>
      <c r="G574" s="30" t="inlineStr">
        <is>
          <t>United states</t>
        </is>
      </c>
      <c r="H574" s="30" t="inlineStr">
        <is>
          <t>Consumer, Cyclical</t>
        </is>
      </c>
      <c r="I574" s="30" t="n">
        <v>1</v>
      </c>
      <c r="J574" s="30" t="n">
        <v>101.458</v>
      </c>
      <c r="K574" s="30" t="n">
        <v>4.725589</v>
      </c>
      <c r="L574" s="30" t="n">
        <v>0.004887</v>
      </c>
      <c r="M574" s="30" t="n">
        <v>-0.103874</v>
      </c>
      <c r="N574" s="30" t="n">
        <v>48.92085407</v>
      </c>
      <c r="O574" s="30" t="n">
        <v>6.847806996</v>
      </c>
      <c r="P574" s="30" t="n">
        <v>85</v>
      </c>
      <c r="Q574" s="30" t="inlineStr">
        <is>
          <t>franchised fast food chain</t>
        </is>
      </c>
      <c r="R574" s="30" t="inlineStr">
        <is>
          <t>USD</t>
        </is>
      </c>
      <c r="S574" s="30" t="inlineStr">
        <is>
          <t>Investment Grade</t>
        </is>
      </c>
      <c r="T574" s="30" t="inlineStr">
        <is>
          <t>BBB+</t>
        </is>
      </c>
      <c r="U574" s="30" t="inlineStr">
        <is>
          <t>BBB+</t>
        </is>
      </c>
      <c r="V574" s="30" t="n"/>
    </row>
    <row r="575">
      <c r="A575" s="30" t="inlineStr">
        <is>
          <t>XS2575155671</t>
        </is>
      </c>
      <c r="B575" s="30" t="inlineStr">
        <is>
          <t>Top Pick</t>
        </is>
      </c>
      <c r="C575" s="30" t="inlineStr">
        <is>
          <t>Ubs Ag London</t>
        </is>
      </c>
      <c r="D575" s="30" t="n">
        <v>7.75</v>
      </c>
      <c r="E575" s="30" t="inlineStr">
        <is>
          <t>Sr Unsecured</t>
        </is>
      </c>
      <c r="F575" s="30" t="inlineStr">
        <is>
          <t>10.03.2026</t>
        </is>
      </c>
      <c r="G575" s="30" t="inlineStr">
        <is>
          <t>Switzerland</t>
        </is>
      </c>
      <c r="H575" s="30" t="inlineStr">
        <is>
          <t>Financial</t>
        </is>
      </c>
      <c r="I575" s="30" t="n">
        <v>100</v>
      </c>
      <c r="J575" s="30" t="n">
        <v>102.157</v>
      </c>
      <c r="K575" s="30" t="n">
        <v>4.319942</v>
      </c>
      <c r="L575" s="30" t="n">
        <v>-0.08140799999999999</v>
      </c>
      <c r="M575" s="30" t="n">
        <v>-0.3686</v>
      </c>
      <c r="N575" s="30" t="n">
        <v>48.34736605</v>
      </c>
      <c r="O575" s="30" t="n">
        <v>0.924647342</v>
      </c>
      <c r="P575" s="30" t="n">
        <v>60</v>
      </c>
      <c r="Q575" s="30" t="inlineStr">
        <is>
          <t>Second largest swiss banking group</t>
        </is>
      </c>
      <c r="R575" s="30" t="inlineStr">
        <is>
          <t>GBP</t>
        </is>
      </c>
      <c r="S575" s="30" t="inlineStr">
        <is>
          <t>Investment Grade</t>
        </is>
      </c>
      <c r="T575" s="30" t="inlineStr">
        <is>
          <t>A+</t>
        </is>
      </c>
      <c r="U575" s="30" t="inlineStr">
        <is>
          <t>A+</t>
        </is>
      </c>
      <c r="V575" s="30" t="n"/>
    </row>
    <row r="576">
      <c r="A576" s="30" t="inlineStr">
        <is>
          <t>US88579YBJ91</t>
        </is>
      </c>
      <c r="B576" s="30" t="inlineStr">
        <is>
          <t>Hold</t>
        </is>
      </c>
      <c r="C576" s="30" t="inlineStr">
        <is>
          <t>3M Company</t>
        </is>
      </c>
      <c r="D576" s="30" t="n">
        <v>2.375</v>
      </c>
      <c r="E576" s="30" t="inlineStr">
        <is>
          <t>Sr Unsecured</t>
        </is>
      </c>
      <c r="F576" s="30" t="inlineStr">
        <is>
          <t>26.08.2029</t>
        </is>
      </c>
      <c r="G576" s="30" t="inlineStr">
        <is>
          <t>United states</t>
        </is>
      </c>
      <c r="H576" s="30" t="inlineStr">
        <is>
          <t>Industrial</t>
        </is>
      </c>
      <c r="I576" s="30" t="n">
        <v>2</v>
      </c>
      <c r="J576" s="30" t="n">
        <v>92.489</v>
      </c>
      <c r="K576" s="30" t="n">
        <v>4.380902</v>
      </c>
      <c r="L576" s="30" t="n">
        <v>0.039346</v>
      </c>
      <c r="M576" s="30" t="n">
        <v>-0.127322</v>
      </c>
      <c r="N576" s="30" t="n">
        <v>48.30350055</v>
      </c>
      <c r="O576" s="30" t="n">
        <v>4.140127959</v>
      </c>
      <c r="P576" s="30" t="n">
        <v>80</v>
      </c>
      <c r="Q576" s="30" t="inlineStr">
        <is>
          <t>US industrial and consumer company</t>
        </is>
      </c>
      <c r="R576" s="30" t="inlineStr">
        <is>
          <t>USD</t>
        </is>
      </c>
      <c r="S576" s="30" t="inlineStr">
        <is>
          <t>Investment Grade</t>
        </is>
      </c>
      <c r="T576" s="30" t="inlineStr">
        <is>
          <t>BBB+</t>
        </is>
      </c>
      <c r="U576" s="30" t="inlineStr">
        <is>
          <t>BBB+</t>
        </is>
      </c>
      <c r="V576" s="30" t="n"/>
    </row>
    <row r="577">
      <c r="A577" s="30" t="inlineStr">
        <is>
          <t>XS1528093799</t>
        </is>
      </c>
      <c r="B577" s="30" t="inlineStr">
        <is>
          <t>Hold</t>
        </is>
      </c>
      <c r="C577" s="30" t="inlineStr">
        <is>
          <t>Autostrade Per L'Italia</t>
        </is>
      </c>
      <c r="D577" s="30" t="n">
        <v>1.75</v>
      </c>
      <c r="E577" s="30" t="inlineStr">
        <is>
          <t>Sr Unsecured</t>
        </is>
      </c>
      <c r="F577" s="30" t="inlineStr">
        <is>
          <t>01.02.2027</t>
        </is>
      </c>
      <c r="G577" s="30" t="inlineStr">
        <is>
          <t>Italy</t>
        </is>
      </c>
      <c r="H577" s="30" t="inlineStr">
        <is>
          <t>Consumer, Non-cyclical</t>
        </is>
      </c>
      <c r="I577" s="30" t="n">
        <v>100</v>
      </c>
      <c r="J577" s="30" t="n">
        <v>99.101</v>
      </c>
      <c r="K577" s="30" t="n">
        <v>2.337652</v>
      </c>
      <c r="L577" s="30" t="n">
        <v>-0.215026</v>
      </c>
      <c r="M577" s="30" t="n">
        <v>-0.246192</v>
      </c>
      <c r="N577" s="30" t="n">
        <v>48.00088756</v>
      </c>
      <c r="O577" s="30" t="n">
        <v>1.870201287</v>
      </c>
      <c r="P577" s="30" t="n">
        <v>20</v>
      </c>
      <c r="Q577" s="30" t="inlineStr">
        <is>
          <t>Italian infrastructure construction service company</t>
        </is>
      </c>
      <c r="R577" s="30" t="inlineStr">
        <is>
          <t>EUR</t>
        </is>
      </c>
      <c r="S577" s="30" t="inlineStr">
        <is>
          <t>Investment Grade</t>
        </is>
      </c>
      <c r="T577" s="30" t="inlineStr">
        <is>
          <t>BBB-</t>
        </is>
      </c>
      <c r="U577" s="30" t="inlineStr">
        <is>
          <t>BBB-</t>
        </is>
      </c>
      <c r="V577" s="30" t="n"/>
    </row>
    <row r="578">
      <c r="A578" s="30" t="inlineStr">
        <is>
          <t>XS2811733240</t>
        </is>
      </c>
      <c r="B578" s="30" t="inlineStr">
        <is>
          <t xml:space="preserve">Hold </t>
        </is>
      </c>
      <c r="C578" s="30" t="inlineStr">
        <is>
          <t>New York Life Global Fdg</t>
        </is>
      </c>
      <c r="D578" s="30" t="n">
        <v>4.875</v>
      </c>
      <c r="E578" s="30" t="inlineStr">
        <is>
          <t>Secured</t>
        </is>
      </c>
      <c r="F578" s="30" t="inlineStr">
        <is>
          <t>30.04.2031</t>
        </is>
      </c>
      <c r="G578" s="30" t="inlineStr">
        <is>
          <t>United states</t>
        </is>
      </c>
      <c r="H578" s="30" t="inlineStr">
        <is>
          <t>Financial</t>
        </is>
      </c>
      <c r="I578" s="30" t="n">
        <v>100</v>
      </c>
      <c r="J578" s="30" t="n">
        <v>101.768</v>
      </c>
      <c r="K578" s="30" t="n">
        <v>4.524988</v>
      </c>
      <c r="L578" s="30" t="n">
        <v>-0.002912</v>
      </c>
      <c r="M578" s="30" t="n">
        <v>-0.249214</v>
      </c>
      <c r="N578" s="30" t="n">
        <v>47.74685524</v>
      </c>
      <c r="O578" s="30" t="n">
        <v>5.203061456</v>
      </c>
      <c r="P578" s="30" t="n">
        <v>85</v>
      </c>
      <c r="Q578" s="30" t="inlineStr">
        <is>
          <t>The company provides life insurance, automobile and homeowners insurance.</t>
        </is>
      </c>
      <c r="R578" s="30" t="inlineStr">
        <is>
          <t>GBP</t>
        </is>
      </c>
      <c r="S578" s="30" t="inlineStr">
        <is>
          <t>Investment Grade</t>
        </is>
      </c>
      <c r="T578" s="30" t="inlineStr">
        <is>
          <t>AA+</t>
        </is>
      </c>
      <c r="U578" s="30" t="inlineStr">
        <is>
          <t>AA+</t>
        </is>
      </c>
      <c r="V578" s="30" t="n"/>
    </row>
    <row r="579">
      <c r="A579" s="30" t="inlineStr">
        <is>
          <t>XS2696089197</t>
        </is>
      </c>
      <c r="B579" s="30" t="inlineStr">
        <is>
          <t>Hold</t>
        </is>
      </c>
      <c r="C579" s="30" t="inlineStr">
        <is>
          <t>Carlsberg Breweries A/S</t>
        </is>
      </c>
      <c r="D579" s="30" t="n">
        <v>4.25</v>
      </c>
      <c r="E579" s="30" t="inlineStr">
        <is>
          <t>Sr Unsecured</t>
        </is>
      </c>
      <c r="F579" s="30" t="inlineStr">
        <is>
          <t>05.10.2033</t>
        </is>
      </c>
      <c r="G579" s="30" t="inlineStr">
        <is>
          <t>Denmark</t>
        </is>
      </c>
      <c r="H579" s="30" t="inlineStr">
        <is>
          <t>Consumer, Non-cyclical</t>
        </is>
      </c>
      <c r="I579" s="30" t="n">
        <v>100</v>
      </c>
      <c r="J579" s="30" t="n">
        <v>107.61</v>
      </c>
      <c r="K579" s="30" t="n">
        <v>3.156847</v>
      </c>
      <c r="L579" s="30" t="n">
        <v>-0.152926</v>
      </c>
      <c r="M579" s="30" t="n">
        <v>-0.183387</v>
      </c>
      <c r="N579" s="30" t="n">
        <v>47.69610845</v>
      </c>
      <c r="O579" s="30" t="n">
        <v>6.90931185</v>
      </c>
      <c r="P579" s="30" t="n">
        <v>60</v>
      </c>
      <c r="Q579" s="30" t="inlineStr">
        <is>
          <t>Provides alcoholic beverages</t>
        </is>
      </c>
      <c r="R579" s="30" t="inlineStr">
        <is>
          <t>EUR</t>
        </is>
      </c>
      <c r="S579" s="30" t="inlineStr">
        <is>
          <t>Investment Grade</t>
        </is>
      </c>
      <c r="T579" s="30" t="inlineStr">
        <is>
          <t>BBB+</t>
        </is>
      </c>
      <c r="U579" s="30" t="inlineStr">
        <is>
          <t>BBB+</t>
        </is>
      </c>
      <c r="V579" s="30" t="n"/>
    </row>
    <row r="580">
      <c r="A580" s="30" t="inlineStr">
        <is>
          <t>XS2153409029</t>
        </is>
      </c>
      <c r="B580" s="30" t="inlineStr">
        <is>
          <t xml:space="preserve">Hold </t>
        </is>
      </c>
      <c r="C580" s="30" t="inlineStr">
        <is>
          <t>Totalenergies Cap Intl</t>
        </is>
      </c>
      <c r="D580" s="30" t="n">
        <v>1.994</v>
      </c>
      <c r="E580" s="30" t="inlineStr">
        <is>
          <t>Sr Unsecured</t>
        </is>
      </c>
      <c r="F580" s="30" t="inlineStr">
        <is>
          <t>08.04.2032</t>
        </is>
      </c>
      <c r="G580" s="30" t="inlineStr">
        <is>
          <t>France</t>
        </is>
      </c>
      <c r="H580" s="30" t="inlineStr">
        <is>
          <t>Energy</t>
        </is>
      </c>
      <c r="I580" s="30" t="n">
        <v>100</v>
      </c>
      <c r="J580" s="30" t="n">
        <v>93.845</v>
      </c>
      <c r="K580" s="30" t="n">
        <v>3.014677</v>
      </c>
      <c r="L580" s="30" t="n">
        <v>-0.024007</v>
      </c>
      <c r="M580" s="30" t="n">
        <v>-0.01466</v>
      </c>
      <c r="N580" s="30" t="n">
        <v>47.54203375</v>
      </c>
      <c r="O580" s="30" t="n">
        <v>6.376589471</v>
      </c>
      <c r="P580" s="30" t="n">
        <v>0</v>
      </c>
      <c r="Q580" s="30" t="inlineStr">
        <is>
          <t>One of the largest oil companies of the world</t>
        </is>
      </c>
      <c r="R580" s="30" t="inlineStr">
        <is>
          <t>EUR</t>
        </is>
      </c>
      <c r="S580" s="30" t="inlineStr">
        <is>
          <t>Investment Grade</t>
        </is>
      </c>
      <c r="T580" s="30" t="inlineStr">
        <is>
          <t>A+</t>
        </is>
      </c>
      <c r="U580" s="30" t="inlineStr">
        <is>
          <t>A+</t>
        </is>
      </c>
      <c r="V580" s="30" t="n"/>
    </row>
    <row r="581">
      <c r="A581" s="30" t="inlineStr">
        <is>
          <t>US219868CL83</t>
        </is>
      </c>
      <c r="B581" s="30" t="inlineStr">
        <is>
          <t>Top Pick</t>
        </is>
      </c>
      <c r="C581" s="30" t="inlineStr">
        <is>
          <t>Corp Andina De Fomento</t>
        </is>
      </c>
      <c r="D581" s="30" t="n">
        <v>5</v>
      </c>
      <c r="E581" s="30" t="inlineStr">
        <is>
          <t>Sr Unsecured</t>
        </is>
      </c>
      <c r="F581" s="30" t="inlineStr">
        <is>
          <t>22.01.2030</t>
        </is>
      </c>
      <c r="G581" s="30" t="inlineStr">
        <is>
          <t>Supranational</t>
        </is>
      </c>
      <c r="H581" s="30" t="inlineStr">
        <is>
          <t>Government</t>
        </is>
      </c>
      <c r="I581" s="30" t="n">
        <v>1</v>
      </c>
      <c r="J581" s="30" t="n">
        <v>102.505</v>
      </c>
      <c r="K581" s="30" t="n">
        <v>4.384996</v>
      </c>
      <c r="L581" s="30" t="n">
        <v>0.09710199999999999</v>
      </c>
      <c r="M581" s="30" t="n">
        <v>-0.079349</v>
      </c>
      <c r="N581" s="30" t="n">
        <v>47.25363163</v>
      </c>
      <c r="O581" s="30" t="n">
        <v>4.303818202</v>
      </c>
      <c r="P581" s="30" t="n">
        <v>0</v>
      </c>
      <c r="Q581" s="30" t="inlineStr">
        <is>
          <t xml:space="preserve">Development bank </t>
        </is>
      </c>
      <c r="R581" s="30" t="inlineStr">
        <is>
          <t>USD</t>
        </is>
      </c>
      <c r="S581" s="30" t="inlineStr">
        <is>
          <t>Investment Grade</t>
        </is>
      </c>
      <c r="T581" s="30" t="inlineStr">
        <is>
          <t>AA-</t>
        </is>
      </c>
      <c r="U581" s="30" t="inlineStr">
        <is>
          <t>AA-</t>
        </is>
      </c>
      <c r="V581" s="30" t="n"/>
    </row>
    <row r="582">
      <c r="A582" s="30" t="inlineStr">
        <is>
          <t>FR001400KJO0</t>
        </is>
      </c>
      <c r="B582" s="30" t="inlineStr">
        <is>
          <t>Hold</t>
        </is>
      </c>
      <c r="C582" s="30" t="inlineStr">
        <is>
          <t>Lvmh Moet Hennessy Vuitt</t>
        </is>
      </c>
      <c r="D582" s="30" t="n">
        <v>3.5</v>
      </c>
      <c r="E582" s="30" t="inlineStr">
        <is>
          <t>Sr Unsecured</t>
        </is>
      </c>
      <c r="F582" s="30" t="inlineStr">
        <is>
          <t>07.09.2033</t>
        </is>
      </c>
      <c r="G582" s="30" t="inlineStr">
        <is>
          <t>France</t>
        </is>
      </c>
      <c r="H582" s="30" t="inlineStr">
        <is>
          <t>Consumer, Cyclical</t>
        </is>
      </c>
      <c r="I582" s="30" t="n">
        <v>100</v>
      </c>
      <c r="J582" s="30" t="n">
        <v>102.381</v>
      </c>
      <c r="K582" s="30" t="n">
        <v>3.155474</v>
      </c>
      <c r="L582" s="30" t="n">
        <v>-0.028167</v>
      </c>
      <c r="M582" s="30" t="n">
        <v>0.045922</v>
      </c>
      <c r="N582" s="30" t="n">
        <v>46.63676995</v>
      </c>
      <c r="O582" s="30" t="n">
        <v>7.018371207</v>
      </c>
      <c r="P582" s="30" t="n">
        <v>85</v>
      </c>
      <c r="Q582" s="30" t="inlineStr">
        <is>
          <t>French luxury group</t>
        </is>
      </c>
      <c r="R582" s="30" t="inlineStr">
        <is>
          <t>EUR</t>
        </is>
      </c>
      <c r="S582" s="30" t="inlineStr">
        <is>
          <t>Investment Grade</t>
        </is>
      </c>
      <c r="T582" s="30" t="inlineStr">
        <is>
          <t>AA-</t>
        </is>
      </c>
      <c r="U582" s="30" t="inlineStr">
        <is>
          <t>AA-</t>
        </is>
      </c>
      <c r="V582" s="30" t="n"/>
    </row>
    <row r="583">
      <c r="A583" s="30" t="inlineStr">
        <is>
          <t>US88032XAN49</t>
        </is>
      </c>
      <c r="B583" s="30" t="inlineStr">
        <is>
          <t>Top pick</t>
        </is>
      </c>
      <c r="C583" s="30" t="inlineStr">
        <is>
          <t>Tencent Holdings Ltd</t>
        </is>
      </c>
      <c r="D583" s="30" t="n">
        <v>3.975</v>
      </c>
      <c r="E583" s="30" t="inlineStr">
        <is>
          <t>Sr Unsecured</t>
        </is>
      </c>
      <c r="F583" s="30" t="inlineStr">
        <is>
          <t>11.04.2029</t>
        </is>
      </c>
      <c r="G583" s="30" t="inlineStr">
        <is>
          <t>China</t>
        </is>
      </c>
      <c r="H583" s="30" t="inlineStr">
        <is>
          <t>Communications</t>
        </is>
      </c>
      <c r="I583" s="30" t="n">
        <v>200</v>
      </c>
      <c r="J583" s="30" t="n">
        <v>98.627</v>
      </c>
      <c r="K583" s="30" t="n">
        <v>4.373575</v>
      </c>
      <c r="L583" s="30" t="n">
        <v>0.07041</v>
      </c>
      <c r="M583" s="30" t="n">
        <v>-0.06278499999999999</v>
      </c>
      <c r="N583" s="30" t="n">
        <v>46.47734005</v>
      </c>
      <c r="O583" s="30" t="n">
        <v>3.709045249</v>
      </c>
      <c r="P583" s="30" t="n">
        <v>80</v>
      </c>
      <c r="Q583" s="30" t="inlineStr">
        <is>
          <t>Provider of Internet and mobile value-added services</t>
        </is>
      </c>
      <c r="R583" s="30" t="inlineStr">
        <is>
          <t>USD</t>
        </is>
      </c>
      <c r="S583" s="30" t="inlineStr">
        <is>
          <t>Investment Grade</t>
        </is>
      </c>
      <c r="T583" s="30" t="inlineStr">
        <is>
          <t>A</t>
        </is>
      </c>
      <c r="U583" s="30" t="inlineStr">
        <is>
          <t>A+</t>
        </is>
      </c>
      <c r="V583" s="30" t="n"/>
    </row>
    <row r="584">
      <c r="A584" s="30" t="inlineStr">
        <is>
          <t>USU75091AT28</t>
        </is>
      </c>
      <c r="B584" s="30" t="inlineStr">
        <is>
          <t>Top Pick</t>
        </is>
      </c>
      <c r="C584" s="30" t="inlineStr">
        <is>
          <t>S&amp;P Global Inc</t>
        </is>
      </c>
      <c r="D584" s="30" t="n">
        <v>5.25</v>
      </c>
      <c r="E584" s="30" t="inlineStr">
        <is>
          <t>Sr Unsecured</t>
        </is>
      </c>
      <c r="F584" s="30" t="inlineStr">
        <is>
          <t>15.09.2033</t>
        </is>
      </c>
      <c r="G584" s="30" t="inlineStr">
        <is>
          <t>United states</t>
        </is>
      </c>
      <c r="H584" s="30" t="inlineStr">
        <is>
          <t>Consumer, Non-cyclical</t>
        </is>
      </c>
      <c r="I584" s="30" t="n">
        <v>2</v>
      </c>
      <c r="J584" s="30" t="n">
        <v>103.596</v>
      </c>
      <c r="K584" s="30" t="n">
        <v>4.701574</v>
      </c>
      <c r="L584" s="30" t="n">
        <v>-0.023774</v>
      </c>
      <c r="M584" s="30" t="n">
        <v>-0.175029</v>
      </c>
      <c r="N584" s="30" t="n">
        <v>46.39382178</v>
      </c>
      <c r="O584" s="30" t="n">
        <v>6.5410123</v>
      </c>
      <c r="P584" s="30" t="n">
        <v>80</v>
      </c>
      <c r="Q584" s="30" t="inlineStr">
        <is>
          <t>One of the largest rating agencies</t>
        </is>
      </c>
      <c r="R584" s="30" t="inlineStr">
        <is>
          <t>USD</t>
        </is>
      </c>
      <c r="S584" s="30" t="inlineStr">
        <is>
          <t>Investment Grade</t>
        </is>
      </c>
      <c r="T584" s="30" t="inlineStr">
        <is>
          <t>A-</t>
        </is>
      </c>
      <c r="U584" s="30" t="inlineStr">
        <is>
          <t>A-</t>
        </is>
      </c>
      <c r="V584" s="30" t="n"/>
    </row>
    <row r="585">
      <c r="A585" s="30" t="inlineStr">
        <is>
          <t>US71647NAQ25</t>
        </is>
      </c>
      <c r="B585" s="30" t="inlineStr">
        <is>
          <t xml:space="preserve">Hold </t>
        </is>
      </c>
      <c r="C585" s="30" t="inlineStr">
        <is>
          <t>Petrobras Global Finance</t>
        </is>
      </c>
      <c r="D585" s="30" t="n">
        <v>8.75</v>
      </c>
      <c r="E585" s="30" t="inlineStr">
        <is>
          <t>Sr Unsecured</t>
        </is>
      </c>
      <c r="F585" s="30" t="inlineStr">
        <is>
          <t>23.05.2026</t>
        </is>
      </c>
      <c r="G585" s="30" t="inlineStr">
        <is>
          <t>Brazil</t>
        </is>
      </c>
      <c r="H585" s="30" t="inlineStr">
        <is>
          <t>Energy</t>
        </is>
      </c>
      <c r="I585" s="30" t="n">
        <v>2</v>
      </c>
      <c r="J585" s="30" t="n">
        <v>103.582</v>
      </c>
      <c r="K585" s="30" t="n">
        <v>4.518569</v>
      </c>
      <c r="L585" s="30" t="n">
        <v>0.266492</v>
      </c>
      <c r="M585" s="30" t="n">
        <v>-0.032005</v>
      </c>
      <c r="N585" s="30" t="n">
        <v>46.3773147</v>
      </c>
      <c r="O585" s="30" t="n">
        <v>1.164913538</v>
      </c>
      <c r="P585" s="30" t="n">
        <v>25</v>
      </c>
      <c r="Q585" s="30" t="inlineStr">
        <is>
          <t>Largest oil company in Latin America</t>
        </is>
      </c>
      <c r="R585" s="30" t="inlineStr">
        <is>
          <t>USD</t>
        </is>
      </c>
      <c r="S585" s="30" t="inlineStr">
        <is>
          <t>Latin America</t>
        </is>
      </c>
      <c r="T585" s="30" t="inlineStr">
        <is>
          <t>BB</t>
        </is>
      </c>
      <c r="U585" s="30" t="inlineStr">
        <is>
          <t>BB</t>
        </is>
      </c>
      <c r="V585" s="30" t="n"/>
    </row>
    <row r="586">
      <c r="A586" s="30" t="inlineStr">
        <is>
          <t>US716973AD41</t>
        </is>
      </c>
      <c r="B586" s="30" t="inlineStr">
        <is>
          <t>Hold</t>
        </is>
      </c>
      <c r="C586" s="30" t="inlineStr">
        <is>
          <t>Pfizer Investment Enter</t>
        </is>
      </c>
      <c r="D586" s="30" t="n">
        <v>4.65</v>
      </c>
      <c r="E586" s="30" t="inlineStr">
        <is>
          <t>Sr Unsecured</t>
        </is>
      </c>
      <c r="F586" s="30" t="inlineStr">
        <is>
          <t>19.05.2030</t>
        </is>
      </c>
      <c r="G586" s="30" t="inlineStr">
        <is>
          <t>United states</t>
        </is>
      </c>
      <c r="H586" s="30" t="inlineStr">
        <is>
          <t>Consumer, Non-cyclical</t>
        </is>
      </c>
      <c r="I586" s="30" t="n">
        <v>2</v>
      </c>
      <c r="J586" s="30" t="n">
        <v>101.052</v>
      </c>
      <c r="K586" s="30" t="n">
        <v>4.399555</v>
      </c>
      <c r="L586" s="30" t="n">
        <v>0.038926</v>
      </c>
      <c r="M586" s="30" t="n">
        <v>-0.128676</v>
      </c>
      <c r="N586" s="30" t="n">
        <v>45.95607338</v>
      </c>
      <c r="O586" s="30" t="n">
        <v>4.54794325</v>
      </c>
      <c r="P586" s="30" t="n">
        <v>80</v>
      </c>
      <c r="Q586" s="30" t="inlineStr">
        <is>
          <t>One of the world's largest pharmaceutical companies</t>
        </is>
      </c>
      <c r="R586" s="30" t="inlineStr">
        <is>
          <t>USD</t>
        </is>
      </c>
      <c r="S586" s="30" t="inlineStr">
        <is>
          <t>Investment Grade</t>
        </is>
      </c>
      <c r="T586" s="30" t="inlineStr">
        <is>
          <t>A</t>
        </is>
      </c>
      <c r="U586" s="30" t="inlineStr">
        <is>
          <t>A</t>
        </is>
      </c>
      <c r="V586" s="30" t="n"/>
    </row>
    <row r="587">
      <c r="A587" s="30" t="inlineStr">
        <is>
          <t>XS2576245281</t>
        </is>
      </c>
      <c r="B587" s="30" t="inlineStr">
        <is>
          <t xml:space="preserve">Hold </t>
        </is>
      </c>
      <c r="C587" s="30" t="inlineStr">
        <is>
          <t>Cie De Saint-Gobain Sa</t>
        </is>
      </c>
      <c r="D587" s="30" t="n">
        <v>3.5</v>
      </c>
      <c r="E587" s="30" t="inlineStr">
        <is>
          <t>Sr Unsecured</t>
        </is>
      </c>
      <c r="F587" s="30" t="inlineStr">
        <is>
          <t>18.01.2029</t>
        </is>
      </c>
      <c r="G587" s="30" t="inlineStr">
        <is>
          <t>France</t>
        </is>
      </c>
      <c r="H587" s="30" t="inlineStr">
        <is>
          <t>Industrial</t>
        </is>
      </c>
      <c r="I587" s="30" t="n">
        <v>100</v>
      </c>
      <c r="J587" s="30" t="n">
        <v>103.017</v>
      </c>
      <c r="K587" s="30" t="n">
        <v>2.528149</v>
      </c>
      <c r="L587" s="30" t="n">
        <v>-0.076456</v>
      </c>
      <c r="M587" s="30" t="n">
        <v>-0.121695</v>
      </c>
      <c r="N587" s="30" t="n">
        <v>45.88306845</v>
      </c>
      <c r="O587" s="30" t="n">
        <v>3.378591857</v>
      </c>
      <c r="P587" s="30" t="n">
        <v>60</v>
      </c>
      <c r="Q587" s="30" t="inlineStr">
        <is>
          <t>Manufactures glass products and contruction materials</t>
        </is>
      </c>
      <c r="R587" s="30" t="inlineStr">
        <is>
          <t>EUR</t>
        </is>
      </c>
      <c r="S587" s="30" t="inlineStr">
        <is>
          <t>Investment Grade</t>
        </is>
      </c>
      <c r="T587" s="30" t="inlineStr">
        <is>
          <t>BBB+</t>
        </is>
      </c>
      <c r="U587" s="30" t="inlineStr">
        <is>
          <t>BBB+</t>
        </is>
      </c>
      <c r="V587" s="30" t="n"/>
    </row>
    <row r="588">
      <c r="A588" s="30" t="inlineStr">
        <is>
          <t>XS2696046460</t>
        </is>
      </c>
      <c r="B588" s="30" t="inlineStr">
        <is>
          <t>Hold</t>
        </is>
      </c>
      <c r="C588" s="30" t="inlineStr">
        <is>
          <t>Carlsberg Breweries A/S</t>
        </is>
      </c>
      <c r="D588" s="30" t="n">
        <v>4</v>
      </c>
      <c r="E588" s="30" t="inlineStr">
        <is>
          <t>Sr Unsecured</t>
        </is>
      </c>
      <c r="F588" s="30" t="inlineStr">
        <is>
          <t>05.10.2028</t>
        </is>
      </c>
      <c r="G588" s="30" t="inlineStr">
        <is>
          <t>Denmark</t>
        </is>
      </c>
      <c r="H588" s="30" t="inlineStr">
        <is>
          <t>Consumer, Non-cyclical</t>
        </is>
      </c>
      <c r="I588" s="30" t="n">
        <v>100</v>
      </c>
      <c r="J588" s="30" t="n">
        <v>104.385</v>
      </c>
      <c r="K588" s="30" t="n">
        <v>2.461284</v>
      </c>
      <c r="L588" s="30" t="n">
        <v>-0.098652</v>
      </c>
      <c r="M588" s="30" t="n">
        <v>-0.096544</v>
      </c>
      <c r="N588" s="30" t="n">
        <v>45.46613222</v>
      </c>
      <c r="O588" s="30" t="n">
        <v>3.078855202</v>
      </c>
      <c r="P588" s="30" t="n">
        <v>60</v>
      </c>
      <c r="Q588" s="30" t="inlineStr">
        <is>
          <t>Provides alcoholic beverages</t>
        </is>
      </c>
      <c r="R588" s="30" t="inlineStr">
        <is>
          <t>EUR</t>
        </is>
      </c>
      <c r="S588" s="30" t="inlineStr">
        <is>
          <t>Investment Grade</t>
        </is>
      </c>
      <c r="T588" s="30" t="inlineStr">
        <is>
          <t>BBB+</t>
        </is>
      </c>
      <c r="U588" s="30" t="inlineStr">
        <is>
          <t>BBB+</t>
        </is>
      </c>
      <c r="V588" s="30" t="n"/>
    </row>
    <row r="589">
      <c r="A589" s="30" t="inlineStr">
        <is>
          <t>XS1617830721</t>
        </is>
      </c>
      <c r="B589" s="30" t="inlineStr">
        <is>
          <t>Hold</t>
        </is>
      </c>
      <c r="C589" s="30" t="inlineStr">
        <is>
          <t>Wells Fargo &amp; Company</t>
        </is>
      </c>
      <c r="D589" s="30" t="n">
        <v>1.5</v>
      </c>
      <c r="E589" s="30" t="inlineStr">
        <is>
          <t>Sr Unsecured</t>
        </is>
      </c>
      <c r="F589" s="30" t="inlineStr">
        <is>
          <t>24.05.2027</t>
        </is>
      </c>
      <c r="G589" s="30" t="inlineStr">
        <is>
          <t>United states</t>
        </is>
      </c>
      <c r="H589" s="30" t="inlineStr">
        <is>
          <t>Financial</t>
        </is>
      </c>
      <c r="I589" s="30" t="n">
        <v>100</v>
      </c>
      <c r="J589" s="30" t="n">
        <v>98.518</v>
      </c>
      <c r="K589" s="30" t="n">
        <v>2.315645</v>
      </c>
      <c r="L589" s="30" t="n">
        <v>-0.06297800000000001</v>
      </c>
      <c r="M589" s="30" t="n">
        <v>-0.165572</v>
      </c>
      <c r="N589" s="30" t="n">
        <v>45.32684163</v>
      </c>
      <c r="O589" s="30" t="n">
        <v>2.140576259</v>
      </c>
      <c r="P589" s="30" t="n">
        <v>80</v>
      </c>
      <c r="Q589" s="30" t="inlineStr">
        <is>
          <t>Fourth largest US bank by assets</t>
        </is>
      </c>
      <c r="R589" s="30" t="inlineStr">
        <is>
          <t>EUR</t>
        </is>
      </c>
      <c r="S589" s="30" t="inlineStr">
        <is>
          <t>Investment Grade</t>
        </is>
      </c>
      <c r="T589" s="30" t="inlineStr">
        <is>
          <t>A</t>
        </is>
      </c>
      <c r="U589" s="30" t="inlineStr">
        <is>
          <t>A</t>
        </is>
      </c>
      <c r="V589" s="30" t="n"/>
    </row>
    <row r="590">
      <c r="A590" s="30" t="inlineStr">
        <is>
          <t>XS2703627021</t>
        </is>
      </c>
      <c r="B590" s="30" t="inlineStr">
        <is>
          <t>Hold</t>
        </is>
      </c>
      <c r="C590" s="30" t="inlineStr">
        <is>
          <t>John Deere Bank Sa</t>
        </is>
      </c>
      <c r="D590" s="30" t="n">
        <v>5.125</v>
      </c>
      <c r="E590" s="30" t="inlineStr">
        <is>
          <t>Sr Unsecured</t>
        </is>
      </c>
      <c r="F590" s="30" t="inlineStr">
        <is>
          <t>18.10.2028</t>
        </is>
      </c>
      <c r="G590" s="30" t="inlineStr">
        <is>
          <t>United states</t>
        </is>
      </c>
      <c r="H590" s="30" t="inlineStr">
        <is>
          <t>Industrial</t>
        </is>
      </c>
      <c r="I590" s="30" t="n">
        <v>100</v>
      </c>
      <c r="J590" s="30" t="n">
        <v>102.553</v>
      </c>
      <c r="K590" s="30" t="n">
        <v>4.222248</v>
      </c>
      <c r="L590" s="30" t="n">
        <v>-0.001257</v>
      </c>
      <c r="M590" s="30" t="n">
        <v>-0.297214</v>
      </c>
      <c r="N590" s="30" t="n">
        <v>45.31688877</v>
      </c>
      <c r="O590" s="30" t="n">
        <v>3.218754891</v>
      </c>
      <c r="P590" s="30" t="n">
        <v>75</v>
      </c>
      <c r="Q590" s="30" t="inlineStr">
        <is>
          <t>Manufactures agricultural machinery and parts</t>
        </is>
      </c>
      <c r="R590" s="30" t="inlineStr">
        <is>
          <t>GBP</t>
        </is>
      </c>
      <c r="S590" s="30" t="inlineStr">
        <is>
          <t>Investment Grade</t>
        </is>
      </c>
      <c r="T590" s="30" t="inlineStr">
        <is>
          <t>A</t>
        </is>
      </c>
      <c r="U590" s="30" t="inlineStr">
        <is>
          <t>A</t>
        </is>
      </c>
      <c r="V590" s="30" t="n"/>
    </row>
    <row r="591">
      <c r="A591" s="30" t="inlineStr">
        <is>
          <t>US911312BZ82</t>
        </is>
      </c>
      <c r="B591" s="30" t="inlineStr">
        <is>
          <t>Hold</t>
        </is>
      </c>
      <c r="C591" s="30" t="inlineStr">
        <is>
          <t>United Parcel Service</t>
        </is>
      </c>
      <c r="D591" s="30" t="n">
        <v>4.875</v>
      </c>
      <c r="E591" s="30" t="inlineStr">
        <is>
          <t>Sr Unsecured</t>
        </is>
      </c>
      <c r="F591" s="30" t="inlineStr">
        <is>
          <t>03.03.2033</t>
        </is>
      </c>
      <c r="G591" s="30" t="inlineStr">
        <is>
          <t>United states</t>
        </is>
      </c>
      <c r="H591" s="30" t="inlineStr">
        <is>
          <t>Industrial</t>
        </is>
      </c>
      <c r="I591" s="30" t="n">
        <v>2</v>
      </c>
      <c r="J591" s="30" t="n">
        <v>101.399</v>
      </c>
      <c r="K591" s="30" t="n">
        <v>4.64939</v>
      </c>
      <c r="L591" s="30" t="n">
        <v>-0.008836</v>
      </c>
      <c r="M591" s="30" t="n">
        <v>-0.220015</v>
      </c>
      <c r="N591" s="30" t="n">
        <v>45.16795373</v>
      </c>
      <c r="O591" s="30" t="n">
        <v>6.424148416</v>
      </c>
      <c r="P591" s="30" t="n">
        <v>80</v>
      </c>
      <c r="Q591" s="30" t="inlineStr">
        <is>
          <t>Delivers packages and documents</t>
        </is>
      </c>
      <c r="R591" s="30" t="inlineStr">
        <is>
          <t>USD</t>
        </is>
      </c>
      <c r="S591" s="30" t="inlineStr">
        <is>
          <t>Investment Grade</t>
        </is>
      </c>
      <c r="T591" s="30" t="inlineStr">
        <is>
          <t>A</t>
        </is>
      </c>
      <c r="U591" s="30" t="inlineStr">
        <is>
          <t>A</t>
        </is>
      </c>
      <c r="V591" s="30" t="n"/>
    </row>
    <row r="592">
      <c r="A592" s="30" t="inlineStr">
        <is>
          <t>XS1799545329</t>
        </is>
      </c>
      <c r="B592" s="30" t="inlineStr">
        <is>
          <t>Hold</t>
        </is>
      </c>
      <c r="C592" s="30" t="inlineStr">
        <is>
          <t>Dragados Sa</t>
        </is>
      </c>
      <c r="D592" s="30" t="n">
        <v>1.875</v>
      </c>
      <c r="E592" s="30" t="inlineStr">
        <is>
          <t>Sr Unsecured</t>
        </is>
      </c>
      <c r="F592" s="30" t="inlineStr">
        <is>
          <t>20.04.2026</t>
        </is>
      </c>
      <c r="G592" s="30" t="inlineStr">
        <is>
          <t>Spain</t>
        </is>
      </c>
      <c r="H592" s="30" t="inlineStr">
        <is>
          <t>Industrial</t>
        </is>
      </c>
      <c r="I592" s="30" t="n">
        <v>100</v>
      </c>
      <c r="J592" s="30" t="n">
        <v>99.676</v>
      </c>
      <c r="K592" s="30" t="n">
        <v>2.29367</v>
      </c>
      <c r="L592" s="30" t="n">
        <v>-0.042271</v>
      </c>
      <c r="M592" s="30" t="n">
        <v>-0.330675</v>
      </c>
      <c r="N592" s="30" t="n">
        <v>44.46029706</v>
      </c>
      <c r="O592" s="30" t="n">
        <v>1.101846099</v>
      </c>
      <c r="P592" s="30" t="n">
        <v>60</v>
      </c>
      <c r="Q592" s="30" t="inlineStr">
        <is>
          <t>Spanish engineering and contracting company</t>
        </is>
      </c>
      <c r="R592" s="30" t="inlineStr">
        <is>
          <t>EUR</t>
        </is>
      </c>
      <c r="S592" s="30" t="inlineStr">
        <is>
          <t>Investment Grade</t>
        </is>
      </c>
      <c r="T592" s="30" t="inlineStr">
        <is>
          <t>NR</t>
        </is>
      </c>
      <c r="U592" s="30" t="inlineStr">
        <is>
          <t>NR</t>
        </is>
      </c>
      <c r="V592" s="30" t="n"/>
    </row>
    <row r="593">
      <c r="A593" s="30" t="inlineStr">
        <is>
          <t>XS2559069849</t>
        </is>
      </c>
      <c r="B593" s="30" t="inlineStr">
        <is>
          <t xml:space="preserve">Hold </t>
        </is>
      </c>
      <c r="C593" s="30" t="inlineStr">
        <is>
          <t>Intesa Sanpaolo Spa</t>
        </is>
      </c>
      <c r="D593" s="30" t="n">
        <v>7</v>
      </c>
      <c r="E593" s="30" t="inlineStr">
        <is>
          <t>Sr Preferred</t>
        </is>
      </c>
      <c r="F593" s="30" t="inlineStr">
        <is>
          <t>21.11.2025</t>
        </is>
      </c>
      <c r="G593" s="30" t="inlineStr">
        <is>
          <t>Italy</t>
        </is>
      </c>
      <c r="H593" s="30" t="inlineStr">
        <is>
          <t>Financial</t>
        </is>
      </c>
      <c r="I593" s="30" t="n">
        <v>200</v>
      </c>
      <c r="J593" s="30" t="n">
        <v>100.785</v>
      </c>
      <c r="K593" s="30" t="n">
        <v>4.77837</v>
      </c>
      <c r="L593" s="30" t="n">
        <v>0.042948</v>
      </c>
      <c r="M593" s="30" t="n">
        <v>-0.072841</v>
      </c>
      <c r="N593" s="30" t="n">
        <v>44.37943426</v>
      </c>
      <c r="O593" s="30" t="n">
        <v>0.708100892</v>
      </c>
      <c r="P593" s="30" t="n">
        <v>60</v>
      </c>
      <c r="Q593" s="30" t="inlineStr">
        <is>
          <t>One of the largest Italian banks</t>
        </is>
      </c>
      <c r="R593" s="30" t="inlineStr">
        <is>
          <t>USD</t>
        </is>
      </c>
      <c r="S593" s="30" t="inlineStr">
        <is>
          <t>Investment Grade</t>
        </is>
      </c>
      <c r="T593" s="30" t="inlineStr">
        <is>
          <t>BBB</t>
        </is>
      </c>
      <c r="U593" s="30" t="inlineStr">
        <is>
          <t>BBB</t>
        </is>
      </c>
      <c r="V593" s="30" t="n"/>
    </row>
    <row r="594">
      <c r="A594" s="30" t="inlineStr">
        <is>
          <t>US88032XAG97</t>
        </is>
      </c>
      <c r="B594" s="30" t="inlineStr">
        <is>
          <t>Top pick</t>
        </is>
      </c>
      <c r="C594" s="30" t="inlineStr">
        <is>
          <t>Tencent Holdings Ltd</t>
        </is>
      </c>
      <c r="D594" s="30" t="n">
        <v>3.595</v>
      </c>
      <c r="E594" s="30" t="inlineStr">
        <is>
          <t>Sr Unsecured</t>
        </is>
      </c>
      <c r="F594" s="30" t="inlineStr">
        <is>
          <t>19.01.2028</t>
        </is>
      </c>
      <c r="G594" s="30" t="inlineStr">
        <is>
          <t>China</t>
        </is>
      </c>
      <c r="H594" s="30" t="inlineStr">
        <is>
          <t>Communications</t>
        </is>
      </c>
      <c r="I594" s="30" t="n">
        <v>200</v>
      </c>
      <c r="J594" s="30" t="n">
        <v>98.29300000000001</v>
      </c>
      <c r="K594" s="30" t="n">
        <v>4.31382</v>
      </c>
      <c r="L594" s="30" t="n">
        <v>0.08298999999999999</v>
      </c>
      <c r="M594" s="30" t="n">
        <v>-0.072628</v>
      </c>
      <c r="N594" s="30" t="n">
        <v>44.2679622</v>
      </c>
      <c r="O594" s="30" t="n">
        <v>2.715243667</v>
      </c>
      <c r="P594" s="30" t="n">
        <v>80</v>
      </c>
      <c r="Q594" s="30" t="inlineStr">
        <is>
          <t>Provider of Internet and mobile value-added services</t>
        </is>
      </c>
      <c r="R594" s="30" t="inlineStr">
        <is>
          <t>USD</t>
        </is>
      </c>
      <c r="S594" s="30" t="inlineStr">
        <is>
          <t>Investment Grade</t>
        </is>
      </c>
      <c r="T594" s="30" t="inlineStr">
        <is>
          <t>A</t>
        </is>
      </c>
      <c r="U594" s="30" t="inlineStr">
        <is>
          <t>A+</t>
        </is>
      </c>
      <c r="V594" s="30" t="n"/>
    </row>
    <row r="595">
      <c r="A595" s="30" t="inlineStr">
        <is>
          <t>XS2150006562</t>
        </is>
      </c>
      <c r="B595" s="30" t="inlineStr">
        <is>
          <t>Hold</t>
        </is>
      </c>
      <c r="C595" s="30" t="inlineStr">
        <is>
          <t>John Deere Cash Manageme</t>
        </is>
      </c>
      <c r="D595" s="30" t="n">
        <v>2.2</v>
      </c>
      <c r="E595" s="30" t="inlineStr">
        <is>
          <t>Sr Unsecured</t>
        </is>
      </c>
      <c r="F595" s="30" t="inlineStr">
        <is>
          <t>02.04.2032</t>
        </is>
      </c>
      <c r="G595" s="30" t="inlineStr">
        <is>
          <t>United states</t>
        </is>
      </c>
      <c r="H595" s="30" t="inlineStr">
        <is>
          <t>Industrial</t>
        </is>
      </c>
      <c r="I595" s="30" t="n">
        <v>100</v>
      </c>
      <c r="J595" s="30" t="n">
        <v>95.339</v>
      </c>
      <c r="K595" s="30" t="n">
        <v>2.973346</v>
      </c>
      <c r="L595" s="30" t="n">
        <v>-0.029152</v>
      </c>
      <c r="M595" s="30" t="n">
        <v>0.010171</v>
      </c>
      <c r="N595" s="30" t="n">
        <v>44.10151154</v>
      </c>
      <c r="O595" s="30" t="n">
        <v>6.311474022</v>
      </c>
      <c r="P595" s="30" t="n">
        <v>80</v>
      </c>
      <c r="Q595" s="30" t="inlineStr">
        <is>
          <t>Manufactures agricultural machinery and parts</t>
        </is>
      </c>
      <c r="R595" s="30" t="inlineStr">
        <is>
          <t>EUR</t>
        </is>
      </c>
      <c r="S595" s="30" t="inlineStr">
        <is>
          <t>Investment Grade</t>
        </is>
      </c>
      <c r="T595" s="30" t="inlineStr">
        <is>
          <t>A</t>
        </is>
      </c>
      <c r="U595" s="30" t="inlineStr">
        <is>
          <t>A</t>
        </is>
      </c>
      <c r="V595" s="30" t="n"/>
    </row>
    <row r="596">
      <c r="A596" s="30" t="inlineStr">
        <is>
          <t>US872898AC52</t>
        </is>
      </c>
      <c r="B596" s="30" t="inlineStr">
        <is>
          <t>Hold</t>
        </is>
      </c>
      <c r="C596" s="30" t="inlineStr">
        <is>
          <t>Tsmc Arizona Corp</t>
        </is>
      </c>
      <c r="D596" s="30" t="n">
        <v>2.5</v>
      </c>
      <c r="E596" s="30" t="inlineStr">
        <is>
          <t>Sr Unsecured</t>
        </is>
      </c>
      <c r="F596" s="30" t="inlineStr">
        <is>
          <t>25.10.2031</t>
        </is>
      </c>
      <c r="G596" s="30" t="inlineStr">
        <is>
          <t>Taiwan</t>
        </is>
      </c>
      <c r="H596" s="30" t="inlineStr">
        <is>
          <t>Technology</t>
        </is>
      </c>
      <c r="I596" s="30" t="n">
        <v>200</v>
      </c>
      <c r="J596" s="30" t="n">
        <v>89.111</v>
      </c>
      <c r="K596" s="30" t="n">
        <v>4.504568</v>
      </c>
      <c r="L596" s="30" t="n">
        <v>0.07001599999999999</v>
      </c>
      <c r="M596" s="30" t="n">
        <v>-0.130944</v>
      </c>
      <c r="N596" s="30" t="n">
        <v>43.20209447</v>
      </c>
      <c r="O596" s="30" t="n">
        <v>5.944027454</v>
      </c>
      <c r="P596" s="30" t="n">
        <v>85</v>
      </c>
      <c r="Q596" s="30" t="inlineStr">
        <is>
          <t>Manufactures semiconductor devices</t>
        </is>
      </c>
      <c r="R596" s="30" t="inlineStr">
        <is>
          <t>USD</t>
        </is>
      </c>
      <c r="S596" s="30" t="inlineStr">
        <is>
          <t>Investment Grade</t>
        </is>
      </c>
      <c r="T596" s="30" t="inlineStr">
        <is>
          <t>AA-</t>
        </is>
      </c>
      <c r="U596" s="30" t="inlineStr">
        <is>
          <t>AA-</t>
        </is>
      </c>
      <c r="V596" s="30" t="n"/>
    </row>
    <row r="597">
      <c r="A597" s="30" t="inlineStr">
        <is>
          <t>FR001400KHF2</t>
        </is>
      </c>
      <c r="B597" s="30" t="inlineStr">
        <is>
          <t>Hold</t>
        </is>
      </c>
      <c r="C597" s="30" t="inlineStr">
        <is>
          <t>Engie Sa</t>
        </is>
      </c>
      <c r="D597" s="30" t="n">
        <v>3.75</v>
      </c>
      <c r="E597" s="30" t="inlineStr">
        <is>
          <t>Sr Unsecured</t>
        </is>
      </c>
      <c r="F597" s="30" t="inlineStr">
        <is>
          <t>06.09.2027</t>
        </is>
      </c>
      <c r="G597" s="30" t="inlineStr">
        <is>
          <t>France</t>
        </is>
      </c>
      <c r="H597" s="30" t="inlineStr">
        <is>
          <t>Utilities</t>
        </is>
      </c>
      <c r="I597" s="30" t="n">
        <v>100</v>
      </c>
      <c r="J597" s="30" t="n">
        <v>102.667</v>
      </c>
      <c r="K597" s="30" t="n">
        <v>2.307627</v>
      </c>
      <c r="L597" s="30" t="n">
        <v>-0.077336</v>
      </c>
      <c r="M597" s="30" t="n">
        <v>-0.133094</v>
      </c>
      <c r="N597" s="30" t="n">
        <v>43.13161757</v>
      </c>
      <c r="O597" s="30" t="n">
        <v>2.133767039</v>
      </c>
      <c r="P597" s="30" t="n">
        <v>60</v>
      </c>
      <c r="Q597" s="30" t="inlineStr">
        <is>
          <t>French utility company specialised in renewables</t>
        </is>
      </c>
      <c r="R597" s="30" t="inlineStr">
        <is>
          <t>EUR</t>
        </is>
      </c>
      <c r="S597" s="30" t="inlineStr">
        <is>
          <t>Investment Grade</t>
        </is>
      </c>
      <c r="T597" s="30" t="inlineStr">
        <is>
          <t>BBB+</t>
        </is>
      </c>
      <c r="U597" s="30" t="inlineStr">
        <is>
          <t>BBB+</t>
        </is>
      </c>
      <c r="V597" s="30" t="n"/>
    </row>
    <row r="598">
      <c r="A598" s="30" t="inlineStr">
        <is>
          <t>FR001400F711</t>
        </is>
      </c>
      <c r="B598" s="30" t="inlineStr">
        <is>
          <t>Hold</t>
        </is>
      </c>
      <c r="C598" s="30" t="inlineStr">
        <is>
          <t>Schneider Electric Se</t>
        </is>
      </c>
      <c r="D598" s="30" t="n">
        <v>3.375</v>
      </c>
      <c r="E598" s="30" t="inlineStr">
        <is>
          <t>Sr Unsecured</t>
        </is>
      </c>
      <c r="F598" s="30" t="inlineStr">
        <is>
          <t>13.04.2034</t>
        </is>
      </c>
      <c r="G598" s="30" t="inlineStr">
        <is>
          <t>United states</t>
        </is>
      </c>
      <c r="H598" s="30" t="inlineStr">
        <is>
          <t>Industrial</t>
        </is>
      </c>
      <c r="I598" s="30" t="n">
        <v>100</v>
      </c>
      <c r="J598" s="30" t="n">
        <v>101.467</v>
      </c>
      <c r="K598" s="30" t="n">
        <v>3.17535</v>
      </c>
      <c r="L598" s="30" t="n">
        <v>-0.055736</v>
      </c>
      <c r="M598" s="30" t="n">
        <v>-0.013554</v>
      </c>
      <c r="N598" s="30" t="n">
        <v>43.12127586</v>
      </c>
      <c r="O598" s="30" t="n">
        <v>7.382071646</v>
      </c>
      <c r="P598" s="30" t="n">
        <v>85</v>
      </c>
      <c r="Q598" s="30" t="inlineStr">
        <is>
          <t>manufactures electrical power products</t>
        </is>
      </c>
      <c r="R598" s="30" t="inlineStr">
        <is>
          <t>EUR</t>
        </is>
      </c>
      <c r="S598" s="30" t="inlineStr">
        <is>
          <t>Investment Grade</t>
        </is>
      </c>
      <c r="T598" s="30" t="inlineStr">
        <is>
          <t>NR</t>
        </is>
      </c>
      <c r="U598" s="30" t="inlineStr">
        <is>
          <t>NR</t>
        </is>
      </c>
      <c r="V598" s="30" t="n"/>
    </row>
    <row r="599">
      <c r="A599" s="30" t="inlineStr">
        <is>
          <t>XS2576255249</t>
        </is>
      </c>
      <c r="B599" s="30" t="inlineStr">
        <is>
          <t>Hold</t>
        </is>
      </c>
      <c r="C599" s="30" t="inlineStr">
        <is>
          <t>Natwest Markets Plc</t>
        </is>
      </c>
      <c r="D599" s="30" t="n">
        <v>4.25</v>
      </c>
      <c r="E599" s="30" t="inlineStr">
        <is>
          <t>Sr Unsecured</t>
        </is>
      </c>
      <c r="F599" s="30" t="inlineStr">
        <is>
          <t>13.01.2028</t>
        </is>
      </c>
      <c r="G599" s="30" t="inlineStr">
        <is>
          <t>United Kingdom</t>
        </is>
      </c>
      <c r="H599" s="30" t="inlineStr">
        <is>
          <t>Financial</t>
        </is>
      </c>
      <c r="I599" s="30" t="n">
        <v>100</v>
      </c>
      <c r="J599" s="30" t="n">
        <v>104.538</v>
      </c>
      <c r="K599" s="30" t="n">
        <v>2.364092</v>
      </c>
      <c r="L599" s="30" t="n">
        <v>-0.07541299999999999</v>
      </c>
      <c r="M599" s="30" t="n">
        <v>-0.09654</v>
      </c>
      <c r="N599" s="30" t="n">
        <v>42.91636519</v>
      </c>
      <c r="O599" s="30" t="n">
        <v>2.692871419</v>
      </c>
      <c r="P599" s="30" t="n">
        <v>80</v>
      </c>
      <c r="Q599" s="30" t="inlineStr">
        <is>
          <t xml:space="preserve">Banking and Financial service company </t>
        </is>
      </c>
      <c r="R599" s="30" t="inlineStr">
        <is>
          <t>EUR</t>
        </is>
      </c>
      <c r="S599" s="30" t="inlineStr">
        <is>
          <t>Investment Grade</t>
        </is>
      </c>
      <c r="T599" s="30" t="inlineStr">
        <is>
          <t>A+</t>
        </is>
      </c>
      <c r="U599" s="30" t="inlineStr">
        <is>
          <t>A</t>
        </is>
      </c>
      <c r="V599" s="30" t="n"/>
    </row>
    <row r="600">
      <c r="A600" s="30" t="inlineStr">
        <is>
          <t>XS2448014808</t>
        </is>
      </c>
      <c r="B600" s="30" t="inlineStr">
        <is>
          <t>Hold</t>
        </is>
      </c>
      <c r="C600" s="30" t="inlineStr">
        <is>
          <t>Mastercard Inc</t>
        </is>
      </c>
      <c r="D600" s="30" t="n">
        <v>1</v>
      </c>
      <c r="E600" s="30" t="inlineStr">
        <is>
          <t>Sr Unsecured</t>
        </is>
      </c>
      <c r="F600" s="30" t="inlineStr">
        <is>
          <t>22.02.2029</t>
        </is>
      </c>
      <c r="G600" s="30" t="inlineStr">
        <is>
          <t>United states</t>
        </is>
      </c>
      <c r="H600" s="30" t="inlineStr">
        <is>
          <t>Financial</t>
        </is>
      </c>
      <c r="I600" s="30" t="n">
        <v>100</v>
      </c>
      <c r="J600" s="30" t="n">
        <v>94.78100000000001</v>
      </c>
      <c r="K600" s="30" t="n">
        <v>2.523957</v>
      </c>
      <c r="L600" s="30" t="n">
        <v>-0.025911</v>
      </c>
      <c r="M600" s="30" t="n">
        <v>0.007998</v>
      </c>
      <c r="N600" s="30" t="n">
        <v>42.75999728</v>
      </c>
      <c r="O600" s="30" t="n">
        <v>3.832427647</v>
      </c>
      <c r="P600" s="30" t="n">
        <v>80</v>
      </c>
      <c r="Q600" s="30" t="inlineStr">
        <is>
          <t>Provides financial transaction processing services</t>
        </is>
      </c>
      <c r="R600" s="30" t="inlineStr">
        <is>
          <t>EUR</t>
        </is>
      </c>
      <c r="S600" s="30" t="inlineStr">
        <is>
          <t>Investment Grade</t>
        </is>
      </c>
      <c r="T600" s="30" t="inlineStr">
        <is>
          <t>A+</t>
        </is>
      </c>
      <c r="U600" s="30" t="inlineStr">
        <is>
          <t>A+</t>
        </is>
      </c>
      <c r="V600" s="30" t="n"/>
    </row>
    <row r="601">
      <c r="A601" s="30" t="inlineStr">
        <is>
          <t>XS1709529520</t>
        </is>
      </c>
      <c r="B601" s="30" t="inlineStr">
        <is>
          <t>Hold</t>
        </is>
      </c>
      <c r="C601" s="30" t="inlineStr">
        <is>
          <t>Abu Dhabi Crude Oil</t>
        </is>
      </c>
      <c r="D601" s="30" t="n">
        <v>3.65</v>
      </c>
      <c r="E601" s="30" t="inlineStr">
        <is>
          <t>1St Lien</t>
        </is>
      </c>
      <c r="F601" s="30" t="inlineStr">
        <is>
          <t>02.11.2029</t>
        </is>
      </c>
      <c r="G601" s="30" t="inlineStr">
        <is>
          <t>U.A.E</t>
        </is>
      </c>
      <c r="H601" s="30" t="inlineStr">
        <is>
          <t>Energy</t>
        </is>
      </c>
      <c r="I601" s="30" t="n">
        <v>200</v>
      </c>
      <c r="J601" s="30" t="n">
        <v>97.343</v>
      </c>
      <c r="K601" s="30" t="n">
        <v>4.332701</v>
      </c>
      <c r="L601" s="30" t="n">
        <v>-0.049334</v>
      </c>
      <c r="M601" s="30" t="n">
        <v>-0.140423</v>
      </c>
      <c r="N601" s="30" t="n">
        <v>42.73498829</v>
      </c>
      <c r="O601" s="30" t="n">
        <v>4.213092602</v>
      </c>
      <c r="P601" s="30" t="n">
        <v>85</v>
      </c>
      <c r="Q601" s="30" t="inlineStr">
        <is>
          <t>Abu Dhabi Crude Oil Pipeline L.L.C. operates as a pipeline company.</t>
        </is>
      </c>
      <c r="R601" s="30" t="inlineStr">
        <is>
          <t>USD</t>
        </is>
      </c>
      <c r="S601" s="30" t="inlineStr">
        <is>
          <t>Investment Grade</t>
        </is>
      </c>
      <c r="T601" s="30" t="inlineStr">
        <is>
          <t>AA</t>
        </is>
      </c>
      <c r="U601" s="30" t="inlineStr">
        <is>
          <t>AA</t>
        </is>
      </c>
      <c r="V601" s="30" t="n"/>
    </row>
    <row r="602">
      <c r="A602" s="30" t="inlineStr">
        <is>
          <t>US57636QAX25</t>
        </is>
      </c>
      <c r="B602" s="30" t="inlineStr">
        <is>
          <t>Hold</t>
        </is>
      </c>
      <c r="C602" s="30" t="inlineStr">
        <is>
          <t>Mastercard Inc</t>
        </is>
      </c>
      <c r="D602" s="30" t="n">
        <v>4.85</v>
      </c>
      <c r="E602" s="30" t="inlineStr">
        <is>
          <t>Sr Unsecured</t>
        </is>
      </c>
      <c r="F602" s="30" t="inlineStr">
        <is>
          <t>09.03.2033</t>
        </is>
      </c>
      <c r="G602" s="30" t="inlineStr">
        <is>
          <t>United states</t>
        </is>
      </c>
      <c r="H602" s="30" t="inlineStr">
        <is>
          <t>Financial</t>
        </is>
      </c>
      <c r="I602" s="30" t="n">
        <v>2</v>
      </c>
      <c r="J602" s="30" t="n">
        <v>101.391</v>
      </c>
      <c r="K602" s="30" t="n">
        <v>4.626083</v>
      </c>
      <c r="L602" s="30" t="n">
        <v>0.004794</v>
      </c>
      <c r="M602" s="30" t="n">
        <v>-0.114977</v>
      </c>
      <c r="N602" s="30" t="n">
        <v>42.6814121</v>
      </c>
      <c r="O602" s="30" t="n">
        <v>6.4524567</v>
      </c>
      <c r="P602" s="30" t="n">
        <v>80</v>
      </c>
      <c r="Q602" s="30" t="inlineStr">
        <is>
          <t>Provides financial transaction processing services</t>
        </is>
      </c>
      <c r="R602" s="30" t="inlineStr">
        <is>
          <t>USD</t>
        </is>
      </c>
      <c r="S602" s="30" t="inlineStr">
        <is>
          <t>Investment Grade</t>
        </is>
      </c>
      <c r="T602" s="30" t="inlineStr">
        <is>
          <t>A+</t>
        </is>
      </c>
      <c r="U602" s="30" t="inlineStr">
        <is>
          <t>A+</t>
        </is>
      </c>
      <c r="V602" s="30" t="n"/>
    </row>
    <row r="603">
      <c r="A603" s="30" t="inlineStr">
        <is>
          <t>DE000A1ZZ028</t>
        </is>
      </c>
      <c r="B603" s="30" t="inlineStr">
        <is>
          <t>Hold</t>
        </is>
      </c>
      <c r="C603" s="30" t="inlineStr">
        <is>
          <t>Bmw Us Capital Llc</t>
        </is>
      </c>
      <c r="D603" s="30" t="n">
        <v>1</v>
      </c>
      <c r="E603" s="30" t="inlineStr">
        <is>
          <t>Sr Unsecured</t>
        </is>
      </c>
      <c r="F603" s="30" t="inlineStr">
        <is>
          <t>20.04.2027</t>
        </is>
      </c>
      <c r="G603" s="30" t="inlineStr">
        <is>
          <t>Germany</t>
        </is>
      </c>
      <c r="H603" s="30" t="inlineStr">
        <is>
          <t>Consumer, Cyclical</t>
        </is>
      </c>
      <c r="I603" s="30" t="n">
        <v>1</v>
      </c>
      <c r="J603" s="30" t="n">
        <v>97.77500000000001</v>
      </c>
      <c r="K603" s="30" t="n">
        <v>2.287287</v>
      </c>
      <c r="L603" s="30" t="n">
        <v>-0.08941200000000001</v>
      </c>
      <c r="M603" s="30" t="n">
        <v>-0.056358</v>
      </c>
      <c r="N603" s="30" t="n">
        <v>42.67555766</v>
      </c>
      <c r="O603" s="30" t="n">
        <v>2.067073786</v>
      </c>
      <c r="P603" s="30" t="n">
        <v>80</v>
      </c>
      <c r="Q603" s="30" t="inlineStr">
        <is>
          <t>European car manufacturer focused entirely on the premium segment</t>
        </is>
      </c>
      <c r="R603" s="30" t="inlineStr">
        <is>
          <t>EUR</t>
        </is>
      </c>
      <c r="S603" s="30" t="inlineStr">
        <is>
          <t>Investment Grade</t>
        </is>
      </c>
      <c r="T603" s="30" t="inlineStr">
        <is>
          <t>A</t>
        </is>
      </c>
      <c r="U603" s="30" t="inlineStr">
        <is>
          <t>A</t>
        </is>
      </c>
      <c r="V603" s="30" t="n"/>
    </row>
    <row r="604">
      <c r="A604" s="30" t="inlineStr">
        <is>
          <t>XS2390400633</t>
        </is>
      </c>
      <c r="B604" s="30" t="inlineStr">
        <is>
          <t>Hold</t>
        </is>
      </c>
      <c r="C604" s="30" t="inlineStr">
        <is>
          <t>Enel Finance Intl Nv</t>
        </is>
      </c>
      <c r="D604" s="30" t="n">
        <v>0.25</v>
      </c>
      <c r="E604" s="30" t="inlineStr">
        <is>
          <t>Sr Unsecured</t>
        </is>
      </c>
      <c r="F604" s="30" t="inlineStr">
        <is>
          <t>28.05.2026</t>
        </is>
      </c>
      <c r="G604" s="30" t="inlineStr">
        <is>
          <t>Italy</t>
        </is>
      </c>
      <c r="H604" s="30" t="inlineStr">
        <is>
          <t>Utilities</t>
        </is>
      </c>
      <c r="I604" s="30" t="n">
        <v>100</v>
      </c>
      <c r="J604" s="30" t="n">
        <v>98.26000000000001</v>
      </c>
      <c r="K604" s="30" t="n">
        <v>2.255426</v>
      </c>
      <c r="L604" s="30" t="n">
        <v>-0.050392</v>
      </c>
      <c r="M604" s="30" t="n">
        <v>-0.080649</v>
      </c>
      <c r="N604" s="30" t="n">
        <v>42.0777251</v>
      </c>
      <c r="O604" s="30" t="n">
        <v>1.220763256</v>
      </c>
      <c r="P604" s="30" t="n">
        <v>80</v>
      </c>
      <c r="Q604" s="30" t="inlineStr">
        <is>
          <t xml:space="preserve">Italian utility company </t>
        </is>
      </c>
      <c r="R604" s="30" t="inlineStr">
        <is>
          <t>EUR</t>
        </is>
      </c>
      <c r="S604" s="30" t="inlineStr">
        <is>
          <t>Investment Grade</t>
        </is>
      </c>
      <c r="T604" s="30" t="inlineStr">
        <is>
          <t>BBB</t>
        </is>
      </c>
      <c r="U604" s="30" t="inlineStr">
        <is>
          <t>BBB</t>
        </is>
      </c>
      <c r="V604" s="30" t="n"/>
    </row>
    <row r="605">
      <c r="A605" s="30" t="inlineStr">
        <is>
          <t>US06368LGV27</t>
        </is>
      </c>
      <c r="B605" s="30" t="inlineStr">
        <is>
          <t>Hold</t>
        </is>
      </c>
      <c r="C605" s="30" t="inlineStr">
        <is>
          <t>Bank Of Montreal</t>
        </is>
      </c>
      <c r="D605" s="30" t="n">
        <v>5.203</v>
      </c>
      <c r="E605" s="30" t="inlineStr">
        <is>
          <t>Sr Unsecured</t>
        </is>
      </c>
      <c r="F605" s="30" t="inlineStr">
        <is>
          <t>01.02.2028</t>
        </is>
      </c>
      <c r="G605" s="30" t="inlineStr">
        <is>
          <t>Canada</t>
        </is>
      </c>
      <c r="H605" s="30" t="inlineStr">
        <is>
          <t>Financial</t>
        </is>
      </c>
      <c r="I605" s="30" t="n">
        <v>2</v>
      </c>
      <c r="J605" s="30" t="n">
        <v>102.157</v>
      </c>
      <c r="K605" s="30" t="n">
        <v>4.277605</v>
      </c>
      <c r="L605" s="30" t="n">
        <v>0.031584</v>
      </c>
      <c r="M605" s="30" t="n">
        <v>-0.126391</v>
      </c>
      <c r="N605" s="30" t="n">
        <v>42.05920672</v>
      </c>
      <c r="O605" s="30" t="n">
        <v>2.625648402</v>
      </c>
      <c r="P605" s="30" t="n">
        <v>80</v>
      </c>
      <c r="Q605" s="30" t="inlineStr">
        <is>
          <t>Canadian chartered bank which operates throughout the world</t>
        </is>
      </c>
      <c r="R605" s="30" t="inlineStr">
        <is>
          <t>USD</t>
        </is>
      </c>
      <c r="S605" s="30" t="inlineStr">
        <is>
          <t>Investment Grade</t>
        </is>
      </c>
      <c r="T605" s="30" t="inlineStr">
        <is>
          <t>A</t>
        </is>
      </c>
      <c r="U605" s="30" t="inlineStr">
        <is>
          <t>A</t>
        </is>
      </c>
      <c r="V605" s="30" t="n"/>
    </row>
    <row r="606">
      <c r="A606" s="30" t="inlineStr">
        <is>
          <t>XS2572989817</t>
        </is>
      </c>
      <c r="B606" s="30" t="inlineStr">
        <is>
          <t>Hold</t>
        </is>
      </c>
      <c r="C606" s="30" t="inlineStr">
        <is>
          <t>Toyota Motor Finance Bv</t>
        </is>
      </c>
      <c r="D606" s="30" t="n">
        <v>3.5</v>
      </c>
      <c r="E606" s="30" t="inlineStr">
        <is>
          <t>Sr Unsecured</t>
        </is>
      </c>
      <c r="F606" s="30" t="inlineStr">
        <is>
          <t>13.01.2028</t>
        </is>
      </c>
      <c r="G606" s="30" t="inlineStr">
        <is>
          <t>Japan</t>
        </is>
      </c>
      <c r="H606" s="30" t="inlineStr">
        <is>
          <t>Consumer, Cyclical</t>
        </is>
      </c>
      <c r="I606" s="30" t="n">
        <v>100</v>
      </c>
      <c r="J606" s="30" t="n">
        <v>102.756</v>
      </c>
      <c r="K606" s="30" t="n">
        <v>2.354586</v>
      </c>
      <c r="L606" s="30" t="n">
        <v>-0.09529600000000001</v>
      </c>
      <c r="M606" s="30" t="n">
        <v>-0.041376</v>
      </c>
      <c r="N606" s="30" t="n">
        <v>41.81122786</v>
      </c>
      <c r="O606" s="30" t="n">
        <v>2.710664545</v>
      </c>
      <c r="P606" s="30" t="n">
        <v>80</v>
      </c>
      <c r="Q606" s="30" t="inlineStr">
        <is>
          <t>One of the largest car maker in the world</t>
        </is>
      </c>
      <c r="R606" s="30" t="inlineStr">
        <is>
          <t>EUR</t>
        </is>
      </c>
      <c r="S606" s="30" t="inlineStr">
        <is>
          <t>Investment Grade</t>
        </is>
      </c>
      <c r="T606" s="30" t="inlineStr">
        <is>
          <t>A+</t>
        </is>
      </c>
      <c r="U606" s="30" t="inlineStr">
        <is>
          <t>A+</t>
        </is>
      </c>
      <c r="V606" s="30" t="n"/>
    </row>
    <row r="607">
      <c r="A607" s="30" t="inlineStr">
        <is>
          <t>XS0096412548</t>
        </is>
      </c>
      <c r="B607" s="30" t="inlineStr">
        <is>
          <t xml:space="preserve">Hold </t>
        </is>
      </c>
      <c r="C607" s="30" t="inlineStr">
        <is>
          <t>Sncf Reseau</t>
        </is>
      </c>
      <c r="D607" s="30" t="n">
        <v>5.25</v>
      </c>
      <c r="E607" s="30" t="inlineStr">
        <is>
          <t>Sr Unsecured</t>
        </is>
      </c>
      <c r="F607" s="30" t="inlineStr">
        <is>
          <t>07.12.2028</t>
        </is>
      </c>
      <c r="G607" s="30" t="inlineStr">
        <is>
          <t>France</t>
        </is>
      </c>
      <c r="H607" s="30" t="inlineStr">
        <is>
          <t>Industrial</t>
        </is>
      </c>
      <c r="I607" s="30" t="n">
        <v>1</v>
      </c>
      <c r="J607" s="30" t="n">
        <v>103.101</v>
      </c>
      <c r="K607" s="30" t="n">
        <v>4.201728</v>
      </c>
      <c r="L607" s="30" t="n">
        <v>0.03359</v>
      </c>
      <c r="M607" s="30" t="n">
        <v>-0.110315</v>
      </c>
      <c r="N607" s="30" t="n">
        <v>41.80753589</v>
      </c>
      <c r="O607" s="30" t="n">
        <v>3.345786207</v>
      </c>
      <c r="P607" s="30" t="n">
        <v>85</v>
      </c>
      <c r="Q607" s="30" t="inlineStr">
        <is>
          <t>Provides railway network management services</t>
        </is>
      </c>
      <c r="R607" s="30" t="inlineStr">
        <is>
          <t>GBP</t>
        </is>
      </c>
      <c r="S607" s="30" t="inlineStr">
        <is>
          <t>Investment Grade</t>
        </is>
      </c>
      <c r="T607" s="30" t="inlineStr">
        <is>
          <t>AA-</t>
        </is>
      </c>
      <c r="U607" s="30" t="inlineStr">
        <is>
          <t>AA-</t>
        </is>
      </c>
      <c r="V607" s="30" t="n"/>
    </row>
    <row r="608">
      <c r="A608" s="30" t="inlineStr">
        <is>
          <t>US105756AE07</t>
        </is>
      </c>
      <c r="B608" s="30" t="inlineStr">
        <is>
          <t xml:space="preserve">Hold </t>
        </is>
      </c>
      <c r="C608" s="30" t="inlineStr">
        <is>
          <t>Fed Republic Of Brazil</t>
        </is>
      </c>
      <c r="D608" s="30" t="n">
        <v>10.125</v>
      </c>
      <c r="E608" s="30" t="inlineStr">
        <is>
          <t>Sr Unsecured</t>
        </is>
      </c>
      <c r="F608" s="30" t="inlineStr">
        <is>
          <t>15.05.2027</t>
        </is>
      </c>
      <c r="G608" s="30" t="inlineStr">
        <is>
          <t>Brazil</t>
        </is>
      </c>
      <c r="H608" s="30" t="inlineStr">
        <is>
          <t>Government</t>
        </is>
      </c>
      <c r="I608" s="30" t="n">
        <v>1</v>
      </c>
      <c r="J608" s="30" t="n">
        <v>110.265</v>
      </c>
      <c r="K608" s="30" t="n">
        <v>4.295417</v>
      </c>
      <c r="L608" s="30" t="n">
        <v>-0.06498</v>
      </c>
      <c r="M608" s="30" t="n">
        <v>-0.183693</v>
      </c>
      <c r="N608" s="30" t="n">
        <v>41.6104801</v>
      </c>
      <c r="O608" s="30" t="n">
        <v>1.969650239</v>
      </c>
      <c r="P608" s="30" t="n">
        <v>25</v>
      </c>
      <c r="Q608" s="30" t="inlineStr">
        <is>
          <t>Brazilian Governemnt</t>
        </is>
      </c>
      <c r="R608" s="30" t="inlineStr">
        <is>
          <t>USD</t>
        </is>
      </c>
      <c r="S608" s="30" t="inlineStr">
        <is>
          <t>Latin America</t>
        </is>
      </c>
      <c r="T608" s="30" t="inlineStr">
        <is>
          <t>BB</t>
        </is>
      </c>
      <c r="U608" s="30" t="inlineStr">
        <is>
          <t>BB</t>
        </is>
      </c>
      <c r="V608" s="30" t="n"/>
    </row>
    <row r="609">
      <c r="A609" s="30" t="inlineStr">
        <is>
          <t>US00440KAC71</t>
        </is>
      </c>
      <c r="B609" s="30" t="inlineStr">
        <is>
          <t>Top Pick</t>
        </is>
      </c>
      <c r="C609" s="30" t="inlineStr">
        <is>
          <t>Accenture Capital Inc</t>
        </is>
      </c>
      <c r="D609" s="30" t="n">
        <v>4.25</v>
      </c>
      <c r="E609" s="30" t="inlineStr">
        <is>
          <t>Sr Unsecured</t>
        </is>
      </c>
      <c r="F609" s="30" t="inlineStr">
        <is>
          <t>04.10.2031</t>
        </is>
      </c>
      <c r="G609" s="30" t="inlineStr">
        <is>
          <t>United states</t>
        </is>
      </c>
      <c r="H609" s="30" t="inlineStr">
        <is>
          <t>Technology</t>
        </is>
      </c>
      <c r="I609" s="30" t="n">
        <v>2</v>
      </c>
      <c r="J609" s="30" t="n">
        <v>98.709</v>
      </c>
      <c r="K609" s="30" t="n">
        <v>4.488551</v>
      </c>
      <c r="L609" s="30" t="n">
        <v>0.030761</v>
      </c>
      <c r="M609" s="30" t="n">
        <v>-0.109998</v>
      </c>
      <c r="N609" s="30" t="n">
        <v>41.59951949</v>
      </c>
      <c r="O609" s="30" t="n">
        <v>5.592489894</v>
      </c>
      <c r="P609" s="30" t="n">
        <v>0</v>
      </c>
      <c r="Q609" s="30" t="inlineStr">
        <is>
          <t xml:space="preserve">Largest global consultancy firm </t>
        </is>
      </c>
      <c r="R609" s="30" t="inlineStr">
        <is>
          <t>USD</t>
        </is>
      </c>
      <c r="S609" s="30" t="inlineStr">
        <is>
          <t>Investment Grade</t>
        </is>
      </c>
      <c r="T609" s="30" t="inlineStr">
        <is>
          <t>A+</t>
        </is>
      </c>
      <c r="U609" s="30" t="inlineStr">
        <is>
          <t>A+</t>
        </is>
      </c>
      <c r="V609" s="30" t="n"/>
    </row>
    <row r="610">
      <c r="A610" s="30" t="inlineStr">
        <is>
          <t>XS1846632104</t>
        </is>
      </c>
      <c r="B610" s="30" t="inlineStr">
        <is>
          <t>Hold</t>
        </is>
      </c>
      <c r="C610" s="30" t="inlineStr">
        <is>
          <t>Edp Finance Bv</t>
        </is>
      </c>
      <c r="D610" s="30" t="n">
        <v>1.625</v>
      </c>
      <c r="E610" s="30" t="inlineStr">
        <is>
          <t>Sr Unsecured</t>
        </is>
      </c>
      <c r="F610" s="30" t="inlineStr">
        <is>
          <t>26.01.2026</t>
        </is>
      </c>
      <c r="G610" s="30" t="inlineStr">
        <is>
          <t>Portugal</t>
        </is>
      </c>
      <c r="H610" s="30" t="inlineStr">
        <is>
          <t>Utilities</t>
        </is>
      </c>
      <c r="I610" s="30" t="n">
        <v>100</v>
      </c>
      <c r="J610" s="30" t="n">
        <v>99.652</v>
      </c>
      <c r="K610" s="30" t="n">
        <v>2.246517</v>
      </c>
      <c r="L610" s="30" t="n">
        <v>-0.012587</v>
      </c>
      <c r="M610" s="30" t="n">
        <v>-0.061166</v>
      </c>
      <c r="N610" s="30" t="n">
        <v>41.52638857</v>
      </c>
      <c r="O610" s="30" t="n">
        <v>0.90111893</v>
      </c>
      <c r="P610" s="30" t="n">
        <v>60</v>
      </c>
      <c r="Q610" s="30" t="inlineStr">
        <is>
          <t>Portugal's largest utility company</t>
        </is>
      </c>
      <c r="R610" s="30" t="inlineStr">
        <is>
          <t>EUR</t>
        </is>
      </c>
      <c r="S610" s="30" t="inlineStr">
        <is>
          <t>Investment Grade</t>
        </is>
      </c>
      <c r="T610" s="30" t="inlineStr">
        <is>
          <t>BBB</t>
        </is>
      </c>
      <c r="U610" s="30" t="inlineStr">
        <is>
          <t>BBB</t>
        </is>
      </c>
      <c r="V610" s="30" t="n"/>
    </row>
    <row r="611">
      <c r="A611" s="30" t="inlineStr">
        <is>
          <t>XS2723549528</t>
        </is>
      </c>
      <c r="B611" s="30" t="inlineStr">
        <is>
          <t>Hold</t>
        </is>
      </c>
      <c r="C611" s="30" t="inlineStr">
        <is>
          <t>Cie De Saint-Gobain Sa</t>
        </is>
      </c>
      <c r="D611" s="30" t="n">
        <v>3.75</v>
      </c>
      <c r="E611" s="30" t="inlineStr">
        <is>
          <t>Sr Unsecured</t>
        </is>
      </c>
      <c r="F611" s="30" t="inlineStr">
        <is>
          <t>29.11.2026</t>
        </is>
      </c>
      <c r="G611" s="30" t="inlineStr">
        <is>
          <t>France</t>
        </is>
      </c>
      <c r="H611" s="30" t="inlineStr">
        <is>
          <t>Industrial</t>
        </is>
      </c>
      <c r="I611" s="30" t="n">
        <v>100</v>
      </c>
      <c r="J611" s="30" t="n">
        <v>101.885</v>
      </c>
      <c r="K611" s="30" t="n">
        <v>2.264901</v>
      </c>
      <c r="L611" s="30" t="n">
        <v>-0.122277</v>
      </c>
      <c r="M611" s="30" t="n">
        <v>-0.150458</v>
      </c>
      <c r="N611" s="30" t="n">
        <v>41.30999273</v>
      </c>
      <c r="O611" s="30" t="n">
        <v>1.601848553</v>
      </c>
      <c r="P611" s="30" t="n">
        <v>60</v>
      </c>
      <c r="Q611" s="30" t="inlineStr">
        <is>
          <t>Manufactures glass products and construction materials</t>
        </is>
      </c>
      <c r="R611" s="30" t="inlineStr">
        <is>
          <t>EUR</t>
        </is>
      </c>
      <c r="S611" s="30" t="inlineStr">
        <is>
          <t>Investment Grade</t>
        </is>
      </c>
      <c r="T611" s="30" t="inlineStr">
        <is>
          <t>BBB+</t>
        </is>
      </c>
      <c r="U611" s="30" t="inlineStr">
        <is>
          <t>BBB+</t>
        </is>
      </c>
      <c r="V611" s="30" t="n"/>
    </row>
    <row r="612">
      <c r="A612" s="30" t="inlineStr">
        <is>
          <t>XS2831017467</t>
        </is>
      </c>
      <c r="B612" s="30" t="inlineStr">
        <is>
          <t>Hold</t>
        </is>
      </c>
      <c r="C612" s="30" t="inlineStr">
        <is>
          <t>Swedbank Ab</t>
        </is>
      </c>
      <c r="D612" s="30" t="n">
        <v>3.375</v>
      </c>
      <c r="E612" s="30" t="inlineStr">
        <is>
          <t>Sr Preferred</t>
        </is>
      </c>
      <c r="F612" s="30" t="inlineStr">
        <is>
          <t>29.05.2030</t>
        </is>
      </c>
      <c r="G612" s="30" t="inlineStr">
        <is>
          <t>Sweden</t>
        </is>
      </c>
      <c r="H612" s="30" t="inlineStr">
        <is>
          <t>Financial</t>
        </is>
      </c>
      <c r="I612" s="30" t="n">
        <v>100</v>
      </c>
      <c r="J612" s="30" t="n">
        <v>103.123</v>
      </c>
      <c r="K612" s="30" t="n">
        <v>2.683934</v>
      </c>
      <c r="L612" s="30" t="n">
        <v>-0.070605</v>
      </c>
      <c r="M612" s="30" t="n">
        <v>-0.106871</v>
      </c>
      <c r="N612" s="30" t="n">
        <v>41.22327229</v>
      </c>
      <c r="O612" s="30" t="n">
        <v>4.656213156</v>
      </c>
      <c r="P612" s="30" t="n">
        <v>80</v>
      </c>
      <c r="Q612" s="30" t="inlineStr">
        <is>
          <t xml:space="preserve">Sweden's largest savings bank. </t>
        </is>
      </c>
      <c r="R612" s="30" t="inlineStr">
        <is>
          <t>EUR</t>
        </is>
      </c>
      <c r="S612" s="30" t="inlineStr">
        <is>
          <t>Investment Grade</t>
        </is>
      </c>
      <c r="T612" s="30" t="inlineStr">
        <is>
          <t>AA-</t>
        </is>
      </c>
      <c r="U612" s="30" t="inlineStr">
        <is>
          <t>AA-</t>
        </is>
      </c>
      <c r="V612" s="30" t="n"/>
    </row>
    <row r="613">
      <c r="A613" s="30" t="inlineStr">
        <is>
          <t>XS2696749626</t>
        </is>
      </c>
      <c r="B613" s="30" t="inlineStr">
        <is>
          <t>Hold</t>
        </is>
      </c>
      <c r="C613" s="30" t="inlineStr">
        <is>
          <t>Toyota Motor Finance Bv</t>
        </is>
      </c>
      <c r="D613" s="30" t="n">
        <v>4</v>
      </c>
      <c r="E613" s="30" t="inlineStr">
        <is>
          <t>Sr Unsecured</t>
        </is>
      </c>
      <c r="F613" s="30" t="inlineStr">
        <is>
          <t>02.04.2027</t>
        </is>
      </c>
      <c r="G613" s="30" t="inlineStr">
        <is>
          <t>Japan</t>
        </is>
      </c>
      <c r="H613" s="30" t="inlineStr">
        <is>
          <t>Consumer, Cyclical</t>
        </is>
      </c>
      <c r="I613" s="30" t="n">
        <v>100</v>
      </c>
      <c r="J613" s="30" t="n">
        <v>102.893</v>
      </c>
      <c r="K613" s="30" t="n">
        <v>2.271969</v>
      </c>
      <c r="L613" s="30" t="n">
        <v>-0.086049</v>
      </c>
      <c r="M613" s="30" t="n">
        <v>-0.092585</v>
      </c>
      <c r="N613" s="30" t="n">
        <v>41.18572993</v>
      </c>
      <c r="O613" s="30" t="n">
        <v>1.936865801</v>
      </c>
      <c r="P613" s="30" t="n">
        <v>80</v>
      </c>
      <c r="Q613" s="30" t="inlineStr">
        <is>
          <t>One of the largest car maker in the world</t>
        </is>
      </c>
      <c r="R613" s="30" t="inlineStr">
        <is>
          <t>EUR</t>
        </is>
      </c>
      <c r="S613" s="30" t="inlineStr">
        <is>
          <t>Investment Grade</t>
        </is>
      </c>
      <c r="T613" s="30" t="inlineStr">
        <is>
          <t>A+</t>
        </is>
      </c>
      <c r="U613" s="30" t="inlineStr">
        <is>
          <t>A+</t>
        </is>
      </c>
      <c r="V613" s="30" t="n"/>
    </row>
    <row r="614">
      <c r="A614" s="30" t="inlineStr">
        <is>
          <t>XS2834282142</t>
        </is>
      </c>
      <c r="B614" s="30" t="inlineStr">
        <is>
          <t>Hold</t>
        </is>
      </c>
      <c r="C614" s="30" t="inlineStr">
        <is>
          <t>Linde Plc</t>
        </is>
      </c>
      <c r="D614" s="30" t="n">
        <v>3.375</v>
      </c>
      <c r="E614" s="30" t="inlineStr">
        <is>
          <t>Sr Unsecured</t>
        </is>
      </c>
      <c r="F614" s="30" t="inlineStr">
        <is>
          <t>04.06.2030</t>
        </is>
      </c>
      <c r="G614" s="30" t="inlineStr">
        <is>
          <t>United states</t>
        </is>
      </c>
      <c r="H614" s="30" t="inlineStr">
        <is>
          <t>Basic Materials</t>
        </is>
      </c>
      <c r="I614" s="30" t="n">
        <v>100</v>
      </c>
      <c r="J614" s="30" t="n">
        <v>102.968</v>
      </c>
      <c r="K614" s="30" t="n">
        <v>2.68949</v>
      </c>
      <c r="L614" s="30" t="n">
        <v>-0.075421</v>
      </c>
      <c r="M614" s="30" t="n">
        <v>-0.09113300000000001</v>
      </c>
      <c r="N614" s="30" t="n">
        <v>41.17070913</v>
      </c>
      <c r="O614" s="30" t="n">
        <v>4.465851051</v>
      </c>
      <c r="P614" s="30" t="n">
        <v>80</v>
      </c>
      <c r="Q614" s="30" t="inlineStr">
        <is>
          <t xml:space="preserve">Manufacturer of industrial gas  </t>
        </is>
      </c>
      <c r="R614" s="30" t="inlineStr">
        <is>
          <t>EUR</t>
        </is>
      </c>
      <c r="S614" s="30" t="inlineStr">
        <is>
          <t>Investment Grade</t>
        </is>
      </c>
      <c r="T614" s="30" t="inlineStr">
        <is>
          <t>A</t>
        </is>
      </c>
      <c r="U614" s="30" t="inlineStr">
        <is>
          <t>A</t>
        </is>
      </c>
      <c r="V614" s="30" t="n"/>
    </row>
    <row r="615">
      <c r="A615" s="30" t="inlineStr">
        <is>
          <t>XS0092541969</t>
        </is>
      </c>
      <c r="B615" s="30" t="inlineStr">
        <is>
          <t xml:space="preserve">Hold </t>
        </is>
      </c>
      <c r="C615" s="30" t="inlineStr">
        <is>
          <t>Equinor Asa</t>
        </is>
      </c>
      <c r="D615" s="30" t="n">
        <v>6.125</v>
      </c>
      <c r="E615" s="30" t="inlineStr">
        <is>
          <t>Sr Unsecured</t>
        </is>
      </c>
      <c r="F615" s="30" t="inlineStr">
        <is>
          <t>27.11.2028</t>
        </is>
      </c>
      <c r="G615" s="30" t="inlineStr">
        <is>
          <t>Norway</t>
        </is>
      </c>
      <c r="H615" s="30" t="inlineStr">
        <is>
          <t>Energy</t>
        </is>
      </c>
      <c r="I615" s="30" t="n">
        <v>1</v>
      </c>
      <c r="J615" s="30" t="n">
        <v>105.822</v>
      </c>
      <c r="K615" s="30" t="n">
        <v>4.188696</v>
      </c>
      <c r="L615" s="30" t="n">
        <v>-0.018614</v>
      </c>
      <c r="M615" s="30" t="n">
        <v>-0.214905</v>
      </c>
      <c r="N615" s="30" t="n">
        <v>40.66739034</v>
      </c>
      <c r="O615" s="30" t="n">
        <v>3.286545563</v>
      </c>
      <c r="P615" s="30" t="n">
        <v>85</v>
      </c>
      <c r="Q615" s="30" t="inlineStr">
        <is>
          <t>The company operates as an energy company</t>
        </is>
      </c>
      <c r="R615" s="30" t="inlineStr">
        <is>
          <t>GBP</t>
        </is>
      </c>
      <c r="S615" s="30" t="inlineStr">
        <is>
          <t>Investment Grade</t>
        </is>
      </c>
      <c r="T615" s="30" t="inlineStr">
        <is>
          <t>AA-</t>
        </is>
      </c>
      <c r="U615" s="30" t="inlineStr">
        <is>
          <t>AA-</t>
        </is>
      </c>
      <c r="V615" s="30" t="n"/>
    </row>
    <row r="616">
      <c r="A616" s="30" t="inlineStr">
        <is>
          <t>US872898AD36</t>
        </is>
      </c>
      <c r="B616" s="30" t="inlineStr">
        <is>
          <t>Hold</t>
        </is>
      </c>
      <c r="C616" s="30" t="inlineStr">
        <is>
          <t>Tsmc Arizona Corp</t>
        </is>
      </c>
      <c r="D616" s="30" t="n">
        <v>3.125</v>
      </c>
      <c r="E616" s="30" t="inlineStr">
        <is>
          <t>Sr Unsecured</t>
        </is>
      </c>
      <c r="F616" s="30" t="inlineStr">
        <is>
          <t>25.10.2041</t>
        </is>
      </c>
      <c r="G616" s="30" t="inlineStr">
        <is>
          <t>Taiwan</t>
        </is>
      </c>
      <c r="H616" s="30" t="inlineStr">
        <is>
          <t>Technology</t>
        </is>
      </c>
      <c r="I616" s="30" t="n">
        <v>200</v>
      </c>
      <c r="J616" s="30" t="n">
        <v>77.20099999999999</v>
      </c>
      <c r="K616" s="30" t="n">
        <v>5.218844</v>
      </c>
      <c r="L616" s="30" t="n">
        <v>0.018969</v>
      </c>
      <c r="M616" s="30" t="n">
        <v>-0.06338000000000001</v>
      </c>
      <c r="N616" s="30" t="n">
        <v>40.42507553</v>
      </c>
      <c r="O616" s="30" t="n">
        <v>12.06868867</v>
      </c>
      <c r="P616" s="30" t="n">
        <v>70</v>
      </c>
      <c r="Q616" s="30" t="inlineStr">
        <is>
          <t>Manufactures semiconductor devices</t>
        </is>
      </c>
      <c r="R616" s="30" t="inlineStr">
        <is>
          <t>USD</t>
        </is>
      </c>
      <c r="S616" s="30" t="inlineStr">
        <is>
          <t>Investment Grade</t>
        </is>
      </c>
      <c r="T616" s="30" t="inlineStr">
        <is>
          <t>AA-</t>
        </is>
      </c>
      <c r="U616" s="30" t="inlineStr">
        <is>
          <t>AA-</t>
        </is>
      </c>
      <c r="V616" s="30" t="n"/>
    </row>
    <row r="617">
      <c r="A617" s="30" t="inlineStr">
        <is>
          <t>XS2583741934</t>
        </is>
      </c>
      <c r="B617" s="30" t="inlineStr">
        <is>
          <t>Hold</t>
        </is>
      </c>
      <c r="C617" s="30" t="inlineStr">
        <is>
          <t>Ibm Corp</t>
        </is>
      </c>
      <c r="D617" s="30" t="n">
        <v>3.375</v>
      </c>
      <c r="E617" s="30" t="inlineStr">
        <is>
          <t>Sr Unsecured</t>
        </is>
      </c>
      <c r="F617" s="30" t="inlineStr">
        <is>
          <t>06.02.2027</t>
        </is>
      </c>
      <c r="G617" s="30" t="inlineStr">
        <is>
          <t>United states</t>
        </is>
      </c>
      <c r="H617" s="30" t="inlineStr">
        <is>
          <t>Technology</t>
        </is>
      </c>
      <c r="I617" s="30" t="n">
        <v>100</v>
      </c>
      <c r="J617" s="30" t="n">
        <v>101.614</v>
      </c>
      <c r="K617" s="30" t="n">
        <v>2.261186</v>
      </c>
      <c r="L617" s="30" t="n">
        <v>-0.08763700000000001</v>
      </c>
      <c r="M617" s="30" t="n">
        <v>-0.141119</v>
      </c>
      <c r="N617" s="30" t="n">
        <v>40.23005322</v>
      </c>
      <c r="O617" s="30" t="n">
        <v>1.787971626</v>
      </c>
      <c r="P617" s="30" t="n">
        <v>80</v>
      </c>
      <c r="Q617" s="30" t="inlineStr">
        <is>
          <t>International Business Machines Corporation (IBM) provides computer solutions</t>
        </is>
      </c>
      <c r="R617" s="30" t="inlineStr">
        <is>
          <t>EUR</t>
        </is>
      </c>
      <c r="S617" s="30" t="inlineStr">
        <is>
          <t>Investment Grade</t>
        </is>
      </c>
      <c r="T617" s="30" t="inlineStr">
        <is>
          <t>A-</t>
        </is>
      </c>
      <c r="U617" s="30" t="inlineStr">
        <is>
          <t>A-</t>
        </is>
      </c>
      <c r="V617" s="30" t="n"/>
    </row>
    <row r="618">
      <c r="A618" s="30" t="inlineStr">
        <is>
          <t>US459200LF63</t>
        </is>
      </c>
      <c r="B618" s="30" t="inlineStr">
        <is>
          <t>Top Pick</t>
        </is>
      </c>
      <c r="C618" s="30" t="inlineStr">
        <is>
          <t>Ibm Corp</t>
        </is>
      </c>
      <c r="D618" s="30" t="n">
        <v>4.65</v>
      </c>
      <c r="E618" s="30" t="inlineStr">
        <is>
          <t>Sr Unsecured</t>
        </is>
      </c>
      <c r="F618" s="30" t="inlineStr">
        <is>
          <t>10.02.2028</t>
        </is>
      </c>
      <c r="G618" s="30" t="inlineStr">
        <is>
          <t>United states</t>
        </is>
      </c>
      <c r="H618" s="30" t="inlineStr">
        <is>
          <t>Technology</t>
        </is>
      </c>
      <c r="I618" s="30" t="n">
        <v>100</v>
      </c>
      <c r="J618" s="30" t="n">
        <v>100.913</v>
      </c>
      <c r="K618" s="30" t="n">
        <v>4.261511</v>
      </c>
      <c r="L618" s="30" t="n">
        <v>0.04936</v>
      </c>
      <c r="M618" s="30" t="n">
        <v>-0.100447</v>
      </c>
      <c r="N618" s="30" t="n">
        <v>40.21211004</v>
      </c>
      <c r="O618" s="30" t="n">
        <v>2.740331788</v>
      </c>
      <c r="P618" s="30" t="n">
        <v>0</v>
      </c>
      <c r="Q618" s="30" t="inlineStr">
        <is>
          <t>Computer solutions provider</t>
        </is>
      </c>
      <c r="R618" s="30" t="inlineStr">
        <is>
          <t>USD</t>
        </is>
      </c>
      <c r="S618" s="30" t="inlineStr">
        <is>
          <t>Investment Grade</t>
        </is>
      </c>
      <c r="T618" s="30" t="inlineStr">
        <is>
          <t>A-</t>
        </is>
      </c>
      <c r="U618" s="30" t="inlineStr">
        <is>
          <t>A-</t>
        </is>
      </c>
      <c r="V618" s="30" t="n"/>
    </row>
    <row r="619">
      <c r="A619" s="30" t="inlineStr">
        <is>
          <t>XS1956037664</t>
        </is>
      </c>
      <c r="B619" s="30" t="inlineStr">
        <is>
          <t>Hold</t>
        </is>
      </c>
      <c r="C619" s="30" t="inlineStr">
        <is>
          <t>Fortum Oyj</t>
        </is>
      </c>
      <c r="D619" s="30" t="n">
        <v>1.625</v>
      </c>
      <c r="E619" s="30" t="inlineStr">
        <is>
          <t>Sr Unsecured</t>
        </is>
      </c>
      <c r="F619" s="30" t="inlineStr">
        <is>
          <t>27.02.2026</t>
        </is>
      </c>
      <c r="G619" s="30" t="inlineStr">
        <is>
          <t>Finland</t>
        </is>
      </c>
      <c r="H619" s="30" t="inlineStr">
        <is>
          <t>Utilities</t>
        </is>
      </c>
      <c r="I619" s="30" t="n">
        <v>100</v>
      </c>
      <c r="J619" s="30" t="n">
        <v>99.607</v>
      </c>
      <c r="K619" s="30" t="n">
        <v>2.244515</v>
      </c>
      <c r="L619" s="30" t="n">
        <v>-0.081278</v>
      </c>
      <c r="M619" s="30" t="n">
        <v>-0.111601</v>
      </c>
      <c r="N619" s="30" t="n">
        <v>40.12833519</v>
      </c>
      <c r="O619" s="30" t="n">
        <v>0.968058555</v>
      </c>
      <c r="P619" s="30" t="n">
        <v>80</v>
      </c>
      <c r="Q619" s="30" t="inlineStr">
        <is>
          <t>Finnish provider of energy related products and services</t>
        </is>
      </c>
      <c r="R619" s="30" t="inlineStr">
        <is>
          <t>EUR</t>
        </is>
      </c>
      <c r="S619" s="30" t="inlineStr">
        <is>
          <t>Investment Grade</t>
        </is>
      </c>
      <c r="T619" s="30" t="inlineStr">
        <is>
          <t>BBB+</t>
        </is>
      </c>
      <c r="U619" s="30" t="inlineStr">
        <is>
          <t>BBB</t>
        </is>
      </c>
      <c r="V619" s="30" t="n"/>
    </row>
    <row r="620">
      <c r="A620" s="30" t="inlineStr">
        <is>
          <t>BE6312821612</t>
        </is>
      </c>
      <c r="B620" s="30" t="inlineStr">
        <is>
          <t>Hold</t>
        </is>
      </c>
      <c r="C620" s="30" t="inlineStr">
        <is>
          <t>Anheuser-Busch Inbev Sa/</t>
        </is>
      </c>
      <c r="D620" s="30" t="n">
        <v>1.125</v>
      </c>
      <c r="E620" s="30" t="inlineStr">
        <is>
          <t>Sr Unsecured</t>
        </is>
      </c>
      <c r="F620" s="30" t="inlineStr">
        <is>
          <t>01.07.2027</t>
        </is>
      </c>
      <c r="G620" s="30" t="inlineStr">
        <is>
          <t>Belgium</t>
        </is>
      </c>
      <c r="H620" s="30" t="inlineStr">
        <is>
          <t>Consumer, Non-cyclical</t>
        </is>
      </c>
      <c r="I620" s="30" t="n">
        <v>100</v>
      </c>
      <c r="J620" s="30" t="n">
        <v>97.81999999999999</v>
      </c>
      <c r="K620" s="30" t="n">
        <v>2.26237</v>
      </c>
      <c r="L620" s="30" t="n">
        <v>-0.074225</v>
      </c>
      <c r="M620" s="30" t="n">
        <v>-0.09579699999999999</v>
      </c>
      <c r="N620" s="30" t="n">
        <v>39.97332159</v>
      </c>
      <c r="O620" s="30" t="n">
        <v>2.254811779</v>
      </c>
      <c r="P620" s="30" t="n">
        <v>75</v>
      </c>
      <c r="Q620" s="30" t="inlineStr">
        <is>
          <t>World's largest brewing company</t>
        </is>
      </c>
      <c r="R620" s="30" t="inlineStr">
        <is>
          <t>EUR</t>
        </is>
      </c>
      <c r="S620" s="30" t="inlineStr">
        <is>
          <t>Investment Grade</t>
        </is>
      </c>
      <c r="T620" s="30" t="inlineStr">
        <is>
          <t>A-</t>
        </is>
      </c>
      <c r="U620" s="30" t="inlineStr">
        <is>
          <t>A-</t>
        </is>
      </c>
      <c r="V620" s="30" t="n"/>
    </row>
    <row r="621">
      <c r="A621" s="30" t="inlineStr">
        <is>
          <t>FR001400FKA7</t>
        </is>
      </c>
      <c r="B621" s="30" t="inlineStr">
        <is>
          <t>Not accumulate</t>
        </is>
      </c>
      <c r="C621" s="30" t="inlineStr">
        <is>
          <t>Bpifrance Saca</t>
        </is>
      </c>
      <c r="D621" s="30" t="n">
        <v>2.875</v>
      </c>
      <c r="E621" s="30" t="inlineStr">
        <is>
          <t>Sr Unsecured</t>
        </is>
      </c>
      <c r="F621" s="30" t="inlineStr">
        <is>
          <t>25.11.2029</t>
        </is>
      </c>
      <c r="G621" s="30" t="inlineStr">
        <is>
          <t>France</t>
        </is>
      </c>
      <c r="H621" s="30" t="inlineStr">
        <is>
          <t>Government</t>
        </is>
      </c>
      <c r="I621" s="30" t="n">
        <v>100</v>
      </c>
      <c r="J621" s="30" t="n">
        <v>101.1</v>
      </c>
      <c r="K621" s="30" t="n">
        <v>2.603928</v>
      </c>
      <c r="L621" s="30" t="n">
        <v>0.028284</v>
      </c>
      <c r="M621" s="30" t="n">
        <v>0.047921</v>
      </c>
      <c r="N621" s="30" t="n">
        <v>39.96723574</v>
      </c>
      <c r="O621" s="30" t="n">
        <v>4.355840489</v>
      </c>
      <c r="P621" s="30" t="n">
        <v>85</v>
      </c>
      <c r="Q621" s="30" t="inlineStr">
        <is>
          <t>Operates as an administrative state agency</t>
        </is>
      </c>
      <c r="R621" s="30" t="inlineStr">
        <is>
          <t>EUR</t>
        </is>
      </c>
      <c r="S621" s="30" t="inlineStr">
        <is>
          <t>Investment Grade</t>
        </is>
      </c>
      <c r="T621" s="30" t="inlineStr">
        <is>
          <t>AA-</t>
        </is>
      </c>
      <c r="U621" s="30" t="inlineStr">
        <is>
          <t>AA-</t>
        </is>
      </c>
      <c r="V621" s="30" t="n"/>
    </row>
    <row r="622">
      <c r="A622" s="30" t="inlineStr">
        <is>
          <t>US30303M8N52</t>
        </is>
      </c>
      <c r="B622" s="30" t="inlineStr">
        <is>
          <t>Top Pick</t>
        </is>
      </c>
      <c r="C622" s="30" t="inlineStr">
        <is>
          <t>Meta Platforms Inc</t>
        </is>
      </c>
      <c r="D622" s="30" t="n">
        <v>4.95</v>
      </c>
      <c r="E622" s="30" t="inlineStr">
        <is>
          <t>Sr Unsecured</t>
        </is>
      </c>
      <c r="F622" s="30" t="inlineStr">
        <is>
          <t>15.05.2033</t>
        </is>
      </c>
      <c r="G622" s="30" t="inlineStr">
        <is>
          <t>United states</t>
        </is>
      </c>
      <c r="H622" s="30" t="inlineStr">
        <is>
          <t>Communications</t>
        </is>
      </c>
      <c r="I622" s="30" t="n">
        <v>2</v>
      </c>
      <c r="J622" s="30" t="n">
        <v>102.136</v>
      </c>
      <c r="K622" s="30" t="n">
        <v>4.613571</v>
      </c>
      <c r="L622" s="30" t="n">
        <v>0.000762</v>
      </c>
      <c r="M622" s="30" t="n">
        <v>-0.13117</v>
      </c>
      <c r="N622" s="30" t="n">
        <v>39.94520849</v>
      </c>
      <c r="O622" s="30" t="n">
        <v>6.611577554</v>
      </c>
      <c r="P622" s="30" t="n">
        <v>80</v>
      </c>
      <c r="Q622" s="30" t="inlineStr">
        <is>
          <t>A social technology company</t>
        </is>
      </c>
      <c r="R622" s="30" t="inlineStr">
        <is>
          <t>USD</t>
        </is>
      </c>
      <c r="S622" s="30" t="inlineStr">
        <is>
          <t>Investment Grade</t>
        </is>
      </c>
      <c r="T622" s="30" t="inlineStr">
        <is>
          <t>AA-</t>
        </is>
      </c>
      <c r="U622" s="30" t="inlineStr">
        <is>
          <t>AA-</t>
        </is>
      </c>
      <c r="V622" s="30" t="n"/>
    </row>
    <row r="623">
      <c r="A623" s="30" t="inlineStr">
        <is>
          <t>XS2572989650</t>
        </is>
      </c>
      <c r="B623" s="30" t="inlineStr">
        <is>
          <t>Hold</t>
        </is>
      </c>
      <c r="C623" s="30" t="inlineStr">
        <is>
          <t>Toyota Motor Finance Bv</t>
        </is>
      </c>
      <c r="D623" s="30" t="n">
        <v>3.375</v>
      </c>
      <c r="E623" s="30" t="inlineStr">
        <is>
          <t>Sr Unsecured</t>
        </is>
      </c>
      <c r="F623" s="30" t="inlineStr">
        <is>
          <t>13.01.2026</t>
        </is>
      </c>
      <c r="G623" s="30" t="inlineStr">
        <is>
          <t>Japan</t>
        </is>
      </c>
      <c r="H623" s="30" t="inlineStr">
        <is>
          <t>Consumer, Cyclical</t>
        </is>
      </c>
      <c r="I623" s="30" t="n">
        <v>100</v>
      </c>
      <c r="J623" s="30" t="n">
        <v>100.567</v>
      </c>
      <c r="K623" s="30" t="n">
        <v>2.226102</v>
      </c>
      <c r="L623" s="30" t="n">
        <v>-0.051936</v>
      </c>
      <c r="M623" s="30" t="n">
        <v>-0.053696</v>
      </c>
      <c r="N623" s="30" t="n">
        <v>39.15674255</v>
      </c>
      <c r="O623" s="30" t="n">
        <v>0.865168595</v>
      </c>
      <c r="P623" s="30" t="n">
        <v>80</v>
      </c>
      <c r="Q623" s="30" t="inlineStr">
        <is>
          <t>One of the largest car maker in the world</t>
        </is>
      </c>
      <c r="R623" s="30" t="inlineStr">
        <is>
          <t>EUR</t>
        </is>
      </c>
      <c r="S623" s="30" t="inlineStr">
        <is>
          <t>Investment Grade</t>
        </is>
      </c>
      <c r="T623" s="30" t="inlineStr">
        <is>
          <t>A+</t>
        </is>
      </c>
      <c r="U623" s="30" t="inlineStr">
        <is>
          <t>A+</t>
        </is>
      </c>
      <c r="V623" s="30" t="n"/>
    </row>
    <row r="624">
      <c r="A624" s="30" t="inlineStr">
        <is>
          <t>US718172DM83</t>
        </is>
      </c>
      <c r="B624" s="30" t="inlineStr">
        <is>
          <t>Top Pick</t>
        </is>
      </c>
      <c r="C624" s="30" t="inlineStr">
        <is>
          <t>Philip Morris Intl Inc</t>
        </is>
      </c>
      <c r="D624" s="30" t="n">
        <v>4.375</v>
      </c>
      <c r="E624" s="30" t="inlineStr">
        <is>
          <t>Sr Unsecured</t>
        </is>
      </c>
      <c r="F624" s="30" t="inlineStr">
        <is>
          <t>01.11.2027</t>
        </is>
      </c>
      <c r="G624" s="30" t="inlineStr">
        <is>
          <t>United states</t>
        </is>
      </c>
      <c r="H624" s="30" t="inlineStr">
        <is>
          <t>Consumer, Non-cyclical</t>
        </is>
      </c>
      <c r="I624" s="30" t="n">
        <v>2</v>
      </c>
      <c r="J624" s="30" t="n">
        <v>100.287</v>
      </c>
      <c r="K624" s="30" t="n">
        <v>4.241245</v>
      </c>
      <c r="L624" s="30" t="n">
        <v>0.054927</v>
      </c>
      <c r="M624" s="30" t="n">
        <v>-0.092208</v>
      </c>
      <c r="N624" s="30" t="n">
        <v>38.95459413</v>
      </c>
      <c r="O624" s="30" t="n">
        <v>2.480047465</v>
      </c>
      <c r="P624" s="30" t="n">
        <v>0</v>
      </c>
      <c r="Q624" s="30" t="inlineStr">
        <is>
          <t>World's leading international tobacco company</t>
        </is>
      </c>
      <c r="R624" s="30" t="inlineStr">
        <is>
          <t>USD</t>
        </is>
      </c>
      <c r="S624" s="30" t="inlineStr">
        <is>
          <t>Investment Grade</t>
        </is>
      </c>
      <c r="T624" s="30" t="inlineStr">
        <is>
          <t>A-</t>
        </is>
      </c>
      <c r="U624" s="30" t="inlineStr">
        <is>
          <t>A-</t>
        </is>
      </c>
      <c r="V624" s="30" t="n"/>
    </row>
    <row r="625">
      <c r="A625" s="30" t="inlineStr">
        <is>
          <t>FR001400KJP7</t>
        </is>
      </c>
      <c r="B625" s="30" t="inlineStr">
        <is>
          <t>Hold</t>
        </is>
      </c>
      <c r="C625" s="30" t="inlineStr">
        <is>
          <t>Lvmh Moet Hennessy Vuitt</t>
        </is>
      </c>
      <c r="D625" s="30" t="n">
        <v>3.25</v>
      </c>
      <c r="E625" s="30" t="inlineStr">
        <is>
          <t>Sr Unsecured</t>
        </is>
      </c>
      <c r="F625" s="30" t="inlineStr">
        <is>
          <t>07.09.2029</t>
        </is>
      </c>
      <c r="G625" s="30" t="inlineStr">
        <is>
          <t>France</t>
        </is>
      </c>
      <c r="H625" s="30" t="inlineStr">
        <is>
          <t>Consumer, Cyclical</t>
        </is>
      </c>
      <c r="I625" s="30" t="n">
        <v>100</v>
      </c>
      <c r="J625" s="30" t="n">
        <v>102.558</v>
      </c>
      <c r="K625" s="30" t="n">
        <v>2.555142</v>
      </c>
      <c r="L625" s="30" t="n">
        <v>-0.113057</v>
      </c>
      <c r="M625" s="30" t="n">
        <v>-0.069435</v>
      </c>
      <c r="N625" s="30" t="n">
        <v>38.74087079</v>
      </c>
      <c r="O625" s="30" t="n">
        <v>3.904376048</v>
      </c>
      <c r="P625" s="30" t="n">
        <v>85</v>
      </c>
      <c r="Q625" s="30" t="inlineStr">
        <is>
          <t>French luxury group</t>
        </is>
      </c>
      <c r="R625" s="30" t="inlineStr">
        <is>
          <t>EUR</t>
        </is>
      </c>
      <c r="S625" s="30" t="inlineStr">
        <is>
          <t>Investment Grade</t>
        </is>
      </c>
      <c r="T625" s="30" t="inlineStr">
        <is>
          <t>AA-</t>
        </is>
      </c>
      <c r="U625" s="30" t="inlineStr">
        <is>
          <t>AA-</t>
        </is>
      </c>
      <c r="V625" s="30" t="n"/>
    </row>
    <row r="626">
      <c r="A626" s="30" t="inlineStr">
        <is>
          <t>XS2895631567</t>
        </is>
      </c>
      <c r="B626" s="30" t="inlineStr">
        <is>
          <t xml:space="preserve">Hold </t>
        </is>
      </c>
      <c r="C626" s="30" t="inlineStr">
        <is>
          <t>E.On Se</t>
        </is>
      </c>
      <c r="D626" s="30" t="n">
        <v>3.125</v>
      </c>
      <c r="E626" s="30" t="inlineStr">
        <is>
          <t>Sr Unsecured</t>
        </is>
      </c>
      <c r="F626" s="30" t="inlineStr">
        <is>
          <t>05.03.2030</t>
        </is>
      </c>
      <c r="G626" s="30" t="inlineStr">
        <is>
          <t>Germany</t>
        </is>
      </c>
      <c r="H626" s="30" t="inlineStr">
        <is>
          <t>Utilities</t>
        </is>
      </c>
      <c r="I626" s="30" t="n">
        <v>1</v>
      </c>
      <c r="J626" s="30" t="n">
        <v>102.008</v>
      </c>
      <c r="K626" s="30" t="n">
        <v>2.636068</v>
      </c>
      <c r="L626" s="30" t="n">
        <v>-0.092053</v>
      </c>
      <c r="M626" s="30" t="n">
        <v>-0.09489300000000001</v>
      </c>
      <c r="N626" s="30" t="n">
        <v>38.72119068</v>
      </c>
      <c r="O626" s="30" t="n">
        <v>4.32136371</v>
      </c>
      <c r="P626" s="30" t="n">
        <v>0</v>
      </c>
      <c r="Q626" s="30" t="inlineStr">
        <is>
          <t xml:space="preserve">German utility company </t>
        </is>
      </c>
      <c r="R626" s="30" t="inlineStr">
        <is>
          <t>EUR</t>
        </is>
      </c>
      <c r="S626" s="30" t="inlineStr">
        <is>
          <t>Investment Grade</t>
        </is>
      </c>
      <c r="T626" s="30" t="inlineStr">
        <is>
          <t>BBB+</t>
        </is>
      </c>
      <c r="U626" s="30" t="inlineStr">
        <is>
          <t>BBB+</t>
        </is>
      </c>
      <c r="V626" s="30" t="n"/>
    </row>
    <row r="627">
      <c r="A627" s="30" t="inlineStr">
        <is>
          <t>XS1854532949</t>
        </is>
      </c>
      <c r="B627" s="30" t="inlineStr">
        <is>
          <t>Hold</t>
        </is>
      </c>
      <c r="C627" s="30" t="inlineStr">
        <is>
          <t>Fresenius Medical Care A</t>
        </is>
      </c>
      <c r="D627" s="30" t="n">
        <v>1.5</v>
      </c>
      <c r="E627" s="30" t="inlineStr">
        <is>
          <t>Sr Unsecured</t>
        </is>
      </c>
      <c r="F627" s="30" t="inlineStr">
        <is>
          <t>11.07.2025</t>
        </is>
      </c>
      <c r="G627" s="30" t="inlineStr">
        <is>
          <t>Germany</t>
        </is>
      </c>
      <c r="H627" s="30" t="inlineStr">
        <is>
          <t>Consumer, Non-cyclical</t>
        </is>
      </c>
      <c r="I627" s="30" t="n">
        <v>1</v>
      </c>
      <c r="J627" s="30" t="n">
        <v>99.996</v>
      </c>
      <c r="K627" s="30" t="n">
        <v>2.197309</v>
      </c>
      <c r="L627" s="30" t="n">
        <v>-0.459541</v>
      </c>
      <c r="M627" s="30" t="n">
        <v>-0.232422</v>
      </c>
      <c r="N627" s="30" t="n">
        <v>38.65665758</v>
      </c>
      <c r="O627" s="30" t="n">
        <v>0.372003162</v>
      </c>
      <c r="P627" s="30" t="n">
        <v>80</v>
      </c>
      <c r="Q627" s="30" t="inlineStr">
        <is>
          <t>Leading Healthcare company in dialysis</t>
        </is>
      </c>
      <c r="R627" s="30" t="inlineStr">
        <is>
          <t>EUR</t>
        </is>
      </c>
      <c r="S627" s="30" t="inlineStr">
        <is>
          <t>Investment Grade</t>
        </is>
      </c>
      <c r="T627" s="30" t="inlineStr">
        <is>
          <t>BBB-</t>
        </is>
      </c>
      <c r="U627" s="30" t="inlineStr">
        <is>
          <t>BBB-</t>
        </is>
      </c>
      <c r="V627" s="30" t="n"/>
    </row>
    <row r="628">
      <c r="A628" s="30" t="inlineStr">
        <is>
          <t>US532457CF35</t>
        </is>
      </c>
      <c r="B628" s="30" t="inlineStr">
        <is>
          <t>Hold</t>
        </is>
      </c>
      <c r="C628" s="30" t="inlineStr">
        <is>
          <t>Eli Lilly &amp; Co</t>
        </is>
      </c>
      <c r="D628" s="30" t="n">
        <v>4.7</v>
      </c>
      <c r="E628" s="30" t="inlineStr">
        <is>
          <t>Sr Unsecured</t>
        </is>
      </c>
      <c r="F628" s="30" t="inlineStr">
        <is>
          <t>27.02.2033</t>
        </is>
      </c>
      <c r="G628" s="30" t="inlineStr">
        <is>
          <t>United states</t>
        </is>
      </c>
      <c r="H628" s="30" t="inlineStr">
        <is>
          <t>Consumer, Non-cyclical</t>
        </is>
      </c>
      <c r="I628" s="30" t="n">
        <v>2</v>
      </c>
      <c r="J628" s="30" t="n">
        <v>100.702</v>
      </c>
      <c r="K628" s="30" t="n">
        <v>4.58671</v>
      </c>
      <c r="L628" s="30" t="n">
        <v>-0.023066</v>
      </c>
      <c r="M628" s="30" t="n">
        <v>-0.168903</v>
      </c>
      <c r="N628" s="30" t="n">
        <v>38.52011509</v>
      </c>
      <c r="O628" s="30" t="n">
        <v>6.449711151</v>
      </c>
      <c r="P628" s="30" t="n">
        <v>80</v>
      </c>
      <c r="Q628" s="30" t="inlineStr">
        <is>
          <t>Develops and sells pharmaceutical products for humans and animals</t>
        </is>
      </c>
      <c r="R628" s="30" t="inlineStr">
        <is>
          <t>USD</t>
        </is>
      </c>
      <c r="S628" s="30" t="inlineStr">
        <is>
          <t>Investment Grade</t>
        </is>
      </c>
      <c r="T628" s="30" t="inlineStr">
        <is>
          <t>A+</t>
        </is>
      </c>
      <c r="U628" s="30" t="inlineStr">
        <is>
          <t>A+</t>
        </is>
      </c>
      <c r="V628" s="30" t="n"/>
    </row>
    <row r="629">
      <c r="A629" s="30" t="inlineStr">
        <is>
          <t>FR001400CVE3</t>
        </is>
      </c>
      <c r="B629" s="30" t="inlineStr">
        <is>
          <t>Not accumulate</t>
        </is>
      </c>
      <c r="C629" s="30" t="inlineStr">
        <is>
          <t>Caisse D'Amort Dette Soc</t>
        </is>
      </c>
      <c r="D629" s="30" t="n">
        <v>2.75</v>
      </c>
      <c r="E629" s="30" t="inlineStr">
        <is>
          <t>Sr Unsecured</t>
        </is>
      </c>
      <c r="F629" s="30" t="inlineStr">
        <is>
          <t>25.11.2032</t>
        </is>
      </c>
      <c r="G629" s="30" t="inlineStr">
        <is>
          <t>France</t>
        </is>
      </c>
      <c r="H629" s="30" t="inlineStr">
        <is>
          <t>Government</t>
        </is>
      </c>
      <c r="I629" s="30" t="n">
        <v>100</v>
      </c>
      <c r="J629" s="30" t="n">
        <v>98.45999999999999</v>
      </c>
      <c r="K629" s="30" t="n">
        <v>2.984172</v>
      </c>
      <c r="L629" s="30" t="n">
        <v>0.046269</v>
      </c>
      <c r="M629" s="30" t="n">
        <v>0.07843700000000001</v>
      </c>
      <c r="N629" s="30" t="n">
        <v>38.36266994</v>
      </c>
      <c r="O629" s="30" t="n">
        <v>6.82117669</v>
      </c>
      <c r="P629" s="30" t="n">
        <v>85</v>
      </c>
      <c r="Q629" s="30" t="inlineStr">
        <is>
          <t>Operates as an administrative state agency</t>
        </is>
      </c>
      <c r="R629" s="30" t="inlineStr">
        <is>
          <t>EUR</t>
        </is>
      </c>
      <c r="S629" s="30" t="inlineStr">
        <is>
          <t>Investment Grade</t>
        </is>
      </c>
      <c r="T629" s="30" t="inlineStr">
        <is>
          <t>AA-</t>
        </is>
      </c>
      <c r="U629" s="30" t="inlineStr">
        <is>
          <t>AA-</t>
        </is>
      </c>
      <c r="V629" s="30" t="n"/>
    </row>
    <row r="630">
      <c r="A630" s="30" t="inlineStr">
        <is>
          <t>US532457CW67</t>
        </is>
      </c>
      <c r="B630" s="30" t="inlineStr">
        <is>
          <t>Top Pick</t>
        </is>
      </c>
      <c r="C630" s="30" t="inlineStr">
        <is>
          <t>Eli Lilly &amp; Co</t>
        </is>
      </c>
      <c r="D630" s="30" t="n">
        <v>4.9</v>
      </c>
      <c r="E630" s="30" t="inlineStr">
        <is>
          <t>Sr Unsecured</t>
        </is>
      </c>
      <c r="F630" s="30" t="inlineStr">
        <is>
          <t>12.02.2032</t>
        </is>
      </c>
      <c r="G630" s="30" t="inlineStr">
        <is>
          <t>United states</t>
        </is>
      </c>
      <c r="H630" s="30" t="inlineStr">
        <is>
          <t>Consumer, Non-cyclical</t>
        </is>
      </c>
      <c r="I630" s="30" t="n">
        <v>2</v>
      </c>
      <c r="J630" s="30" t="n">
        <v>102.334</v>
      </c>
      <c r="K630" s="30" t="n">
        <v>4.478259</v>
      </c>
      <c r="L630" s="30" t="n">
        <v>0.033143</v>
      </c>
      <c r="M630" s="30" t="n">
        <v>-0.105959</v>
      </c>
      <c r="N630" s="30" t="n">
        <v>37.95488687</v>
      </c>
      <c r="O630" s="30" t="n">
        <v>5.729541721</v>
      </c>
      <c r="P630" s="30" t="n">
        <v>0</v>
      </c>
      <c r="Q630" s="30" t="inlineStr">
        <is>
          <t>Develops and sells pharmaceutical products for humans and animals</t>
        </is>
      </c>
      <c r="R630" s="30" t="inlineStr">
        <is>
          <t>USD</t>
        </is>
      </c>
      <c r="S630" s="30" t="inlineStr">
        <is>
          <t>Investment Grade</t>
        </is>
      </c>
      <c r="T630" s="30" t="inlineStr">
        <is>
          <t>A+</t>
        </is>
      </c>
      <c r="U630" s="30" t="inlineStr">
        <is>
          <t>NR</t>
        </is>
      </c>
      <c r="V630" s="30" t="n"/>
    </row>
    <row r="631">
      <c r="A631" s="30" t="inlineStr">
        <is>
          <t>US61746BCY02</t>
        </is>
      </c>
      <c r="B631" s="30" t="inlineStr">
        <is>
          <t>Top Pick</t>
        </is>
      </c>
      <c r="C631" s="30" t="inlineStr">
        <is>
          <t>Morgan Stanley</t>
        </is>
      </c>
      <c r="D631" s="30" t="n">
        <v>6.25</v>
      </c>
      <c r="E631" s="30" t="inlineStr">
        <is>
          <t>Sr Unsecured</t>
        </is>
      </c>
      <c r="F631" s="30" t="inlineStr">
        <is>
          <t>09.08.2026</t>
        </is>
      </c>
      <c r="G631" s="30" t="inlineStr">
        <is>
          <t>United states</t>
        </is>
      </c>
      <c r="H631" s="30" t="inlineStr">
        <is>
          <t>Financial</t>
        </is>
      </c>
      <c r="I631" s="30" t="n">
        <v>100</v>
      </c>
      <c r="J631" s="30" t="n">
        <v>101.959</v>
      </c>
      <c r="K631" s="30" t="n">
        <v>4.378809</v>
      </c>
      <c r="L631" s="30" t="n">
        <v>-0.015271</v>
      </c>
      <c r="M631" s="30" t="n">
        <v>-0.028599</v>
      </c>
      <c r="N631" s="30" t="n">
        <v>37.85221567</v>
      </c>
      <c r="O631" s="30" t="n">
        <v>1.392051091</v>
      </c>
      <c r="P631" s="30" t="n">
        <v>80</v>
      </c>
      <c r="Q631" s="30" t="inlineStr">
        <is>
          <t>One of the largest US investment banks</t>
        </is>
      </c>
      <c r="R631" s="30" t="inlineStr">
        <is>
          <t>USD</t>
        </is>
      </c>
      <c r="S631" s="30" t="inlineStr">
        <is>
          <t>Investment Grade</t>
        </is>
      </c>
      <c r="T631" s="30" t="inlineStr">
        <is>
          <t>A</t>
        </is>
      </c>
      <c r="U631" s="30" t="inlineStr">
        <is>
          <t>A</t>
        </is>
      </c>
      <c r="V631" s="30" t="n"/>
    </row>
    <row r="632">
      <c r="A632" s="30" t="inlineStr">
        <is>
          <t>FR001400H7V7</t>
        </is>
      </c>
      <c r="B632" s="30" t="inlineStr">
        <is>
          <t>Not accumulate</t>
        </is>
      </c>
      <c r="C632" s="30" t="inlineStr">
        <is>
          <t>France (Govt Of)</t>
        </is>
      </c>
      <c r="D632" s="30" t="n">
        <v>3</v>
      </c>
      <c r="E632" s="30" t="inlineStr">
        <is>
          <t>Unsecured</t>
        </is>
      </c>
      <c r="F632" s="30" t="inlineStr">
        <is>
          <t>25.05.2033</t>
        </is>
      </c>
      <c r="G632" s="30" t="inlineStr">
        <is>
          <t>France</t>
        </is>
      </c>
      <c r="H632" s="30" t="inlineStr">
        <is>
          <t>Government</t>
        </is>
      </c>
      <c r="I632" s="30" t="n">
        <v>0.001</v>
      </c>
      <c r="J632" s="30" t="n">
        <v>99.78100000000001</v>
      </c>
      <c r="K632" s="30" t="n">
        <v>3.030974</v>
      </c>
      <c r="L632" s="30" t="n">
        <v>0.04104</v>
      </c>
      <c r="M632" s="30" t="n">
        <v>0.081993</v>
      </c>
      <c r="N632" s="30" t="n">
        <v>37.81730348</v>
      </c>
      <c r="O632" s="30" t="n">
        <v>7.043104436</v>
      </c>
      <c r="P632" s="30" t="n">
        <v>85</v>
      </c>
      <c r="Q632" s="30" t="inlineStr">
        <is>
          <t>France governemnt bond</t>
        </is>
      </c>
      <c r="R632" s="30" t="inlineStr">
        <is>
          <t>EUR</t>
        </is>
      </c>
      <c r="S632" s="30" t="inlineStr">
        <is>
          <t>Investment Grade</t>
        </is>
      </c>
      <c r="T632" s="30" t="inlineStr">
        <is>
          <t>NR</t>
        </is>
      </c>
      <c r="U632" s="30" t="inlineStr">
        <is>
          <t>NR</t>
        </is>
      </c>
      <c r="V632" s="30" t="n"/>
    </row>
    <row r="633">
      <c r="A633" s="30" t="inlineStr">
        <is>
          <t>XS2451376219</t>
        </is>
      </c>
      <c r="B633" s="30" t="inlineStr">
        <is>
          <t>Hold</t>
        </is>
      </c>
      <c r="C633" s="30" t="inlineStr">
        <is>
          <t>Deutsche Bahn Fin Gmbh</t>
        </is>
      </c>
      <c r="D633" s="30" t="n">
        <v>1.375</v>
      </c>
      <c r="E633" s="30" t="inlineStr">
        <is>
          <t>Sr Unsecured</t>
        </is>
      </c>
      <c r="F633" s="30" t="inlineStr">
        <is>
          <t>03.03.2034</t>
        </is>
      </c>
      <c r="G633" s="30" t="inlineStr">
        <is>
          <t>Germany</t>
        </is>
      </c>
      <c r="H633" s="30" t="inlineStr">
        <is>
          <t>Industrial</t>
        </is>
      </c>
      <c r="I633" s="30" t="n">
        <v>1</v>
      </c>
      <c r="J633" s="30" t="n">
        <v>86.807</v>
      </c>
      <c r="K633" s="30" t="n">
        <v>3.139911</v>
      </c>
      <c r="L633" s="30" t="n">
        <v>-0.005205</v>
      </c>
      <c r="M633" s="30" t="n">
        <v>0.108753</v>
      </c>
      <c r="N633" s="30" t="n">
        <v>37.65722839</v>
      </c>
      <c r="O633" s="30" t="n">
        <v>8.122145786999999</v>
      </c>
      <c r="P633" s="30" t="n">
        <v>85</v>
      </c>
      <c r="Q633" s="30" t="inlineStr">
        <is>
          <t>Germany's state-owned rail and logistics group</t>
        </is>
      </c>
      <c r="R633" s="30" t="inlineStr">
        <is>
          <t>EUR</t>
        </is>
      </c>
      <c r="S633" s="30" t="inlineStr">
        <is>
          <t>Investment Grade</t>
        </is>
      </c>
      <c r="T633" s="30" t="inlineStr">
        <is>
          <t>AA</t>
        </is>
      </c>
      <c r="U633" s="30" t="inlineStr">
        <is>
          <t>AA</t>
        </is>
      </c>
      <c r="V633" s="30" t="n"/>
    </row>
    <row r="634">
      <c r="A634" s="30" t="inlineStr">
        <is>
          <t>XS2593105476</t>
        </is>
      </c>
      <c r="B634" s="30" t="inlineStr">
        <is>
          <t>Hold</t>
        </is>
      </c>
      <c r="C634" s="30" t="inlineStr">
        <is>
          <t>Astrazeneca Plc</t>
        </is>
      </c>
      <c r="D634" s="30" t="n">
        <v>3.75</v>
      </c>
      <c r="E634" s="30" t="inlineStr">
        <is>
          <t>Sr Unsecured</t>
        </is>
      </c>
      <c r="F634" s="30" t="inlineStr">
        <is>
          <t>03.03.2032</t>
        </is>
      </c>
      <c r="G634" s="30" t="inlineStr">
        <is>
          <t>United Kingdom</t>
        </is>
      </c>
      <c r="H634" s="30" t="inlineStr">
        <is>
          <t>Consumer, Non-cyclical</t>
        </is>
      </c>
      <c r="I634" s="30" t="n">
        <v>100</v>
      </c>
      <c r="J634" s="30" t="n">
        <v>104.979</v>
      </c>
      <c r="K634" s="30" t="n">
        <v>2.886754</v>
      </c>
      <c r="L634" s="30" t="n">
        <v>-0.13487</v>
      </c>
      <c r="M634" s="30" t="n">
        <v>-0.113715</v>
      </c>
      <c r="N634" s="30" t="n">
        <v>37.57841001</v>
      </c>
      <c r="O634" s="30" t="n">
        <v>5.737947526</v>
      </c>
      <c r="P634" s="30" t="n">
        <v>80</v>
      </c>
      <c r="Q634" s="30" t="inlineStr">
        <is>
          <t>Anglo-Swedish multinational pharmaceutical company</t>
        </is>
      </c>
      <c r="R634" s="30" t="inlineStr">
        <is>
          <t>EUR</t>
        </is>
      </c>
      <c r="S634" s="30" t="inlineStr">
        <is>
          <t>Investment Grade</t>
        </is>
      </c>
      <c r="T634" s="30" t="inlineStr">
        <is>
          <t>A+</t>
        </is>
      </c>
      <c r="U634" s="30" t="inlineStr">
        <is>
          <t>A</t>
        </is>
      </c>
      <c r="V634" s="30" t="n"/>
    </row>
    <row r="635">
      <c r="A635" s="30" t="inlineStr">
        <is>
          <t>XS1982100643</t>
        </is>
      </c>
      <c r="B635" s="30" t="inlineStr">
        <is>
          <t>Hold</t>
        </is>
      </c>
      <c r="C635" s="30" t="inlineStr">
        <is>
          <t>Diageo Finance Plc</t>
        </is>
      </c>
      <c r="D635" s="30" t="n">
        <v>1.75</v>
      </c>
      <c r="E635" s="30" t="inlineStr">
        <is>
          <t>Sr Unsecured</t>
        </is>
      </c>
      <c r="F635" s="30" t="inlineStr">
        <is>
          <t>12.10.2026</t>
        </is>
      </c>
      <c r="G635" s="30" t="inlineStr">
        <is>
          <t>United Kingdom</t>
        </is>
      </c>
      <c r="H635" s="30" t="inlineStr">
        <is>
          <t>Consumer, Non-cyclical</t>
        </is>
      </c>
      <c r="I635" s="30" t="n">
        <v>100</v>
      </c>
      <c r="J635" s="30" t="n">
        <v>97.05800000000001</v>
      </c>
      <c r="K635" s="30" t="n">
        <v>4.146388</v>
      </c>
      <c r="L635" s="30" t="n">
        <v>-0.062887</v>
      </c>
      <c r="M635" s="30" t="n">
        <v>-0.208014</v>
      </c>
      <c r="N635" s="30" t="n">
        <v>37.32359191</v>
      </c>
      <c r="O635" s="30" t="n">
        <v>1.545513991</v>
      </c>
      <c r="P635" s="30" t="n">
        <v>80</v>
      </c>
      <c r="Q635" s="30" t="inlineStr">
        <is>
          <t>World's largest manufacturer and distributor of premium spirits, wine and beer</t>
        </is>
      </c>
      <c r="R635" s="30" t="inlineStr">
        <is>
          <t>GBP</t>
        </is>
      </c>
      <c r="S635" s="30" t="inlineStr">
        <is>
          <t>Investment Grade</t>
        </is>
      </c>
      <c r="T635" s="30" t="inlineStr">
        <is>
          <t>A-</t>
        </is>
      </c>
      <c r="U635" s="30" t="inlineStr">
        <is>
          <t>A-</t>
        </is>
      </c>
      <c r="V635" s="30" t="n"/>
    </row>
    <row r="636">
      <c r="A636" s="30" t="inlineStr">
        <is>
          <t>XS2575555938</t>
        </is>
      </c>
      <c r="B636" s="30" t="inlineStr">
        <is>
          <t>Hold</t>
        </is>
      </c>
      <c r="C636" s="30" t="inlineStr">
        <is>
          <t>Abb Finance Bv</t>
        </is>
      </c>
      <c r="D636" s="30" t="n">
        <v>3.25</v>
      </c>
      <c r="E636" s="30" t="inlineStr">
        <is>
          <t>Sr Unsecured</t>
        </is>
      </c>
      <c r="F636" s="30" t="inlineStr">
        <is>
          <t>16.01.2027</t>
        </is>
      </c>
      <c r="G636" s="30" t="inlineStr">
        <is>
          <t>Switzerland</t>
        </is>
      </c>
      <c r="H636" s="30" t="inlineStr">
        <is>
          <t>Industrial</t>
        </is>
      </c>
      <c r="I636" s="30" t="n">
        <v>100</v>
      </c>
      <c r="J636" s="30" t="n">
        <v>101.421</v>
      </c>
      <c r="K636" s="30" t="n">
        <v>2.229295</v>
      </c>
      <c r="L636" s="30" t="n">
        <v>-0.104119</v>
      </c>
      <c r="M636" s="30" t="n">
        <v>-0.157787</v>
      </c>
      <c r="N636" s="30" t="n">
        <v>37.30203557</v>
      </c>
      <c r="O636" s="30" t="n">
        <v>1.736214792</v>
      </c>
      <c r="P636" s="30" t="n">
        <v>80</v>
      </c>
      <c r="Q636" s="30" t="inlineStr">
        <is>
          <t xml:space="preserve">Provides power and automation technologies </t>
        </is>
      </c>
      <c r="R636" s="30" t="inlineStr">
        <is>
          <t>EUR</t>
        </is>
      </c>
      <c r="S636" s="30" t="inlineStr">
        <is>
          <t>Investment Grade</t>
        </is>
      </c>
      <c r="T636" s="30" t="inlineStr">
        <is>
          <t>A</t>
        </is>
      </c>
      <c r="U636" s="30" t="inlineStr">
        <is>
          <t>A</t>
        </is>
      </c>
      <c r="V636" s="30" t="n"/>
    </row>
    <row r="637">
      <c r="A637" s="30" t="inlineStr">
        <is>
          <t>US78016FZW75</t>
        </is>
      </c>
      <c r="B637" s="30" t="inlineStr">
        <is>
          <t>Hold</t>
        </is>
      </c>
      <c r="C637" s="30" t="inlineStr">
        <is>
          <t>Royal Bank Of Canada</t>
        </is>
      </c>
      <c r="D637" s="30" t="n">
        <v>4.9</v>
      </c>
      <c r="E637" s="30" t="inlineStr">
        <is>
          <t>Sr Unsecured</t>
        </is>
      </c>
      <c r="F637" s="30" t="inlineStr">
        <is>
          <t>12.01.2028</t>
        </is>
      </c>
      <c r="G637" s="30" t="inlineStr">
        <is>
          <t>Canada</t>
        </is>
      </c>
      <c r="H637" s="30" t="inlineStr">
        <is>
          <t>Financial</t>
        </is>
      </c>
      <c r="I637" s="30" t="n">
        <v>2</v>
      </c>
      <c r="J637" s="30" t="n">
        <v>101.617</v>
      </c>
      <c r="K637" s="30" t="n">
        <v>4.214187</v>
      </c>
      <c r="L637" s="30" t="n">
        <v>0.035706</v>
      </c>
      <c r="M637" s="30" t="n">
        <v>-0.124277</v>
      </c>
      <c r="N637" s="30" t="n">
        <v>37.1644879</v>
      </c>
      <c r="O637" s="30" t="n">
        <v>2.656963679</v>
      </c>
      <c r="P637" s="30" t="n">
        <v>80</v>
      </c>
      <c r="Q637" s="30" t="inlineStr">
        <is>
          <t xml:space="preserve">Largest bank in Canada </t>
        </is>
      </c>
      <c r="R637" s="30" t="inlineStr">
        <is>
          <t>USD</t>
        </is>
      </c>
      <c r="S637" s="30" t="inlineStr">
        <is>
          <t>Investment Grade</t>
        </is>
      </c>
      <c r="T637" s="30" t="inlineStr">
        <is>
          <t>A+</t>
        </is>
      </c>
      <c r="U637" s="30" t="inlineStr">
        <is>
          <t>A+</t>
        </is>
      </c>
      <c r="V637" s="30" t="n"/>
    </row>
    <row r="638">
      <c r="A638" s="30" t="inlineStr">
        <is>
          <t>US30217G2C30</t>
        </is>
      </c>
      <c r="B638" s="30" t="inlineStr">
        <is>
          <t>Hold</t>
        </is>
      </c>
      <c r="C638" s="30" t="inlineStr">
        <is>
          <t>Export-Import Bank Korea</t>
        </is>
      </c>
      <c r="D638" s="30" t="n">
        <v>1.75</v>
      </c>
      <c r="E638" s="30" t="inlineStr">
        <is>
          <t>Sr Unsecured</t>
        </is>
      </c>
      <c r="F638" s="30" t="inlineStr">
        <is>
          <t>19.10.2028</t>
        </is>
      </c>
      <c r="G638" s="30" t="inlineStr">
        <is>
          <t>South Korea</t>
        </is>
      </c>
      <c r="H638" s="30" t="inlineStr">
        <is>
          <t>Government</t>
        </is>
      </c>
      <c r="I638" s="30" t="n">
        <v>200</v>
      </c>
      <c r="J638" s="30" t="n">
        <v>92.502</v>
      </c>
      <c r="K638" s="30" t="n">
        <v>4.220728</v>
      </c>
      <c r="L638" s="30" t="n">
        <v>0.129759</v>
      </c>
      <c r="M638" s="30" t="n">
        <v>-0.115876</v>
      </c>
      <c r="N638" s="30" t="n">
        <v>37.05285025</v>
      </c>
      <c r="O638" s="30" t="n">
        <v>3.454041257</v>
      </c>
      <c r="P638" s="30" t="n">
        <v>85</v>
      </c>
      <c r="Q638" s="30" t="inlineStr">
        <is>
          <t>Korean export credit agency</t>
        </is>
      </c>
      <c r="R638" s="30" t="inlineStr">
        <is>
          <t>USD</t>
        </is>
      </c>
      <c r="S638" s="30" t="inlineStr">
        <is>
          <t>Investment Grade</t>
        </is>
      </c>
      <c r="T638" s="30" t="inlineStr">
        <is>
          <t>AA-</t>
        </is>
      </c>
      <c r="U638" s="30" t="inlineStr">
        <is>
          <t>AA-</t>
        </is>
      </c>
      <c r="V638" s="30" t="n"/>
    </row>
    <row r="639">
      <c r="A639" s="30" t="inlineStr">
        <is>
          <t>XS1964617879</t>
        </is>
      </c>
      <c r="B639" s="30" t="inlineStr">
        <is>
          <t>Hold</t>
        </is>
      </c>
      <c r="C639" s="30" t="inlineStr">
        <is>
          <t>Cemex Sab De Cv</t>
        </is>
      </c>
      <c r="D639" s="30" t="n">
        <v>3.125</v>
      </c>
      <c r="E639" s="30" t="inlineStr">
        <is>
          <t>Sr Unsecured</t>
        </is>
      </c>
      <c r="F639" s="30" t="inlineStr">
        <is>
          <t>19.03.2026</t>
        </is>
      </c>
      <c r="G639" s="30" t="inlineStr">
        <is>
          <t>Mexico</t>
        </is>
      </c>
      <c r="H639" s="30" t="inlineStr">
        <is>
          <t>Industrial</t>
        </is>
      </c>
      <c r="I639" s="30" t="n">
        <v>100</v>
      </c>
      <c r="J639" s="30" t="n">
        <v>100.066</v>
      </c>
      <c r="K639" s="30" t="n">
        <v>2.228924</v>
      </c>
      <c r="L639" s="30" t="n">
        <v>-0.949254</v>
      </c>
      <c r="M639" s="30" t="n">
        <v>-0.344291</v>
      </c>
      <c r="N639" s="30" t="n">
        <v>36.65207641</v>
      </c>
      <c r="O639" s="30" t="n">
        <v>0.076631253</v>
      </c>
      <c r="P639" s="30" t="n">
        <v>25</v>
      </c>
      <c r="Q639" s="30" t="inlineStr">
        <is>
          <t>Leading vertically  integrated  heavy  building materials  company</t>
        </is>
      </c>
      <c r="R639" s="30" t="inlineStr">
        <is>
          <t>EUR</t>
        </is>
      </c>
      <c r="S639" s="30" t="inlineStr">
        <is>
          <t>Latin America</t>
        </is>
      </c>
      <c r="T639" s="30" t="inlineStr">
        <is>
          <t>BBB-</t>
        </is>
      </c>
      <c r="U639" s="30" t="inlineStr">
        <is>
          <t>BBB-</t>
        </is>
      </c>
      <c r="V639" s="30" t="n"/>
    </row>
    <row r="640">
      <c r="A640" s="30" t="inlineStr">
        <is>
          <t>XS2591848275</t>
        </is>
      </c>
      <c r="B640" s="30" t="inlineStr">
        <is>
          <t>Hold</t>
        </is>
      </c>
      <c r="C640" s="30" t="inlineStr">
        <is>
          <t>Unilever Finance</t>
        </is>
      </c>
      <c r="D640" s="30" t="n">
        <v>3.25</v>
      </c>
      <c r="E640" s="30" t="inlineStr">
        <is>
          <t>Sr Unsecured</t>
        </is>
      </c>
      <c r="F640" s="30" t="inlineStr">
        <is>
          <t>23.02.2031</t>
        </is>
      </c>
      <c r="G640" s="30" t="inlineStr">
        <is>
          <t>United Kingdom</t>
        </is>
      </c>
      <c r="H640" s="30" t="inlineStr">
        <is>
          <t>Consumer, Non-cyclical</t>
        </is>
      </c>
      <c r="I640" s="30" t="n">
        <v>100</v>
      </c>
      <c r="J640" s="30" t="n">
        <v>102.433</v>
      </c>
      <c r="K640" s="30" t="n">
        <v>2.756194</v>
      </c>
      <c r="L640" s="30" t="n">
        <v>-0.09983300000000001</v>
      </c>
      <c r="M640" s="30" t="n">
        <v>-0.049862</v>
      </c>
      <c r="N640" s="30" t="n">
        <v>36.31129607</v>
      </c>
      <c r="O640" s="30" t="n">
        <v>5.183669603</v>
      </c>
      <c r="P640" s="30" t="n">
        <v>80</v>
      </c>
      <c r="Q640" s="30" t="inlineStr">
        <is>
          <t xml:space="preserve">Offers a part-food and part-consumer products </t>
        </is>
      </c>
      <c r="R640" s="30" t="inlineStr">
        <is>
          <t>EUR</t>
        </is>
      </c>
      <c r="S640" s="30" t="inlineStr">
        <is>
          <t>Investment Grade</t>
        </is>
      </c>
      <c r="T640" s="30" t="inlineStr">
        <is>
          <t>A+</t>
        </is>
      </c>
      <c r="U640" s="30" t="inlineStr">
        <is>
          <t>A+</t>
        </is>
      </c>
      <c r="V640" s="30" t="n"/>
    </row>
    <row r="641">
      <c r="A641" s="30" t="inlineStr">
        <is>
          <t>US459200KX88</t>
        </is>
      </c>
      <c r="B641" s="30" t="inlineStr">
        <is>
          <t>Hold</t>
        </is>
      </c>
      <c r="C641" s="30" t="inlineStr">
        <is>
          <t>Ibm Corp</t>
        </is>
      </c>
      <c r="D641" s="30" t="n">
        <v>4.5</v>
      </c>
      <c r="E641" s="30" t="inlineStr">
        <is>
          <t>Sr Unsecured</t>
        </is>
      </c>
      <c r="F641" s="30" t="inlineStr">
        <is>
          <t>06.02.2028</t>
        </is>
      </c>
      <c r="G641" s="30" t="inlineStr">
        <is>
          <t>United states</t>
        </is>
      </c>
      <c r="H641" s="30" t="inlineStr">
        <is>
          <t>Technology</t>
        </is>
      </c>
      <c r="I641" s="30" t="n">
        <v>100</v>
      </c>
      <c r="J641" s="30" t="n">
        <v>100.661</v>
      </c>
      <c r="K641" s="30" t="n">
        <v>4.218194</v>
      </c>
      <c r="L641" s="30" t="n">
        <v>0.080522</v>
      </c>
      <c r="M641" s="30" t="n">
        <v>-0.061371</v>
      </c>
      <c r="N641" s="30" t="n">
        <v>35.72039117</v>
      </c>
      <c r="O641" s="30" t="n">
        <v>2.734679447</v>
      </c>
      <c r="P641" s="30" t="n">
        <v>80</v>
      </c>
      <c r="Q641" s="30" t="inlineStr">
        <is>
          <t>International Business Machines Corporation (IBM) provides computer solutions</t>
        </is>
      </c>
      <c r="R641" s="30" t="inlineStr">
        <is>
          <t>USD</t>
        </is>
      </c>
      <c r="S641" s="30" t="inlineStr">
        <is>
          <t>Investment Grade</t>
        </is>
      </c>
      <c r="T641" s="30" t="inlineStr">
        <is>
          <t>A-</t>
        </is>
      </c>
      <c r="U641" s="30" t="inlineStr">
        <is>
          <t>A-</t>
        </is>
      </c>
      <c r="V641" s="30" t="n"/>
    </row>
    <row r="642">
      <c r="A642" s="30" t="inlineStr">
        <is>
          <t>USH42097DS35</t>
        </is>
      </c>
      <c r="B642" s="30" t="inlineStr">
        <is>
          <t>Hold</t>
        </is>
      </c>
      <c r="C642" s="30" t="inlineStr">
        <is>
          <t>Ubs Group Ag</t>
        </is>
      </c>
      <c r="D642" s="30" t="n">
        <v>5.711</v>
      </c>
      <c r="E642" s="30" t="inlineStr">
        <is>
          <t>Sr Unsecured</t>
        </is>
      </c>
      <c r="F642" s="30" t="inlineStr">
        <is>
          <t>12.01.2027</t>
        </is>
      </c>
      <c r="G642" s="30" t="inlineStr">
        <is>
          <t>Switzerland</t>
        </is>
      </c>
      <c r="H642" s="30" t="inlineStr">
        <is>
          <t>Financial</t>
        </is>
      </c>
      <c r="I642" s="30" t="n">
        <v>200</v>
      </c>
      <c r="J642" s="30" t="n">
        <v>100.529</v>
      </c>
      <c r="K642" s="30" t="n">
        <v>4.650232</v>
      </c>
      <c r="L642" s="30" t="n">
        <v>0.031067</v>
      </c>
      <c r="M642" s="30" t="n">
        <v>-0.163908</v>
      </c>
      <c r="N642" s="30" t="n">
        <v>35.50783198</v>
      </c>
      <c r="O642" s="30" t="n">
        <v>0.861802595</v>
      </c>
      <c r="P642" s="30" t="n">
        <v>25</v>
      </c>
      <c r="Q642" s="30" t="inlineStr">
        <is>
          <t>Largest bank of Switzerland</t>
        </is>
      </c>
      <c r="R642" s="30" t="inlineStr">
        <is>
          <t>USD</t>
        </is>
      </c>
      <c r="S642" s="30" t="inlineStr">
        <is>
          <t>Investment Grade</t>
        </is>
      </c>
      <c r="T642" s="30" t="inlineStr">
        <is>
          <t>A-</t>
        </is>
      </c>
      <c r="U642" s="30" t="inlineStr">
        <is>
          <t>A-</t>
        </is>
      </c>
      <c r="V642" s="30" t="n"/>
    </row>
    <row r="643">
      <c r="A643" s="30" t="inlineStr">
        <is>
          <t>XS2573807778</t>
        </is>
      </c>
      <c r="B643" s="30" t="inlineStr">
        <is>
          <t>Hold</t>
        </is>
      </c>
      <c r="C643" s="30" t="inlineStr">
        <is>
          <t>Axa Sa</t>
        </is>
      </c>
      <c r="D643" s="30" t="n">
        <v>3.625</v>
      </c>
      <c r="E643" s="30" t="inlineStr">
        <is>
          <t>Sr Unsecured</t>
        </is>
      </c>
      <c r="F643" s="30" t="inlineStr">
        <is>
          <t>10.01.2033</t>
        </is>
      </c>
      <c r="G643" s="30" t="inlineStr">
        <is>
          <t>France</t>
        </is>
      </c>
      <c r="H643" s="30" t="inlineStr">
        <is>
          <t>Financial</t>
        </is>
      </c>
      <c r="I643" s="30" t="n">
        <v>100</v>
      </c>
      <c r="J643" s="30" t="n">
        <v>104.272</v>
      </c>
      <c r="K643" s="30" t="n">
        <v>2.961247</v>
      </c>
      <c r="L643" s="30" t="n">
        <v>-0.036248</v>
      </c>
      <c r="M643" s="30" t="n">
        <v>-0.03367</v>
      </c>
      <c r="N643" s="30" t="n">
        <v>35.18123509</v>
      </c>
      <c r="O643" s="30" t="n">
        <v>6.589922253</v>
      </c>
      <c r="P643" s="30" t="n">
        <v>80</v>
      </c>
      <c r="Q643" s="30" t="inlineStr">
        <is>
          <t>Global Insurance group</t>
        </is>
      </c>
      <c r="R643" s="30" t="inlineStr">
        <is>
          <t>EUR</t>
        </is>
      </c>
      <c r="S643" s="30" t="inlineStr">
        <is>
          <t>Investment Grade</t>
        </is>
      </c>
      <c r="T643" s="30" t="inlineStr">
        <is>
          <t>A+</t>
        </is>
      </c>
      <c r="U643" s="30" t="inlineStr">
        <is>
          <t>A+</t>
        </is>
      </c>
      <c r="V643" s="30" t="n"/>
    </row>
    <row r="644">
      <c r="A644" s="30" t="inlineStr">
        <is>
          <t>FR001400F703</t>
        </is>
      </c>
      <c r="B644" s="30" t="inlineStr">
        <is>
          <t>Hold</t>
        </is>
      </c>
      <c r="C644" s="30" t="inlineStr">
        <is>
          <t>Schneider Electric Se</t>
        </is>
      </c>
      <c r="D644" s="30" t="n">
        <v>3.125</v>
      </c>
      <c r="E644" s="30" t="inlineStr">
        <is>
          <t>Sr Unsecured</t>
        </is>
      </c>
      <c r="F644" s="30" t="inlineStr">
        <is>
          <t>13.10.2029</t>
        </is>
      </c>
      <c r="G644" s="30" t="inlineStr">
        <is>
          <t>United states</t>
        </is>
      </c>
      <c r="H644" s="30" t="inlineStr">
        <is>
          <t>Industrial</t>
        </is>
      </c>
      <c r="I644" s="30" t="n">
        <v>100</v>
      </c>
      <c r="J644" s="30" t="n">
        <v>102.22</v>
      </c>
      <c r="K644" s="30" t="n">
        <v>2.535669</v>
      </c>
      <c r="L644" s="30" t="n">
        <v>-0.129264</v>
      </c>
      <c r="M644" s="30" t="n">
        <v>-0.10344</v>
      </c>
      <c r="N644" s="30" t="n">
        <v>35.02168608</v>
      </c>
      <c r="O644" s="30" t="n">
        <v>4.009406495</v>
      </c>
      <c r="P644" s="30" t="n">
        <v>85</v>
      </c>
      <c r="Q644" s="30" t="inlineStr">
        <is>
          <t>manufactures electrical power products</t>
        </is>
      </c>
      <c r="R644" s="30" t="inlineStr">
        <is>
          <t>EUR</t>
        </is>
      </c>
      <c r="S644" s="30" t="inlineStr">
        <is>
          <t>Investment Grade</t>
        </is>
      </c>
      <c r="T644" s="30" t="inlineStr">
        <is>
          <t>NR</t>
        </is>
      </c>
      <c r="U644" s="30" t="inlineStr">
        <is>
          <t>NR</t>
        </is>
      </c>
      <c r="V644" s="30" t="n"/>
    </row>
    <row r="645">
      <c r="A645" s="30" t="inlineStr">
        <is>
          <t>US24703TAD81</t>
        </is>
      </c>
      <c r="B645" s="30" t="inlineStr">
        <is>
          <t>Top Pick</t>
        </is>
      </c>
      <c r="C645" s="30" t="inlineStr">
        <is>
          <t>Dell Int Llc / Emc Corp</t>
        </is>
      </c>
      <c r="D645" s="30" t="n">
        <v>6.02</v>
      </c>
      <c r="E645" s="30" t="inlineStr">
        <is>
          <t>Sr Unsecured</t>
        </is>
      </c>
      <c r="F645" s="30" t="inlineStr">
        <is>
          <t>15.06.2026</t>
        </is>
      </c>
      <c r="G645" s="30" t="inlineStr">
        <is>
          <t>United states</t>
        </is>
      </c>
      <c r="H645" s="30" t="inlineStr">
        <is>
          <t>Technology</t>
        </is>
      </c>
      <c r="I645" s="30" t="n">
        <v>2</v>
      </c>
      <c r="J645" s="30" t="n">
        <v>101.03</v>
      </c>
      <c r="K645" s="30" t="n">
        <v>4.485358</v>
      </c>
      <c r="L645" s="30" t="n">
        <v>-0.089092</v>
      </c>
      <c r="M645" s="30" t="n">
        <v>-0.289327</v>
      </c>
      <c r="N645" s="30" t="n">
        <v>34.94163758</v>
      </c>
      <c r="O645" s="30" t="n">
        <v>1.013906926</v>
      </c>
      <c r="P645" s="30" t="n">
        <v>75</v>
      </c>
      <c r="Q645" s="30" t="inlineStr">
        <is>
          <t>Global leading providers of personal computers, servers, and related devices</t>
        </is>
      </c>
      <c r="R645" s="30" t="inlineStr">
        <is>
          <t>USD</t>
        </is>
      </c>
      <c r="S645" s="30" t="inlineStr">
        <is>
          <t>Investment Grade</t>
        </is>
      </c>
      <c r="T645" s="30" t="inlineStr">
        <is>
          <t>BBB</t>
        </is>
      </c>
      <c r="U645" s="30" t="inlineStr">
        <is>
          <t>BBB</t>
        </is>
      </c>
      <c r="V645" s="30" t="n"/>
    </row>
    <row r="646">
      <c r="A646" s="30" t="inlineStr">
        <is>
          <t>US89114TZJ41</t>
        </is>
      </c>
      <c r="B646" s="30" t="inlineStr">
        <is>
          <t>Hold</t>
        </is>
      </c>
      <c r="C646" s="30" t="inlineStr">
        <is>
          <t>Toronto-Dominion Bank</t>
        </is>
      </c>
      <c r="D646" s="30" t="n">
        <v>2</v>
      </c>
      <c r="E646" s="30" t="inlineStr">
        <is>
          <t>Sr Unsecured</t>
        </is>
      </c>
      <c r="F646" s="30" t="inlineStr">
        <is>
          <t>10.09.2031</t>
        </is>
      </c>
      <c r="G646" s="30" t="inlineStr">
        <is>
          <t>Canada</t>
        </is>
      </c>
      <c r="H646" s="30" t="inlineStr">
        <is>
          <t>Financial</t>
        </is>
      </c>
      <c r="I646" s="30" t="n">
        <v>2</v>
      </c>
      <c r="J646" s="30" t="n">
        <v>87.09099999999999</v>
      </c>
      <c r="K646" s="30" t="n">
        <v>4.411394</v>
      </c>
      <c r="L646" s="30" t="n">
        <v>0.013319</v>
      </c>
      <c r="M646" s="30" t="n">
        <v>-0.189288</v>
      </c>
      <c r="N646" s="30" t="n">
        <v>34.84227564</v>
      </c>
      <c r="O646" s="30" t="n">
        <v>5.918066473</v>
      </c>
      <c r="P646" s="30" t="n">
        <v>75</v>
      </c>
      <c r="Q646" s="30" t="inlineStr">
        <is>
          <t>Second largest bank in Canada</t>
        </is>
      </c>
      <c r="R646" s="30" t="inlineStr">
        <is>
          <t>USD</t>
        </is>
      </c>
      <c r="S646" s="30" t="inlineStr">
        <is>
          <t>Investment Grade</t>
        </is>
      </c>
      <c r="T646" s="30" t="inlineStr">
        <is>
          <t>A</t>
        </is>
      </c>
      <c r="U646" s="30" t="inlineStr">
        <is>
          <t>A</t>
        </is>
      </c>
      <c r="V646" s="30" t="n"/>
    </row>
    <row r="647">
      <c r="A647" s="30" t="inlineStr">
        <is>
          <t>US149123CK50</t>
        </is>
      </c>
      <c r="B647" s="30" t="inlineStr">
        <is>
          <t>Hold</t>
        </is>
      </c>
      <c r="C647" s="30" t="inlineStr">
        <is>
          <t>Caterpillar Inc</t>
        </is>
      </c>
      <c r="D647" s="30" t="n">
        <v>1.9</v>
      </c>
      <c r="E647" s="30" t="inlineStr">
        <is>
          <t>Sr Unsecured</t>
        </is>
      </c>
      <c r="F647" s="30" t="inlineStr">
        <is>
          <t>12.03.2031</t>
        </is>
      </c>
      <c r="G647" s="30" t="inlineStr">
        <is>
          <t>United states</t>
        </is>
      </c>
      <c r="H647" s="30" t="inlineStr">
        <is>
          <t>Industrial</t>
        </is>
      </c>
      <c r="I647" s="30" t="n">
        <v>2</v>
      </c>
      <c r="J647" s="30" t="n">
        <v>87.76600000000001</v>
      </c>
      <c r="K647" s="30" t="n">
        <v>4.354747</v>
      </c>
      <c r="L647" s="30" t="n">
        <v>0.050383</v>
      </c>
      <c r="M647" s="30" t="n">
        <v>-0.111723</v>
      </c>
      <c r="N647" s="30" t="n">
        <v>34.3346706</v>
      </c>
      <c r="O647" s="30" t="n">
        <v>5.537031423</v>
      </c>
      <c r="P647" s="30" t="n">
        <v>80</v>
      </c>
      <c r="Q647" s="30" t="inlineStr">
        <is>
          <t xml:space="preserve">Leading manufacturer of construction and mining equipment </t>
        </is>
      </c>
      <c r="R647" s="30" t="inlineStr">
        <is>
          <t>USD</t>
        </is>
      </c>
      <c r="S647" s="30" t="inlineStr">
        <is>
          <t>Investment Grade</t>
        </is>
      </c>
      <c r="T647" s="30" t="inlineStr">
        <is>
          <t>A</t>
        </is>
      </c>
      <c r="U647" s="30" t="inlineStr">
        <is>
          <t>A</t>
        </is>
      </c>
      <c r="V647" s="30" t="n"/>
    </row>
    <row r="648">
      <c r="A648" s="30" t="inlineStr">
        <is>
          <t>XS2689046626</t>
        </is>
      </c>
      <c r="B648" s="30" t="inlineStr">
        <is>
          <t>Top Pick</t>
        </is>
      </c>
      <c r="C648" s="30" t="inlineStr">
        <is>
          <t>Nestle Holdings Inc</t>
        </is>
      </c>
      <c r="D648" s="30" t="n">
        <v>5.125</v>
      </c>
      <c r="E648" s="30" t="inlineStr">
        <is>
          <t>Sr Unsecured</t>
        </is>
      </c>
      <c r="F648" s="30" t="inlineStr">
        <is>
          <t>21.09.2032</t>
        </is>
      </c>
      <c r="G648" s="30" t="inlineStr">
        <is>
          <t>United states</t>
        </is>
      </c>
      <c r="H648" s="30" t="inlineStr">
        <is>
          <t>Consumer, Non-cyclical</t>
        </is>
      </c>
      <c r="I648" s="30" t="n">
        <v>100</v>
      </c>
      <c r="J648" s="30" t="n">
        <v>103.055</v>
      </c>
      <c r="K648" s="30" t="n">
        <v>4.549327</v>
      </c>
      <c r="L648" s="30" t="n">
        <v>0.027075</v>
      </c>
      <c r="M648" s="30" t="n">
        <v>-0.181186</v>
      </c>
      <c r="N648" s="30" t="n">
        <v>34.05061905</v>
      </c>
      <c r="O648" s="30" t="n">
        <v>5.87765568</v>
      </c>
      <c r="P648" s="30" t="n">
        <v>85</v>
      </c>
      <c r="Q648" s="30" t="inlineStr">
        <is>
          <t>Swiss multinational packaged food company</t>
        </is>
      </c>
      <c r="R648" s="30" t="inlineStr">
        <is>
          <t>GBP</t>
        </is>
      </c>
      <c r="S648" s="30" t="inlineStr">
        <is>
          <t>Investment Grade</t>
        </is>
      </c>
      <c r="T648" s="30" t="inlineStr">
        <is>
          <t>AA-</t>
        </is>
      </c>
      <c r="U648" s="30" t="inlineStr">
        <is>
          <t>AA-</t>
        </is>
      </c>
      <c r="V648" s="30" t="n"/>
    </row>
    <row r="649">
      <c r="A649" s="30" t="inlineStr">
        <is>
          <t>US872898AE19</t>
        </is>
      </c>
      <c r="B649" s="30" t="inlineStr">
        <is>
          <t>Hold</t>
        </is>
      </c>
      <c r="C649" s="30" t="inlineStr">
        <is>
          <t>Tsmc Arizona Corp</t>
        </is>
      </c>
      <c r="D649" s="30" t="n">
        <v>3.25</v>
      </c>
      <c r="E649" s="30" t="inlineStr">
        <is>
          <t>Sr Unsecured</t>
        </is>
      </c>
      <c r="F649" s="30" t="inlineStr">
        <is>
          <t>25.10.2051</t>
        </is>
      </c>
      <c r="G649" s="30" t="inlineStr">
        <is>
          <t>Taiwan</t>
        </is>
      </c>
      <c r="H649" s="30" t="inlineStr">
        <is>
          <t>Technology</t>
        </is>
      </c>
      <c r="I649" s="30" t="n">
        <v>200</v>
      </c>
      <c r="J649" s="30" t="n">
        <v>71.697</v>
      </c>
      <c r="K649" s="30" t="n">
        <v>5.245829</v>
      </c>
      <c r="L649" s="30" t="n">
        <v>0.023767</v>
      </c>
      <c r="M649" s="30" t="n">
        <v>-0.058289</v>
      </c>
      <c r="N649" s="30" t="n">
        <v>33.82430849</v>
      </c>
      <c r="O649" s="30" t="n">
        <v>15.71725223</v>
      </c>
      <c r="P649" s="30" t="n">
        <v>70</v>
      </c>
      <c r="Q649" s="30" t="inlineStr">
        <is>
          <t>Manufactures semiconductor devices</t>
        </is>
      </c>
      <c r="R649" s="30" t="inlineStr">
        <is>
          <t>USD</t>
        </is>
      </c>
      <c r="S649" s="30" t="inlineStr">
        <is>
          <t>Investment Grade</t>
        </is>
      </c>
      <c r="T649" s="30" t="inlineStr">
        <is>
          <t>AA-</t>
        </is>
      </c>
      <c r="U649" s="30" t="inlineStr">
        <is>
          <t>AA-</t>
        </is>
      </c>
      <c r="V649" s="30" t="n"/>
    </row>
    <row r="650">
      <c r="A650" s="30" t="inlineStr">
        <is>
          <t>US00440KAB98</t>
        </is>
      </c>
      <c r="B650" s="30" t="inlineStr">
        <is>
          <t>Top Pick</t>
        </is>
      </c>
      <c r="C650" s="30" t="inlineStr">
        <is>
          <t>Accenture Capital Inc</t>
        </is>
      </c>
      <c r="D650" s="30" t="n">
        <v>4.05</v>
      </c>
      <c r="E650" s="30" t="inlineStr">
        <is>
          <t>Sr Unsecured</t>
        </is>
      </c>
      <c r="F650" s="30" t="inlineStr">
        <is>
          <t>04.10.2029</t>
        </is>
      </c>
      <c r="G650" s="30" t="inlineStr">
        <is>
          <t>United states</t>
        </is>
      </c>
      <c r="H650" s="30" t="inlineStr">
        <is>
          <t>Technology</t>
        </is>
      </c>
      <c r="I650" s="30" t="n">
        <v>2</v>
      </c>
      <c r="J650" s="30" t="n">
        <v>99.23999999999999</v>
      </c>
      <c r="K650" s="30" t="n">
        <v>4.246292</v>
      </c>
      <c r="L650" s="30" t="n">
        <v>0.00692</v>
      </c>
      <c r="M650" s="30" t="n">
        <v>-0.13225</v>
      </c>
      <c r="N650" s="30" t="n">
        <v>33.4233439</v>
      </c>
      <c r="O650" s="30" t="n">
        <v>4.092594578</v>
      </c>
      <c r="P650" s="30" t="n">
        <v>0</v>
      </c>
      <c r="Q650" s="30" t="inlineStr">
        <is>
          <t xml:space="preserve">Largest global consultancy firm </t>
        </is>
      </c>
      <c r="R650" s="30" t="inlineStr">
        <is>
          <t>USD</t>
        </is>
      </c>
      <c r="S650" s="30" t="inlineStr">
        <is>
          <t>Investment Grade</t>
        </is>
      </c>
      <c r="T650" s="30" t="inlineStr">
        <is>
          <t>A+</t>
        </is>
      </c>
      <c r="U650" s="30" t="inlineStr">
        <is>
          <t>A+</t>
        </is>
      </c>
      <c r="V650" s="30" t="n"/>
    </row>
    <row r="651">
      <c r="A651" s="30" t="inlineStr">
        <is>
          <t>US04636NAB91</t>
        </is>
      </c>
      <c r="B651" s="30" t="inlineStr">
        <is>
          <t>Hold</t>
        </is>
      </c>
      <c r="C651" s="30" t="inlineStr">
        <is>
          <t>Astrazeneca Finance Llc</t>
        </is>
      </c>
      <c r="D651" s="30" t="n">
        <v>2.25</v>
      </c>
      <c r="E651" s="30" t="inlineStr">
        <is>
          <t>Sr Unsecured</t>
        </is>
      </c>
      <c r="F651" s="30" t="inlineStr">
        <is>
          <t>28.05.2031</t>
        </is>
      </c>
      <c r="G651" s="30" t="inlineStr">
        <is>
          <t>United Kingdom</t>
        </is>
      </c>
      <c r="H651" s="30" t="inlineStr">
        <is>
          <t>Consumer, Non-cyclical</t>
        </is>
      </c>
      <c r="I651" s="30" t="n">
        <v>2</v>
      </c>
      <c r="J651" s="30" t="n">
        <v>89.111</v>
      </c>
      <c r="K651" s="30" t="n">
        <v>4.366588</v>
      </c>
      <c r="L651" s="30" t="n">
        <v>0.038885</v>
      </c>
      <c r="M651" s="30" t="n">
        <v>-0.159589</v>
      </c>
      <c r="N651" s="30" t="n">
        <v>33.34616301</v>
      </c>
      <c r="O651" s="30" t="n">
        <v>5.6716044</v>
      </c>
      <c r="P651" s="30" t="n">
        <v>85</v>
      </c>
      <c r="Q651" s="30" t="inlineStr">
        <is>
          <t>Anglo-Swedish multinational pharmaceutical company</t>
        </is>
      </c>
      <c r="R651" s="30" t="inlineStr">
        <is>
          <t>USD</t>
        </is>
      </c>
      <c r="S651" s="30" t="inlineStr">
        <is>
          <t>Investment Grade</t>
        </is>
      </c>
      <c r="T651" s="30" t="inlineStr">
        <is>
          <t>A+</t>
        </is>
      </c>
      <c r="U651" s="30" t="inlineStr">
        <is>
          <t>A</t>
        </is>
      </c>
      <c r="V651" s="30" t="n"/>
    </row>
    <row r="652">
      <c r="A652" s="30" t="inlineStr">
        <is>
          <t>FR001400KPB4</t>
        </is>
      </c>
      <c r="B652" s="30" t="inlineStr">
        <is>
          <t>Hold</t>
        </is>
      </c>
      <c r="C652" s="30" t="inlineStr">
        <is>
          <t>Pernod Ricard Sa</t>
        </is>
      </c>
      <c r="D652" s="30" t="n">
        <v>3.75</v>
      </c>
      <c r="E652" s="30" t="inlineStr">
        <is>
          <t>Sr Unsecured</t>
        </is>
      </c>
      <c r="F652" s="30" t="inlineStr">
        <is>
          <t>15.09.2027</t>
        </is>
      </c>
      <c r="G652" s="30" t="inlineStr">
        <is>
          <t>France</t>
        </is>
      </c>
      <c r="H652" s="30" t="inlineStr">
        <is>
          <t>Consumer, Non-cyclical</t>
        </is>
      </c>
      <c r="I652" s="30" t="n">
        <v>100</v>
      </c>
      <c r="J652" s="30" t="n">
        <v>102.895</v>
      </c>
      <c r="K652" s="30" t="n">
        <v>2.205077</v>
      </c>
      <c r="L652" s="30" t="n">
        <v>-0.056779</v>
      </c>
      <c r="M652" s="30" t="n">
        <v>-0.119554</v>
      </c>
      <c r="N652" s="30" t="n">
        <v>33.02233228</v>
      </c>
      <c r="O652" s="30" t="n">
        <v>2.157261475</v>
      </c>
      <c r="P652" s="30" t="n">
        <v>60</v>
      </c>
      <c r="Q652" s="30" t="inlineStr">
        <is>
          <t>Pernod Ricard produces and markets alcoholic beverages.</t>
        </is>
      </c>
      <c r="R652" s="30" t="inlineStr">
        <is>
          <t>EUR</t>
        </is>
      </c>
      <c r="S652" s="30" t="inlineStr">
        <is>
          <t>Investment Grade</t>
        </is>
      </c>
      <c r="T652" s="30" t="inlineStr">
        <is>
          <t>BBB+</t>
        </is>
      </c>
      <c r="U652" s="30" t="inlineStr">
        <is>
          <t>BBB+</t>
        </is>
      </c>
      <c r="V652" s="30" t="n"/>
    </row>
    <row r="653">
      <c r="A653" s="30" t="inlineStr">
        <is>
          <t>US639057AG33</t>
        </is>
      </c>
      <c r="B653" s="30" t="inlineStr">
        <is>
          <t>Hold</t>
        </is>
      </c>
      <c r="C653" s="30" t="inlineStr">
        <is>
          <t>Natwest Group Plc</t>
        </is>
      </c>
      <c r="D653" s="30" t="n">
        <v>7.472</v>
      </c>
      <c r="E653" s="30" t="inlineStr">
        <is>
          <t>Sr Unsecured</t>
        </is>
      </c>
      <c r="F653" s="30" t="inlineStr">
        <is>
          <t>10.11.2026</t>
        </is>
      </c>
      <c r="G653" s="30" t="inlineStr">
        <is>
          <t>United Kingdom</t>
        </is>
      </c>
      <c r="H653" s="30" t="inlineStr">
        <is>
          <t>Financial</t>
        </is>
      </c>
      <c r="I653" s="30" t="n">
        <v>200</v>
      </c>
      <c r="J653" s="30" t="n">
        <v>100.896</v>
      </c>
      <c r="K653" s="30" t="n">
        <v>4.727302</v>
      </c>
      <c r="L653" s="30" t="n">
        <v>0.09748</v>
      </c>
      <c r="M653" s="30" t="n">
        <v>-0.024513</v>
      </c>
      <c r="N653" s="30" t="n">
        <v>32.82211125</v>
      </c>
      <c r="O653" s="30" t="n">
        <v>0.686568794</v>
      </c>
      <c r="P653" s="30" t="n">
        <v>80</v>
      </c>
      <c r="Q653" s="30" t="inlineStr">
        <is>
          <t xml:space="preserve">Provide worldwide financial services. </t>
        </is>
      </c>
      <c r="R653" s="30" t="inlineStr">
        <is>
          <t>USD</t>
        </is>
      </c>
      <c r="S653" s="30" t="inlineStr">
        <is>
          <t>Investment Grade</t>
        </is>
      </c>
      <c r="T653" s="30" t="inlineStr">
        <is>
          <t>A-</t>
        </is>
      </c>
      <c r="U653" s="30" t="inlineStr">
        <is>
          <t>A-</t>
        </is>
      </c>
      <c r="V653" s="30" t="n"/>
    </row>
    <row r="654">
      <c r="A654" s="30" t="inlineStr">
        <is>
          <t>CH1189217990</t>
        </is>
      </c>
      <c r="B654" s="30" t="inlineStr">
        <is>
          <t>Hold</t>
        </is>
      </c>
      <c r="C654" s="30" t="inlineStr">
        <is>
          <t>Sgs Sa</t>
        </is>
      </c>
      <c r="D654" s="30" t="n">
        <v>1.25</v>
      </c>
      <c r="E654" s="30" t="inlineStr">
        <is>
          <t>Sr Unsecured</t>
        </is>
      </c>
      <c r="F654" s="30" t="inlineStr">
        <is>
          <t>05.09.2025</t>
        </is>
      </c>
      <c r="G654" s="30" t="inlineStr">
        <is>
          <t>Switzerland</t>
        </is>
      </c>
      <c r="H654" s="30" t="inlineStr">
        <is>
          <t>Consumer, Non-cyclical</t>
        </is>
      </c>
      <c r="I654" s="30" t="n">
        <v>5</v>
      </c>
      <c r="J654" s="30" t="n">
        <v>100.155</v>
      </c>
      <c r="K654" s="30" t="n">
        <v>0.250804</v>
      </c>
      <c r="L654" s="30" t="n">
        <v>0.027909</v>
      </c>
      <c r="M654" s="30" t="n">
        <v>-0.107794</v>
      </c>
      <c r="N654" s="30" t="n">
        <v>32.55917336</v>
      </c>
      <c r="O654" s="30" t="n">
        <v>0.5278605629999999</v>
      </c>
      <c r="P654" s="30" t="n">
        <v>80</v>
      </c>
      <c r="Q654" s="30" t="inlineStr">
        <is>
          <t>Provides industrial inspection, analysis, testing and verification services</t>
        </is>
      </c>
      <c r="R654" s="30" t="inlineStr">
        <is>
          <t>CHF</t>
        </is>
      </c>
      <c r="S654" s="30" t="inlineStr">
        <is>
          <t>Investment Grade</t>
        </is>
      </c>
      <c r="T654" s="30" t="inlineStr">
        <is>
          <t>#N/A N/A</t>
        </is>
      </c>
      <c r="U654" s="30" t="inlineStr">
        <is>
          <t>#N/A N/A</t>
        </is>
      </c>
      <c r="V654" s="30" t="n"/>
    </row>
    <row r="655">
      <c r="A655" s="30" t="inlineStr">
        <is>
          <t>CH1228837865</t>
        </is>
      </c>
      <c r="B655" s="30" t="inlineStr">
        <is>
          <t>Hold</t>
        </is>
      </c>
      <c r="C655" s="30" t="inlineStr">
        <is>
          <t>Ubs Ag London</t>
        </is>
      </c>
      <c r="D655" s="30" t="n">
        <v>2.33</v>
      </c>
      <c r="E655" s="30" t="inlineStr">
        <is>
          <t>Sr Unsecured</t>
        </is>
      </c>
      <c r="F655" s="30" t="inlineStr">
        <is>
          <t>14.11.2025</t>
        </is>
      </c>
      <c r="G655" s="30" t="inlineStr">
        <is>
          <t>Switzerland</t>
        </is>
      </c>
      <c r="H655" s="30" t="inlineStr">
        <is>
          <t>Financial</t>
        </is>
      </c>
      <c r="I655" s="30" t="n">
        <v>50</v>
      </c>
      <c r="J655" s="30" t="n">
        <v>100.721</v>
      </c>
      <c r="K655" s="30" t="n">
        <v>0.24675</v>
      </c>
      <c r="L655" s="30" t="n">
        <v>-0.038077</v>
      </c>
      <c r="M655" s="30" t="n">
        <v>-0.036475</v>
      </c>
      <c r="N655" s="30" t="n">
        <v>32.32037106</v>
      </c>
      <c r="O655" s="30" t="n">
        <v>0.7188746580000001</v>
      </c>
      <c r="P655" s="30" t="n">
        <v>80</v>
      </c>
      <c r="Q655" s="30" t="inlineStr">
        <is>
          <t>One of the world’s largest wealth managers.</t>
        </is>
      </c>
      <c r="R655" s="30" t="inlineStr">
        <is>
          <t>CHF</t>
        </is>
      </c>
      <c r="S655" s="30" t="inlineStr">
        <is>
          <t>Investment Grade</t>
        </is>
      </c>
      <c r="T655" s="30" t="inlineStr">
        <is>
          <t>A+</t>
        </is>
      </c>
      <c r="U655" s="30" t="inlineStr">
        <is>
          <t>A+</t>
        </is>
      </c>
      <c r="V655" s="30" t="n"/>
    </row>
    <row r="656">
      <c r="A656" s="30" t="inlineStr">
        <is>
          <t>XS2482872251</t>
        </is>
      </c>
      <c r="B656" s="30" t="inlineStr">
        <is>
          <t>Hold</t>
        </is>
      </c>
      <c r="C656" s="30" t="inlineStr">
        <is>
          <t>Fresenius Se &amp; Co Kgaa</t>
        </is>
      </c>
      <c r="D656" s="30" t="n">
        <v>2.875</v>
      </c>
      <c r="E656" s="30" t="inlineStr">
        <is>
          <t>Sr Unsecured</t>
        </is>
      </c>
      <c r="F656" s="30" t="inlineStr">
        <is>
          <t>24.05.2030</t>
        </is>
      </c>
      <c r="G656" s="30" t="inlineStr">
        <is>
          <t>Germany</t>
        </is>
      </c>
      <c r="H656" s="30" t="inlineStr">
        <is>
          <t>Consumer, Non-cyclical</t>
        </is>
      </c>
      <c r="I656" s="30" t="n">
        <v>1</v>
      </c>
      <c r="J656" s="30" t="n">
        <v>101.171</v>
      </c>
      <c r="K656" s="30" t="n">
        <v>2.604077</v>
      </c>
      <c r="L656" s="30" t="n">
        <v>-0.133921</v>
      </c>
      <c r="M656" s="30" t="n">
        <v>-0.122201</v>
      </c>
      <c r="N656" s="30" t="n">
        <v>32.10258622</v>
      </c>
      <c r="O656" s="30" t="n">
        <v>4.703904189</v>
      </c>
      <c r="P656" s="30" t="n">
        <v>60</v>
      </c>
      <c r="Q656" s="30" t="inlineStr">
        <is>
          <t>One of the world's leading healthcare companies</t>
        </is>
      </c>
      <c r="R656" s="30" t="inlineStr">
        <is>
          <t>EUR</t>
        </is>
      </c>
      <c r="S656" s="30" t="inlineStr">
        <is>
          <t>Investment Grade</t>
        </is>
      </c>
      <c r="T656" s="30" t="inlineStr">
        <is>
          <t>BBB-</t>
        </is>
      </c>
      <c r="U656" s="30" t="inlineStr">
        <is>
          <t>BBB-</t>
        </is>
      </c>
      <c r="V656" s="30" t="n"/>
    </row>
    <row r="657">
      <c r="A657" s="30" t="inlineStr">
        <is>
          <t>US254687FL52</t>
        </is>
      </c>
      <c r="B657" s="30" t="inlineStr">
        <is>
          <t>Hold</t>
        </is>
      </c>
      <c r="C657" s="30" t="inlineStr">
        <is>
          <t>Walt Disney Company/The</t>
        </is>
      </c>
      <c r="D657" s="30" t="n">
        <v>2</v>
      </c>
      <c r="E657" s="30" t="inlineStr">
        <is>
          <t>Sr Unsecured</t>
        </is>
      </c>
      <c r="F657" s="30" t="inlineStr">
        <is>
          <t>01.09.2029</t>
        </is>
      </c>
      <c r="G657" s="30" t="inlineStr">
        <is>
          <t>United states</t>
        </is>
      </c>
      <c r="H657" s="30" t="inlineStr">
        <is>
          <t>Communications</t>
        </is>
      </c>
      <c r="I657" s="30" t="n">
        <v>2</v>
      </c>
      <c r="J657" s="30" t="n">
        <v>91.649</v>
      </c>
      <c r="K657" s="30" t="n">
        <v>4.21515</v>
      </c>
      <c r="L657" s="30" t="n">
        <v>0.037713</v>
      </c>
      <c r="M657" s="30" t="n">
        <v>-0.088698</v>
      </c>
      <c r="N657" s="30" t="n">
        <v>31.51578344</v>
      </c>
      <c r="O657" s="30" t="n">
        <v>4.194034138</v>
      </c>
      <c r="P657" s="30" t="n">
        <v>80</v>
      </c>
      <c r="Q657" s="30" t="inlineStr">
        <is>
          <t>One of the largest entertainment company</t>
        </is>
      </c>
      <c r="R657" s="30" t="inlineStr">
        <is>
          <t>USD</t>
        </is>
      </c>
      <c r="S657" s="30" t="inlineStr">
        <is>
          <t>Investment Grade</t>
        </is>
      </c>
      <c r="T657" s="30" t="inlineStr">
        <is>
          <t>A-</t>
        </is>
      </c>
      <c r="U657" s="30" t="inlineStr">
        <is>
          <t>A-</t>
        </is>
      </c>
      <c r="V657" s="30" t="n"/>
    </row>
    <row r="658">
      <c r="A658" s="30" t="inlineStr">
        <is>
          <t>XS2820455678</t>
        </is>
      </c>
      <c r="B658" s="30" t="inlineStr">
        <is>
          <t>Hold</t>
        </is>
      </c>
      <c r="C658" s="30" t="inlineStr">
        <is>
          <t>Novo Nordisk A/S</t>
        </is>
      </c>
      <c r="D658" s="30" t="n">
        <v>3.25</v>
      </c>
      <c r="E658" s="30" t="inlineStr">
        <is>
          <t>Sr Unsecured</t>
        </is>
      </c>
      <c r="F658" s="30" t="inlineStr">
        <is>
          <t>21.01.2031</t>
        </is>
      </c>
      <c r="G658" s="30" t="inlineStr">
        <is>
          <t>Denmark</t>
        </is>
      </c>
      <c r="H658" s="30" t="inlineStr">
        <is>
          <t>Consumer, Non-cyclical</t>
        </is>
      </c>
      <c r="I658" s="30" t="n">
        <v>100</v>
      </c>
      <c r="J658" s="30" t="n">
        <v>102.714</v>
      </c>
      <c r="K658" s="30" t="n">
        <v>2.692065</v>
      </c>
      <c r="L658" s="30" t="n">
        <v>-0.102497</v>
      </c>
      <c r="M658" s="30" t="n">
        <v>-0.151811</v>
      </c>
      <c r="N658" s="30" t="n">
        <v>31.38747461</v>
      </c>
      <c r="O658" s="30" t="n">
        <v>5.095987299</v>
      </c>
      <c r="P658" s="30" t="n">
        <v>85</v>
      </c>
      <c r="Q658" s="30" t="inlineStr">
        <is>
          <t xml:space="preserve">Global leading pharmaceutical company in diabetes and chronic diseases </t>
        </is>
      </c>
      <c r="R658" s="30" t="inlineStr">
        <is>
          <t>EUR</t>
        </is>
      </c>
      <c r="S658" s="30" t="inlineStr">
        <is>
          <t>Investment Grade</t>
        </is>
      </c>
      <c r="T658" s="30" t="inlineStr">
        <is>
          <t>AA-</t>
        </is>
      </c>
      <c r="U658" s="30" t="inlineStr">
        <is>
          <t>AA-</t>
        </is>
      </c>
      <c r="V658" s="30" t="n"/>
    </row>
    <row r="659">
      <c r="A659" s="30" t="inlineStr">
        <is>
          <t>FR001400F6V1</t>
        </is>
      </c>
      <c r="B659" s="30" t="inlineStr">
        <is>
          <t xml:space="preserve">Hold </t>
        </is>
      </c>
      <c r="C659" s="30" t="inlineStr">
        <is>
          <t>Banque Stellantis France</t>
        </is>
      </c>
      <c r="D659" s="30" t="n">
        <v>3.875</v>
      </c>
      <c r="E659" s="30" t="inlineStr">
        <is>
          <t>Sr Preferred</t>
        </is>
      </c>
      <c r="F659" s="30" t="inlineStr">
        <is>
          <t>19.01.2026</t>
        </is>
      </c>
      <c r="G659" s="30" t="inlineStr">
        <is>
          <t>France</t>
        </is>
      </c>
      <c r="H659" s="30" t="inlineStr">
        <is>
          <t>Financial</t>
        </is>
      </c>
      <c r="I659" s="30" t="n">
        <v>100</v>
      </c>
      <c r="J659" s="30" t="n">
        <v>100.748</v>
      </c>
      <c r="K659" s="30" t="n">
        <v>2.145044</v>
      </c>
      <c r="L659" s="30" t="n">
        <v>-0.104277</v>
      </c>
      <c r="M659" s="30" t="n">
        <v>-0.122196</v>
      </c>
      <c r="N659" s="30" t="n">
        <v>31.18813643</v>
      </c>
      <c r="O659" s="30" t="n">
        <v>0.799133607</v>
      </c>
      <c r="P659" s="30" t="n">
        <v>80</v>
      </c>
      <c r="Q659" s="30" t="inlineStr">
        <is>
          <t>Provides commercial banking services in France</t>
        </is>
      </c>
      <c r="R659" s="30" t="inlineStr">
        <is>
          <t>EUR</t>
        </is>
      </c>
      <c r="S659" s="30" t="inlineStr">
        <is>
          <t>Investment Grade</t>
        </is>
      </c>
      <c r="T659" s="30" t="inlineStr">
        <is>
          <t>BBB+</t>
        </is>
      </c>
      <c r="U659" s="30" t="inlineStr">
        <is>
          <t>BBB+</t>
        </is>
      </c>
      <c r="V659" s="30" t="n"/>
    </row>
    <row r="660">
      <c r="A660" s="30" t="inlineStr">
        <is>
          <t>US532457CV84</t>
        </is>
      </c>
      <c r="B660" s="30" t="inlineStr">
        <is>
          <t>Top Pick</t>
        </is>
      </c>
      <c r="C660" s="30" t="inlineStr">
        <is>
          <t>Eli Lilly &amp; Co</t>
        </is>
      </c>
      <c r="D660" s="30" t="n">
        <v>4.75</v>
      </c>
      <c r="E660" s="30" t="inlineStr">
        <is>
          <t>Sr Unsecured</t>
        </is>
      </c>
      <c r="F660" s="30" t="inlineStr">
        <is>
          <t>12.02.2030</t>
        </is>
      </c>
      <c r="G660" s="30" t="inlineStr">
        <is>
          <t>United states</t>
        </is>
      </c>
      <c r="H660" s="30" t="inlineStr">
        <is>
          <t>Consumer, Non-cyclical</t>
        </is>
      </c>
      <c r="I660" s="30" t="n">
        <v>2</v>
      </c>
      <c r="J660" s="30" t="n">
        <v>102.092</v>
      </c>
      <c r="K660" s="30" t="n">
        <v>4.235431</v>
      </c>
      <c r="L660" s="30" t="n">
        <v>0.036637</v>
      </c>
      <c r="M660" s="30" t="n">
        <v>-0.144022</v>
      </c>
      <c r="N660" s="30" t="n">
        <v>31.03026948</v>
      </c>
      <c r="O660" s="30" t="n">
        <v>4.319940049</v>
      </c>
      <c r="P660" s="30" t="n">
        <v>0</v>
      </c>
      <c r="Q660" s="30" t="inlineStr">
        <is>
          <t>Develops and sells pharmaceutical products for humans and animals</t>
        </is>
      </c>
      <c r="R660" s="30" t="inlineStr">
        <is>
          <t>USD</t>
        </is>
      </c>
      <c r="S660" s="30" t="inlineStr">
        <is>
          <t>Investment Grade</t>
        </is>
      </c>
      <c r="T660" s="30" t="inlineStr">
        <is>
          <t>A+</t>
        </is>
      </c>
      <c r="U660" s="30" t="inlineStr">
        <is>
          <t>NR</t>
        </is>
      </c>
      <c r="V660" s="30" t="n"/>
    </row>
    <row r="661">
      <c r="A661" s="30" t="inlineStr">
        <is>
          <t>US06051GLE79</t>
        </is>
      </c>
      <c r="B661" s="30" t="inlineStr">
        <is>
          <t>Hold</t>
        </is>
      </c>
      <c r="C661" s="30" t="inlineStr">
        <is>
          <t>Bank Of America Corp</t>
        </is>
      </c>
      <c r="D661" s="30" t="n">
        <v>5.08</v>
      </c>
      <c r="E661" s="30" t="inlineStr">
        <is>
          <t>Sr Unsecured</t>
        </is>
      </c>
      <c r="F661" s="30" t="inlineStr">
        <is>
          <t>20.01.2027</t>
        </is>
      </c>
      <c r="G661" s="30" t="inlineStr">
        <is>
          <t>United states</t>
        </is>
      </c>
      <c r="H661" s="30" t="inlineStr">
        <is>
          <t>Financial</t>
        </is>
      </c>
      <c r="I661" s="30" t="n">
        <v>2</v>
      </c>
      <c r="J661" s="30" t="n">
        <v>100.256</v>
      </c>
      <c r="K661" s="30" t="n">
        <v>4.586133</v>
      </c>
      <c r="L661" s="30" t="n">
        <v>0.021614</v>
      </c>
      <c r="M661" s="30" t="n">
        <v>-0.134953</v>
      </c>
      <c r="N661" s="30" t="n">
        <v>31.0246953</v>
      </c>
      <c r="O661" s="30" t="n">
        <v>0.881308372</v>
      </c>
      <c r="P661" s="30" t="n">
        <v>80</v>
      </c>
      <c r="Q661" s="30" t="inlineStr">
        <is>
          <t>One of the largest US banks</t>
        </is>
      </c>
      <c r="R661" s="30" t="inlineStr">
        <is>
          <t>USD</t>
        </is>
      </c>
      <c r="S661" s="30" t="inlineStr">
        <is>
          <t>Investment Grade</t>
        </is>
      </c>
      <c r="T661" s="30" t="inlineStr">
        <is>
          <t>A</t>
        </is>
      </c>
      <c r="U661" s="30" t="inlineStr">
        <is>
          <t>A</t>
        </is>
      </c>
      <c r="V661" s="30" t="n"/>
    </row>
    <row r="662">
      <c r="A662" s="30" t="inlineStr">
        <is>
          <t>FR001400G6E6</t>
        </is>
      </c>
      <c r="B662" s="30" t="inlineStr">
        <is>
          <t>Not accumulate</t>
        </is>
      </c>
      <c r="C662" s="30" t="inlineStr">
        <is>
          <t>Caisse D'Amort Dette Soc</t>
        </is>
      </c>
      <c r="D662" s="30" t="n">
        <v>3.125</v>
      </c>
      <c r="E662" s="30" t="inlineStr">
        <is>
          <t>Sr Unsecured</t>
        </is>
      </c>
      <c r="F662" s="30" t="inlineStr">
        <is>
          <t>01.03.2030</t>
        </is>
      </c>
      <c r="G662" s="30" t="inlineStr">
        <is>
          <t>France</t>
        </is>
      </c>
      <c r="H662" s="30" t="inlineStr">
        <is>
          <t>Government</t>
        </is>
      </c>
      <c r="I662" s="30" t="n">
        <v>100</v>
      </c>
      <c r="J662" s="30" t="n">
        <v>102.487</v>
      </c>
      <c r="K662" s="30" t="n">
        <v>2.548612</v>
      </c>
      <c r="L662" s="30" t="n">
        <v>0.033155</v>
      </c>
      <c r="M662" s="30" t="n">
        <v>0.062172</v>
      </c>
      <c r="N662" s="30" t="n">
        <v>30.82461592</v>
      </c>
      <c r="O662" s="30" t="n">
        <v>4.458510377</v>
      </c>
      <c r="P662" s="30" t="n">
        <v>85</v>
      </c>
      <c r="Q662" s="30" t="inlineStr">
        <is>
          <t>Operates as an administrative state agency</t>
        </is>
      </c>
      <c r="R662" s="30" t="inlineStr">
        <is>
          <t>EUR</t>
        </is>
      </c>
      <c r="S662" s="30" t="inlineStr">
        <is>
          <t>Investment Grade</t>
        </is>
      </c>
      <c r="T662" s="30" t="inlineStr">
        <is>
          <t>AA-</t>
        </is>
      </c>
      <c r="U662" s="30" t="inlineStr">
        <is>
          <t>AA-</t>
        </is>
      </c>
      <c r="V662" s="30" t="n"/>
    </row>
    <row r="663">
      <c r="A663" s="30" t="inlineStr">
        <is>
          <t>XS1423753463</t>
        </is>
      </c>
      <c r="B663" s="30" t="inlineStr">
        <is>
          <t>Hold</t>
        </is>
      </c>
      <c r="C663" s="30" t="inlineStr">
        <is>
          <t>Nibc Bank Nv</t>
        </is>
      </c>
      <c r="D663" s="30" t="n">
        <v>0.625</v>
      </c>
      <c r="E663" s="30" t="inlineStr">
        <is>
          <t>Secured</t>
        </is>
      </c>
      <c r="F663" s="30" t="inlineStr">
        <is>
          <t>01.06.2026</t>
        </is>
      </c>
      <c r="G663" s="30" t="inlineStr">
        <is>
          <t>Netherlands</t>
        </is>
      </c>
      <c r="H663" s="30" t="inlineStr">
        <is>
          <t>Financial</t>
        </is>
      </c>
      <c r="I663" s="30" t="n">
        <v>100</v>
      </c>
      <c r="J663" s="30" t="n">
        <v>98.666</v>
      </c>
      <c r="K663" s="30" t="n">
        <v>2.141192</v>
      </c>
      <c r="L663" s="30" t="n">
        <v>-0.009309</v>
      </c>
      <c r="M663" s="30" t="n">
        <v>-0.012935</v>
      </c>
      <c r="N663" s="30" t="n">
        <v>30.73261803</v>
      </c>
      <c r="O663" s="30" t="n">
        <v>1.22903279</v>
      </c>
      <c r="P663" s="30" t="n">
        <v>80</v>
      </c>
      <c r="Q663" s="30" t="inlineStr">
        <is>
          <t>Dutch bank with activities in corporate and investment banking</t>
        </is>
      </c>
      <c r="R663" s="30" t="inlineStr">
        <is>
          <t>EUR</t>
        </is>
      </c>
      <c r="S663" s="30" t="inlineStr">
        <is>
          <t>Investment Grade</t>
        </is>
      </c>
      <c r="T663" s="30" t="inlineStr">
        <is>
          <t>AAA</t>
        </is>
      </c>
      <c r="U663" s="30" t="inlineStr">
        <is>
          <t>AAA</t>
        </is>
      </c>
      <c r="V663" s="30" t="n"/>
    </row>
    <row r="664">
      <c r="A664" s="30" t="inlineStr">
        <is>
          <t>US47109LAD64</t>
        </is>
      </c>
      <c r="B664" s="30" t="inlineStr">
        <is>
          <t>Hold</t>
        </is>
      </c>
      <c r="C664" s="30" t="inlineStr">
        <is>
          <t>Japan Int'L Coop Agency</t>
        </is>
      </c>
      <c r="D664" s="30" t="n">
        <v>1</v>
      </c>
      <c r="E664" s="30" t="inlineStr">
        <is>
          <t>Sr Unsecured</t>
        </is>
      </c>
      <c r="F664" s="30" t="inlineStr">
        <is>
          <t>22.07.2030</t>
        </is>
      </c>
      <c r="G664" s="30" t="inlineStr">
        <is>
          <t>Japan</t>
        </is>
      </c>
      <c r="H664" s="30" t="inlineStr">
        <is>
          <t>Government</t>
        </is>
      </c>
      <c r="I664" s="30" t="n">
        <v>200</v>
      </c>
      <c r="J664" s="30" t="n">
        <v>85.44199999999999</v>
      </c>
      <c r="K664" s="30" t="n">
        <v>4.238972</v>
      </c>
      <c r="L664" s="30" t="n">
        <v>0.059731</v>
      </c>
      <c r="M664" s="30" t="n">
        <v>-0.094004</v>
      </c>
      <c r="N664" s="30" t="n">
        <v>30.49264755</v>
      </c>
      <c r="O664" s="30" t="n">
        <v>5.145905842</v>
      </c>
      <c r="P664" s="30" t="n">
        <v>85</v>
      </c>
      <c r="Q664" s="30" t="inlineStr">
        <is>
          <t>Independant admisnistrative organization</t>
        </is>
      </c>
      <c r="R664" s="30" t="inlineStr">
        <is>
          <t>USD</t>
        </is>
      </c>
      <c r="S664" s="30" t="inlineStr">
        <is>
          <t>Investment Grade</t>
        </is>
      </c>
      <c r="T664" s="30" t="inlineStr">
        <is>
          <t>NR</t>
        </is>
      </c>
      <c r="U664" s="30" t="inlineStr">
        <is>
          <t>NR</t>
        </is>
      </c>
      <c r="V664" s="30" t="n"/>
    </row>
    <row r="665">
      <c r="A665" s="30" t="inlineStr">
        <is>
          <t>XS2082324018</t>
        </is>
      </c>
      <c r="B665" s="30" t="inlineStr">
        <is>
          <t xml:space="preserve">Hold </t>
        </is>
      </c>
      <c r="C665" s="30" t="inlineStr">
        <is>
          <t>Arcelormittal</t>
        </is>
      </c>
      <c r="D665" s="30" t="n">
        <v>1.75</v>
      </c>
      <c r="E665" s="30" t="inlineStr">
        <is>
          <t>Sr Unsecured</t>
        </is>
      </c>
      <c r="F665" s="30" t="inlineStr">
        <is>
          <t>19.11.2025</t>
        </is>
      </c>
      <c r="G665" s="30" t="inlineStr">
        <is>
          <t>Luxembourg</t>
        </is>
      </c>
      <c r="H665" s="30" t="inlineStr">
        <is>
          <t>Basic Materials</t>
        </is>
      </c>
      <c r="I665" s="30" t="n">
        <v>100</v>
      </c>
      <c r="J665" s="30" t="n">
        <v>99.851</v>
      </c>
      <c r="K665" s="30" t="n">
        <v>2.15287</v>
      </c>
      <c r="L665" s="30" t="n">
        <v>-0.112333</v>
      </c>
      <c r="M665" s="30" t="n">
        <v>-0.204487</v>
      </c>
      <c r="N665" s="30" t="n">
        <v>30.23704645</v>
      </c>
      <c r="O665" s="30" t="n">
        <v>0.721019811</v>
      </c>
      <c r="P665" s="30" t="n">
        <v>75</v>
      </c>
      <c r="Q665" s="30" t="inlineStr">
        <is>
          <t>World's largest producer of steel</t>
        </is>
      </c>
      <c r="R665" s="30" t="inlineStr">
        <is>
          <t>EUR</t>
        </is>
      </c>
      <c r="S665" s="30" t="inlineStr">
        <is>
          <t>Investment Grade</t>
        </is>
      </c>
      <c r="T665" s="30" t="inlineStr">
        <is>
          <t>BBB-</t>
        </is>
      </c>
      <c r="U665" s="30" t="inlineStr">
        <is>
          <t>BBB-</t>
        </is>
      </c>
      <c r="V665" s="30" t="n"/>
    </row>
    <row r="666">
      <c r="A666" s="30" t="inlineStr">
        <is>
          <t>US037833EW60</t>
        </is>
      </c>
      <c r="B666" s="30" t="inlineStr">
        <is>
          <t>Hold</t>
        </is>
      </c>
      <c r="C666" s="30" t="inlineStr">
        <is>
          <t>Apple Inc</t>
        </is>
      </c>
      <c r="D666" s="30" t="n">
        <v>4.85</v>
      </c>
      <c r="E666" s="30" t="inlineStr">
        <is>
          <t>Sr Unsecured</t>
        </is>
      </c>
      <c r="F666" s="30" t="inlineStr">
        <is>
          <t>10.05.2053</t>
        </is>
      </c>
      <c r="G666" s="30" t="inlineStr">
        <is>
          <t>United states</t>
        </is>
      </c>
      <c r="H666" s="30" t="inlineStr">
        <is>
          <t>Technology</t>
        </is>
      </c>
      <c r="I666" s="30" t="n">
        <v>2</v>
      </c>
      <c r="J666" s="30" t="n">
        <v>95.075</v>
      </c>
      <c r="K666" s="30" t="n">
        <v>5.185787</v>
      </c>
      <c r="L666" s="30" t="n">
        <v>-0.049062</v>
      </c>
      <c r="M666" s="30" t="n">
        <v>-0.107057</v>
      </c>
      <c r="N666" s="30" t="n">
        <v>30.12162808</v>
      </c>
      <c r="O666" s="30" t="n">
        <v>14.77078498</v>
      </c>
      <c r="P666" s="30" t="n">
        <v>85</v>
      </c>
      <c r="Q666" s="30" t="inlineStr">
        <is>
          <t>Leading global designer and seller of premium electronic devices</t>
        </is>
      </c>
      <c r="R666" s="30" t="inlineStr">
        <is>
          <t>USD</t>
        </is>
      </c>
      <c r="S666" s="30" t="inlineStr">
        <is>
          <t>Investment Grade</t>
        </is>
      </c>
      <c r="T666" s="30" t="inlineStr">
        <is>
          <t>AA+</t>
        </is>
      </c>
      <c r="U666" s="30" t="inlineStr">
        <is>
          <t>AA+</t>
        </is>
      </c>
      <c r="V666" s="30" t="n"/>
    </row>
    <row r="667">
      <c r="A667" s="30" t="inlineStr">
        <is>
          <t>US57636QAU85</t>
        </is>
      </c>
      <c r="B667" s="30" t="inlineStr">
        <is>
          <t>Hold</t>
        </is>
      </c>
      <c r="C667" s="30" t="inlineStr">
        <is>
          <t>Mastercard Inc</t>
        </is>
      </c>
      <c r="D667" s="30" t="n">
        <v>2</v>
      </c>
      <c r="E667" s="30" t="inlineStr">
        <is>
          <t>Sr Unsecured</t>
        </is>
      </c>
      <c r="F667" s="30" t="inlineStr">
        <is>
          <t>18.11.2031</t>
        </is>
      </c>
      <c r="G667" s="30" t="inlineStr">
        <is>
          <t>United states</t>
        </is>
      </c>
      <c r="H667" s="30" t="inlineStr">
        <is>
          <t>Financial</t>
        </is>
      </c>
      <c r="I667" s="30" t="n">
        <v>2</v>
      </c>
      <c r="J667" s="30" t="n">
        <v>86.91800000000001</v>
      </c>
      <c r="K667" s="30" t="n">
        <v>4.378195</v>
      </c>
      <c r="L667" s="30" t="n">
        <v>0.02155</v>
      </c>
      <c r="M667" s="30" t="n">
        <v>-0.151569</v>
      </c>
      <c r="N667" s="30" t="n">
        <v>29.76850203</v>
      </c>
      <c r="O667" s="30" t="n">
        <v>6.107648346</v>
      </c>
      <c r="P667" s="30" t="n">
        <v>80</v>
      </c>
      <c r="Q667" s="30" t="inlineStr">
        <is>
          <t xml:space="preserve">One of the three largest global payment card companies </t>
        </is>
      </c>
      <c r="R667" s="30" t="inlineStr">
        <is>
          <t>USD</t>
        </is>
      </c>
      <c r="S667" s="30" t="inlineStr">
        <is>
          <t>Investment Grade</t>
        </is>
      </c>
      <c r="T667" s="30" t="inlineStr">
        <is>
          <t>A+</t>
        </is>
      </c>
      <c r="U667" s="30" t="inlineStr">
        <is>
          <t>A+</t>
        </is>
      </c>
      <c r="V667" s="30" t="n"/>
    </row>
    <row r="668">
      <c r="A668" s="30" t="inlineStr">
        <is>
          <t>US30231GBK76</t>
        </is>
      </c>
      <c r="B668" s="30" t="inlineStr">
        <is>
          <t>Hold</t>
        </is>
      </c>
      <c r="C668" s="30" t="inlineStr">
        <is>
          <t>Exxon Mobil Corporation</t>
        </is>
      </c>
      <c r="D668" s="30" t="n">
        <v>3.482</v>
      </c>
      <c r="E668" s="30" t="inlineStr">
        <is>
          <t>Sr Unsecured</t>
        </is>
      </c>
      <c r="F668" s="30" t="inlineStr">
        <is>
          <t>19.03.2030</t>
        </is>
      </c>
      <c r="G668" s="30" t="inlineStr">
        <is>
          <t>United states</t>
        </is>
      </c>
      <c r="H668" s="30" t="inlineStr">
        <is>
          <t>Energy</t>
        </is>
      </c>
      <c r="I668" s="30" t="n">
        <v>2</v>
      </c>
      <c r="J668" s="30" t="n">
        <v>96.846</v>
      </c>
      <c r="K668" s="30" t="n">
        <v>4.228367</v>
      </c>
      <c r="L668" s="30" t="n">
        <v>0.109337</v>
      </c>
      <c r="M668" s="30" t="n">
        <v>-0.148596</v>
      </c>
      <c r="N668" s="30" t="n">
        <v>29.4746555</v>
      </c>
      <c r="O668" s="30" t="n">
        <v>4.507810196</v>
      </c>
      <c r="P668" s="30" t="n">
        <v>85</v>
      </c>
      <c r="Q668" s="30" t="inlineStr">
        <is>
          <t xml:space="preserve">Global oil major </t>
        </is>
      </c>
      <c r="R668" s="30" t="inlineStr">
        <is>
          <t>USD</t>
        </is>
      </c>
      <c r="S668" s="30" t="inlineStr">
        <is>
          <t>Investment Grade</t>
        </is>
      </c>
      <c r="T668" s="30" t="inlineStr">
        <is>
          <t>AA-</t>
        </is>
      </c>
      <c r="U668" s="30" t="inlineStr">
        <is>
          <t>AA-</t>
        </is>
      </c>
      <c r="V668" s="30" t="n"/>
    </row>
    <row r="669">
      <c r="A669" s="30" t="inlineStr">
        <is>
          <t>XS2574873266</t>
        </is>
      </c>
      <c r="B669" s="30" t="inlineStr">
        <is>
          <t>Hold</t>
        </is>
      </c>
      <c r="C669" s="30" t="inlineStr">
        <is>
          <t>E.On Se</t>
        </is>
      </c>
      <c r="D669" s="30" t="n">
        <v>3.5</v>
      </c>
      <c r="E669" s="30" t="inlineStr">
        <is>
          <t>Sr Unsecured</t>
        </is>
      </c>
      <c r="F669" s="30" t="inlineStr">
        <is>
          <t>12.01.2028</t>
        </is>
      </c>
      <c r="G669" s="30" t="inlineStr">
        <is>
          <t>Germany</t>
        </is>
      </c>
      <c r="H669" s="30" t="inlineStr">
        <is>
          <t>Utilities</t>
        </is>
      </c>
      <c r="I669" s="30" t="n">
        <v>1</v>
      </c>
      <c r="J669" s="30" t="n">
        <v>102.797</v>
      </c>
      <c r="K669" s="30" t="n">
        <v>2.216167</v>
      </c>
      <c r="L669" s="30" t="n">
        <v>-0.122559</v>
      </c>
      <c r="M669" s="30" t="n">
        <v>-0.198602</v>
      </c>
      <c r="N669" s="30" t="n">
        <v>29.38345976</v>
      </c>
      <c r="O669" s="30" t="n">
        <v>2.482300692</v>
      </c>
      <c r="P669" s="30" t="n">
        <v>60</v>
      </c>
      <c r="Q669" s="30" t="inlineStr">
        <is>
          <t>One of the Europe's largest operators of energy networks and infrastructure</t>
        </is>
      </c>
      <c r="R669" s="30" t="inlineStr">
        <is>
          <t>EUR</t>
        </is>
      </c>
      <c r="S669" s="30" t="inlineStr">
        <is>
          <t>Investment Grade</t>
        </is>
      </c>
      <c r="T669" s="30" t="inlineStr">
        <is>
          <t>BBB+</t>
        </is>
      </c>
      <c r="U669" s="30" t="inlineStr">
        <is>
          <t>BBB+</t>
        </is>
      </c>
      <c r="V669" s="30" t="n"/>
    </row>
    <row r="670">
      <c r="A670" s="30" t="inlineStr">
        <is>
          <t>BE0000304130</t>
        </is>
      </c>
      <c r="B670" s="30" t="inlineStr">
        <is>
          <t>Hold</t>
        </is>
      </c>
      <c r="C670" s="30" t="inlineStr">
        <is>
          <t>Belgium Kingdom</t>
        </is>
      </c>
      <c r="D670" s="30" t="n">
        <v>5</v>
      </c>
      <c r="E670" s="30" t="inlineStr">
        <is>
          <t>Sr Unsecured</t>
        </is>
      </c>
      <c r="F670" s="30" t="inlineStr">
        <is>
          <t>28.03.2035</t>
        </is>
      </c>
      <c r="G670" s="30" t="inlineStr">
        <is>
          <t>Belgium</t>
        </is>
      </c>
      <c r="H670" s="30" t="inlineStr">
        <is>
          <t>Government</t>
        </is>
      </c>
      <c r="I670" s="30" t="n">
        <v>1e-05</v>
      </c>
      <c r="J670" s="30" t="n">
        <v>115.687</v>
      </c>
      <c r="K670" s="30" t="n">
        <v>3.103505</v>
      </c>
      <c r="L670" s="30" t="n">
        <v>0.055533</v>
      </c>
      <c r="M670" s="30" t="n">
        <v>0.10764</v>
      </c>
      <c r="N670" s="30" t="n">
        <v>29.1047967</v>
      </c>
      <c r="O670" s="30" t="n">
        <v>7.774292396</v>
      </c>
      <c r="P670" s="30" t="n">
        <v>85</v>
      </c>
      <c r="Q670" s="30" t="inlineStr">
        <is>
          <t>Belgium government bond</t>
        </is>
      </c>
      <c r="R670" s="30" t="inlineStr">
        <is>
          <t>EUR</t>
        </is>
      </c>
      <c r="S670" s="30" t="inlineStr">
        <is>
          <t>Investment Grade</t>
        </is>
      </c>
      <c r="T670" s="30" t="inlineStr">
        <is>
          <t>NR</t>
        </is>
      </c>
      <c r="U670" s="30" t="inlineStr">
        <is>
          <t>AA-</t>
        </is>
      </c>
      <c r="V670" s="30" t="n"/>
    </row>
    <row r="671">
      <c r="A671" s="30" t="inlineStr">
        <is>
          <t>XS2150006307</t>
        </is>
      </c>
      <c r="B671" s="30" t="inlineStr">
        <is>
          <t>Hold</t>
        </is>
      </c>
      <c r="C671" s="30" t="inlineStr">
        <is>
          <t>John Deere Cash Manageme</t>
        </is>
      </c>
      <c r="D671" s="30" t="n">
        <v>1.85</v>
      </c>
      <c r="E671" s="30" t="inlineStr">
        <is>
          <t>Sr Unsecured</t>
        </is>
      </c>
      <c r="F671" s="30" t="inlineStr">
        <is>
          <t>02.04.2028</t>
        </is>
      </c>
      <c r="G671" s="30" t="inlineStr">
        <is>
          <t>United states</t>
        </is>
      </c>
      <c r="H671" s="30" t="inlineStr">
        <is>
          <t>Industrial</t>
        </is>
      </c>
      <c r="I671" s="30" t="n">
        <v>100</v>
      </c>
      <c r="J671" s="30" t="n">
        <v>98.958</v>
      </c>
      <c r="K671" s="30" t="n">
        <v>2.244874</v>
      </c>
      <c r="L671" s="30" t="n">
        <v>-0.039314</v>
      </c>
      <c r="M671" s="30" t="n">
        <v>-0.060349</v>
      </c>
      <c r="N671" s="30" t="n">
        <v>28.59166351</v>
      </c>
      <c r="O671" s="30" t="n">
        <v>2.916517881</v>
      </c>
      <c r="P671" s="30" t="n">
        <v>80</v>
      </c>
      <c r="Q671" s="30" t="inlineStr">
        <is>
          <t>Manufactures agricultural machinery and parts</t>
        </is>
      </c>
      <c r="R671" s="30" t="inlineStr">
        <is>
          <t>EUR</t>
        </is>
      </c>
      <c r="S671" s="30" t="inlineStr">
        <is>
          <t>Investment Grade</t>
        </is>
      </c>
      <c r="T671" s="30" t="inlineStr">
        <is>
          <t>A</t>
        </is>
      </c>
      <c r="U671" s="30" t="inlineStr">
        <is>
          <t>A</t>
        </is>
      </c>
      <c r="V671" s="30" t="n"/>
    </row>
    <row r="672">
      <c r="A672" s="30" t="inlineStr">
        <is>
          <t>XS2976491592</t>
        </is>
      </c>
      <c r="B672" s="30" t="inlineStr">
        <is>
          <t xml:space="preserve">Hold </t>
        </is>
      </c>
      <c r="C672" s="30" t="inlineStr">
        <is>
          <t>Nordic Investment Bank</t>
        </is>
      </c>
      <c r="D672" s="30" t="n">
        <v>4.5</v>
      </c>
      <c r="E672" s="30" t="inlineStr">
        <is>
          <t>Sr Unsecured</t>
        </is>
      </c>
      <c r="F672" s="30" t="inlineStr">
        <is>
          <t>31.01.2028</t>
        </is>
      </c>
      <c r="G672" s="30" t="inlineStr">
        <is>
          <t>Supranational</t>
        </is>
      </c>
      <c r="H672" s="30" t="inlineStr">
        <is>
          <t>Government</t>
        </is>
      </c>
      <c r="I672" s="30" t="n">
        <v>1</v>
      </c>
      <c r="J672" s="30" t="n">
        <v>101.039</v>
      </c>
      <c r="K672" s="30" t="n">
        <v>4.014163</v>
      </c>
      <c r="L672" s="30" t="n">
        <v>0.016743</v>
      </c>
      <c r="M672" s="30" t="n">
        <v>-0.116652</v>
      </c>
      <c r="N672" s="30" t="n">
        <v>28.57600922</v>
      </c>
      <c r="O672" s="30" t="n">
        <v>2.687274949</v>
      </c>
      <c r="P672" s="30" t="n">
        <v>0</v>
      </c>
      <c r="Q672" s="30" t="inlineStr">
        <is>
          <t>Provides banking and financial services</t>
        </is>
      </c>
      <c r="R672" s="30" t="inlineStr">
        <is>
          <t>GBP</t>
        </is>
      </c>
      <c r="S672" s="30" t="inlineStr">
        <is>
          <t>Investment Grade</t>
        </is>
      </c>
      <c r="T672" s="30" t="inlineStr">
        <is>
          <t>AAA</t>
        </is>
      </c>
      <c r="U672" s="30" t="inlineStr">
        <is>
          <t>AAA</t>
        </is>
      </c>
      <c r="V672" s="30" t="n"/>
    </row>
    <row r="673">
      <c r="A673" s="30" t="inlineStr">
        <is>
          <t>US713448FS27</t>
        </is>
      </c>
      <c r="B673" s="30" t="inlineStr">
        <is>
          <t xml:space="preserve">Top pick </t>
        </is>
      </c>
      <c r="C673" s="30" t="inlineStr">
        <is>
          <t>Pepsico Inc</t>
        </is>
      </c>
      <c r="D673" s="30" t="n">
        <v>4.45</v>
      </c>
      <c r="E673" s="30" t="inlineStr">
        <is>
          <t>Sr Unsecured</t>
        </is>
      </c>
      <c r="F673" s="30" t="inlineStr">
        <is>
          <t>15.02.2033</t>
        </is>
      </c>
      <c r="G673" s="30" t="inlineStr">
        <is>
          <t>United states</t>
        </is>
      </c>
      <c r="H673" s="30" t="inlineStr">
        <is>
          <t>Consumer, Non-cyclical</t>
        </is>
      </c>
      <c r="I673" s="30" t="n">
        <v>2</v>
      </c>
      <c r="J673" s="30" t="n">
        <v>99.765</v>
      </c>
      <c r="K673" s="30" t="n">
        <v>4.486189</v>
      </c>
      <c r="L673" s="30" t="n">
        <v>0.005736</v>
      </c>
      <c r="M673" s="30" t="n">
        <v>-0.075742</v>
      </c>
      <c r="N673" s="30" t="n">
        <v>28.5229716</v>
      </c>
      <c r="O673" s="30" t="n">
        <v>6.63958379</v>
      </c>
      <c r="P673" s="30" t="n">
        <v>80</v>
      </c>
      <c r="Q673" s="30" t="inlineStr">
        <is>
          <t>One of the world leaders in snack foods and beverages</t>
        </is>
      </c>
      <c r="R673" s="30" t="inlineStr">
        <is>
          <t>USD</t>
        </is>
      </c>
      <c r="S673" s="30" t="inlineStr">
        <is>
          <t>Investment Grade</t>
        </is>
      </c>
      <c r="T673" s="30" t="inlineStr">
        <is>
          <t>A+</t>
        </is>
      </c>
      <c r="U673" s="30" t="inlineStr">
        <is>
          <t>A+</t>
        </is>
      </c>
      <c r="V673" s="30" t="n"/>
    </row>
    <row r="674">
      <c r="A674" s="30" t="inlineStr">
        <is>
          <t>XS2980761014</t>
        </is>
      </c>
      <c r="B674" s="30" t="inlineStr">
        <is>
          <t xml:space="preserve">Hold </t>
        </is>
      </c>
      <c r="C674" s="30" t="inlineStr">
        <is>
          <t>Province Of Quebec</t>
        </is>
      </c>
      <c r="D674" s="30" t="n">
        <v>4.75</v>
      </c>
      <c r="E674" s="30" t="inlineStr">
        <is>
          <t>Sr Unsecured</t>
        </is>
      </c>
      <c r="F674" s="30" t="inlineStr">
        <is>
          <t>22.01.2030</t>
        </is>
      </c>
      <c r="G674" s="30" t="inlineStr">
        <is>
          <t>Canada</t>
        </is>
      </c>
      <c r="H674" s="30" t="inlineStr">
        <is>
          <t>Government</t>
        </is>
      </c>
      <c r="I674" s="30" t="n">
        <v>100</v>
      </c>
      <c r="J674" s="30" t="n">
        <v>102.151</v>
      </c>
      <c r="K674" s="30" t="n">
        <v>4.170182</v>
      </c>
      <c r="L674" s="30" t="n">
        <v>0.026619</v>
      </c>
      <c r="M674" s="30" t="n">
        <v>-0.134668</v>
      </c>
      <c r="N674" s="30" t="n">
        <v>28.24456821</v>
      </c>
      <c r="O674" s="30" t="n">
        <v>4.282661905</v>
      </c>
      <c r="P674" s="30" t="n">
        <v>0</v>
      </c>
      <c r="Q674" s="30" t="inlineStr">
        <is>
          <t>Province of Quebec (Canada)</t>
        </is>
      </c>
      <c r="R674" s="30" t="inlineStr">
        <is>
          <t>GBP</t>
        </is>
      </c>
      <c r="S674" s="30" t="inlineStr">
        <is>
          <t>Investment Grade</t>
        </is>
      </c>
      <c r="T674" s="30" t="inlineStr">
        <is>
          <t>AA-</t>
        </is>
      </c>
      <c r="U674" s="30" t="inlineStr">
        <is>
          <t>AA-</t>
        </is>
      </c>
      <c r="V674" s="30" t="n"/>
    </row>
    <row r="675">
      <c r="A675" s="30" t="inlineStr">
        <is>
          <t>XS1885608817</t>
        </is>
      </c>
      <c r="B675" s="30" t="inlineStr">
        <is>
          <t>Hold</t>
        </is>
      </c>
      <c r="C675" s="30" t="inlineStr">
        <is>
          <t>Deutsche Bahn Fin Gmbh</t>
        </is>
      </c>
      <c r="D675" s="30" t="n">
        <v>1.375</v>
      </c>
      <c r="E675" s="30" t="inlineStr">
        <is>
          <t>Sr Unsecured</t>
        </is>
      </c>
      <c r="F675" s="30" t="inlineStr">
        <is>
          <t>28.03.2031</t>
        </is>
      </c>
      <c r="G675" s="30" t="inlineStr">
        <is>
          <t>Germany</t>
        </is>
      </c>
      <c r="H675" s="30" t="inlineStr">
        <is>
          <t>Industrial</t>
        </is>
      </c>
      <c r="I675" s="30" t="n">
        <v>1</v>
      </c>
      <c r="J675" s="30" t="n">
        <v>93.09099999999999</v>
      </c>
      <c r="K675" s="30" t="n">
        <v>2.69436</v>
      </c>
      <c r="L675" s="30" t="n">
        <v>-0.021499</v>
      </c>
      <c r="M675" s="30" t="n">
        <v>-0.002049</v>
      </c>
      <c r="N675" s="30" t="n">
        <v>28.03933254</v>
      </c>
      <c r="O675" s="30" t="n">
        <v>5.635929115</v>
      </c>
      <c r="P675" s="30" t="n">
        <v>85</v>
      </c>
      <c r="Q675" s="30" t="inlineStr">
        <is>
          <t>Operates as a transportation company</t>
        </is>
      </c>
      <c r="R675" s="30" t="inlineStr">
        <is>
          <t>EUR</t>
        </is>
      </c>
      <c r="S675" s="30" t="inlineStr">
        <is>
          <t>Investment Grade</t>
        </is>
      </c>
      <c r="T675" s="30" t="inlineStr">
        <is>
          <t>AA</t>
        </is>
      </c>
      <c r="U675" s="30" t="inlineStr">
        <is>
          <t>AA</t>
        </is>
      </c>
      <c r="V675" s="30" t="n"/>
    </row>
    <row r="676">
      <c r="A676" s="30" t="inlineStr">
        <is>
          <t>US02079KAE73</t>
        </is>
      </c>
      <c r="B676" s="30" t="inlineStr">
        <is>
          <t>Hold</t>
        </is>
      </c>
      <c r="C676" s="30" t="inlineStr">
        <is>
          <t>Alphabet Inc</t>
        </is>
      </c>
      <c r="D676" s="30" t="n">
        <v>1.9</v>
      </c>
      <c r="E676" s="30" t="inlineStr">
        <is>
          <t>Sr Unsecured</t>
        </is>
      </c>
      <c r="F676" s="30" t="inlineStr">
        <is>
          <t>15.08.2040</t>
        </is>
      </c>
      <c r="G676" s="30" t="inlineStr">
        <is>
          <t>United states</t>
        </is>
      </c>
      <c r="H676" s="30" t="inlineStr">
        <is>
          <t>Communications</t>
        </is>
      </c>
      <c r="I676" s="30" t="n">
        <v>2</v>
      </c>
      <c r="J676" s="30" t="n">
        <v>66.788</v>
      </c>
      <c r="K676" s="30" t="n">
        <v>5.074658</v>
      </c>
      <c r="L676" s="30" t="n">
        <v>-0.026366</v>
      </c>
      <c r="M676" s="30" t="n">
        <v>-0.133693</v>
      </c>
      <c r="N676" s="30" t="n">
        <v>27.75616188</v>
      </c>
      <c r="O676" s="30" t="n">
        <v>12.56196444</v>
      </c>
      <c r="P676" s="30" t="n">
        <v>85</v>
      </c>
      <c r="Q676" s="30" t="inlineStr">
        <is>
          <t>World's leading internet search engine</t>
        </is>
      </c>
      <c r="R676" s="30" t="inlineStr">
        <is>
          <t>USD</t>
        </is>
      </c>
      <c r="S676" s="30" t="inlineStr">
        <is>
          <t>Investment Grade</t>
        </is>
      </c>
      <c r="T676" s="30" t="inlineStr">
        <is>
          <t>AA</t>
        </is>
      </c>
      <c r="U676" s="30" t="inlineStr">
        <is>
          <t>AA</t>
        </is>
      </c>
      <c r="V676" s="30" t="n"/>
    </row>
    <row r="677">
      <c r="A677" s="30" t="inlineStr">
        <is>
          <t>XS0330497149</t>
        </is>
      </c>
      <c r="B677" s="30" t="inlineStr">
        <is>
          <t>Hold</t>
        </is>
      </c>
      <c r="C677" s="30" t="inlineStr">
        <is>
          <t>Astrazeneca Plc</t>
        </is>
      </c>
      <c r="D677" s="30" t="n">
        <v>5.75</v>
      </c>
      <c r="E677" s="30" t="inlineStr">
        <is>
          <t>Sr Unsecured</t>
        </is>
      </c>
      <c r="F677" s="30" t="inlineStr">
        <is>
          <t>13.11.2031</t>
        </is>
      </c>
      <c r="G677" s="30" t="inlineStr">
        <is>
          <t>United Kingdom</t>
        </is>
      </c>
      <c r="H677" s="30" t="inlineStr">
        <is>
          <t>Consumer, Non-cyclical</t>
        </is>
      </c>
      <c r="I677" s="30" t="n">
        <v>50</v>
      </c>
      <c r="J677" s="30" t="n">
        <v>107.187</v>
      </c>
      <c r="K677" s="30" t="n">
        <v>4.374044</v>
      </c>
      <c r="L677" s="30" t="n">
        <v>0.007552</v>
      </c>
      <c r="M677" s="30" t="n">
        <v>-0.212464</v>
      </c>
      <c r="N677" s="30" t="n">
        <v>27.04539467</v>
      </c>
      <c r="O677" s="30" t="n">
        <v>5.461750436</v>
      </c>
      <c r="P677" s="30" t="n">
        <v>80</v>
      </c>
      <c r="Q677" s="30" t="inlineStr">
        <is>
          <t xml:space="preserve">Anglo-Swedish multinational pharmaceutical company </t>
        </is>
      </c>
      <c r="R677" s="30" t="inlineStr">
        <is>
          <t>GBP</t>
        </is>
      </c>
      <c r="S677" s="30" t="inlineStr">
        <is>
          <t>Investment Grade</t>
        </is>
      </c>
      <c r="T677" s="30" t="inlineStr">
        <is>
          <t>A+</t>
        </is>
      </c>
      <c r="U677" s="30" t="inlineStr">
        <is>
          <t>A</t>
        </is>
      </c>
      <c r="V677" s="30" t="n"/>
    </row>
    <row r="678">
      <c r="A678" s="30" t="inlineStr">
        <is>
          <t>CH0425766539</t>
        </is>
      </c>
      <c r="B678" s="30" t="inlineStr">
        <is>
          <t>Hold</t>
        </is>
      </c>
      <c r="C678" s="30" t="inlineStr">
        <is>
          <t>Totalenergies Cap Intl</t>
        </is>
      </c>
      <c r="D678" s="30" t="n">
        <v>0.288</v>
      </c>
      <c r="E678" s="30" t="inlineStr">
        <is>
          <t>Sr Unsecured</t>
        </is>
      </c>
      <c r="F678" s="30" t="inlineStr">
        <is>
          <t>13.07.2026</t>
        </is>
      </c>
      <c r="G678" s="30" t="inlineStr">
        <is>
          <t>France</t>
        </is>
      </c>
      <c r="H678" s="30" t="inlineStr">
        <is>
          <t>Energy</t>
        </is>
      </c>
      <c r="I678" s="30" t="n">
        <v>5</v>
      </c>
      <c r="J678" s="30" t="n">
        <v>100.094</v>
      </c>
      <c r="K678" s="30" t="n">
        <v>0.194848</v>
      </c>
      <c r="L678" s="30" t="n">
        <v>-0.020597</v>
      </c>
      <c r="M678" s="30" t="n">
        <v>0.080706</v>
      </c>
      <c r="N678" s="30" t="n">
        <v>26.78990129</v>
      </c>
      <c r="O678" s="30" t="n">
        <v>1.378300453</v>
      </c>
      <c r="P678" s="30" t="n">
        <v>80</v>
      </c>
      <c r="Q678" s="30" t="inlineStr">
        <is>
          <t>One of the largest oil companies of the world</t>
        </is>
      </c>
      <c r="R678" s="30" t="inlineStr">
        <is>
          <t>CHF</t>
        </is>
      </c>
      <c r="S678" s="30" t="inlineStr">
        <is>
          <t>Investment Grade</t>
        </is>
      </c>
      <c r="T678" s="30" t="inlineStr">
        <is>
          <t>A+</t>
        </is>
      </c>
      <c r="U678" s="30" t="inlineStr">
        <is>
          <t>A+</t>
        </is>
      </c>
      <c r="V678" s="30" t="n"/>
    </row>
    <row r="679">
      <c r="A679" s="30" t="inlineStr">
        <is>
          <t>US713448EL82</t>
        </is>
      </c>
      <c r="B679" s="30" t="inlineStr">
        <is>
          <t>Hold</t>
        </is>
      </c>
      <c r="C679" s="30" t="inlineStr">
        <is>
          <t>Pepsico Inc</t>
        </is>
      </c>
      <c r="D679" s="30" t="n">
        <v>2.625</v>
      </c>
      <c r="E679" s="30" t="inlineStr">
        <is>
          <t>Sr Unsecured</t>
        </is>
      </c>
      <c r="F679" s="30" t="inlineStr">
        <is>
          <t>29.07.2029</t>
        </is>
      </c>
      <c r="G679" s="30" t="inlineStr">
        <is>
          <t>United states</t>
        </is>
      </c>
      <c r="H679" s="30" t="inlineStr">
        <is>
          <t>Consumer, Non-cyclical</t>
        </is>
      </c>
      <c r="I679" s="30" t="n">
        <v>2</v>
      </c>
      <c r="J679" s="30" t="n">
        <v>94.31399999999999</v>
      </c>
      <c r="K679" s="30" t="n">
        <v>4.161694</v>
      </c>
      <c r="L679" s="30" t="n">
        <v>0.035194</v>
      </c>
      <c r="M679" s="30" t="n">
        <v>-0.122926</v>
      </c>
      <c r="N679" s="30" t="n">
        <v>26.50708687</v>
      </c>
      <c r="O679" s="30" t="n">
        <v>4.106540542</v>
      </c>
      <c r="P679" s="30" t="n">
        <v>80</v>
      </c>
      <c r="Q679" s="30" t="inlineStr">
        <is>
          <t>One of the world leaders in snack foods and beverages</t>
        </is>
      </c>
      <c r="R679" s="30" t="inlineStr">
        <is>
          <t>USD</t>
        </is>
      </c>
      <c r="S679" s="30" t="inlineStr">
        <is>
          <t>Investment Grade</t>
        </is>
      </c>
      <c r="T679" s="30" t="inlineStr">
        <is>
          <t>A+</t>
        </is>
      </c>
      <c r="U679" s="30" t="inlineStr">
        <is>
          <t>A+</t>
        </is>
      </c>
      <c r="V679" s="30" t="n"/>
    </row>
    <row r="680">
      <c r="A680" s="30" t="inlineStr">
        <is>
          <t>US66989HAR93</t>
        </is>
      </c>
      <c r="B680" s="30" t="inlineStr">
        <is>
          <t>Hold</t>
        </is>
      </c>
      <c r="C680" s="30" t="inlineStr">
        <is>
          <t>Novartis Capital Corp</t>
        </is>
      </c>
      <c r="D680" s="30" t="n">
        <v>2.2</v>
      </c>
      <c r="E680" s="30" t="inlineStr">
        <is>
          <t>Sr Unsecured</t>
        </is>
      </c>
      <c r="F680" s="30" t="inlineStr">
        <is>
          <t>14.08.2030</t>
        </is>
      </c>
      <c r="G680" s="30" t="inlineStr">
        <is>
          <t>United states</t>
        </is>
      </c>
      <c r="H680" s="30" t="inlineStr">
        <is>
          <t>Consumer, Non-cyclical</t>
        </is>
      </c>
      <c r="I680" s="30" t="n">
        <v>2</v>
      </c>
      <c r="J680" s="30" t="n">
        <v>90.86</v>
      </c>
      <c r="K680" s="30" t="n">
        <v>4.209741</v>
      </c>
      <c r="L680" s="30" t="n">
        <v>0.016356</v>
      </c>
      <c r="M680" s="30" t="n">
        <v>-0.155038</v>
      </c>
      <c r="N680" s="30" t="n">
        <v>26.48533968</v>
      </c>
      <c r="O680" s="30" t="n">
        <v>5.047340759</v>
      </c>
      <c r="P680" s="30" t="n">
        <v>85</v>
      </c>
      <c r="Q680" s="30" t="inlineStr">
        <is>
          <t>Global pharmaceutical company</t>
        </is>
      </c>
      <c r="R680" s="30" t="inlineStr">
        <is>
          <t>USD</t>
        </is>
      </c>
      <c r="S680" s="30" t="inlineStr">
        <is>
          <t>Investment Grade</t>
        </is>
      </c>
      <c r="T680" s="30" t="inlineStr">
        <is>
          <t>AA-</t>
        </is>
      </c>
      <c r="U680" s="30" t="inlineStr">
        <is>
          <t>AA-</t>
        </is>
      </c>
      <c r="V680" s="30" t="n"/>
    </row>
    <row r="681">
      <c r="A681" s="30" t="inlineStr">
        <is>
          <t>US046353AT52</t>
        </is>
      </c>
      <c r="B681" s="30" t="inlineStr">
        <is>
          <t>Hold</t>
        </is>
      </c>
      <c r="C681" s="30" t="inlineStr">
        <is>
          <t>Astrazeneca Plc</t>
        </is>
      </c>
      <c r="D681" s="30" t="n">
        <v>4</v>
      </c>
      <c r="E681" s="30" t="inlineStr">
        <is>
          <t>Sr Unsecured</t>
        </is>
      </c>
      <c r="F681" s="30" t="inlineStr">
        <is>
          <t>17.01.2029</t>
        </is>
      </c>
      <c r="G681" s="30" t="inlineStr">
        <is>
          <t>United Kingdom</t>
        </is>
      </c>
      <c r="H681" s="30" t="inlineStr">
        <is>
          <t>Consumer, Non-cyclical</t>
        </is>
      </c>
      <c r="I681" s="30" t="n">
        <v>2</v>
      </c>
      <c r="J681" s="30" t="n">
        <v>99.44499999999999</v>
      </c>
      <c r="K681" s="30" t="n">
        <v>4.170634</v>
      </c>
      <c r="L681" s="30" t="n">
        <v>0.021147</v>
      </c>
      <c r="M681" s="30" t="n">
        <v>-0.159443</v>
      </c>
      <c r="N681" s="30" t="n">
        <v>26.44608133</v>
      </c>
      <c r="O681" s="30" t="n">
        <v>3.555113619</v>
      </c>
      <c r="P681" s="30" t="n">
        <v>85</v>
      </c>
      <c r="Q681" s="30" t="inlineStr">
        <is>
          <t>Anglo-Swedish multinational pharmaceutical company</t>
        </is>
      </c>
      <c r="R681" s="30" t="inlineStr">
        <is>
          <t>USD</t>
        </is>
      </c>
      <c r="S681" s="30" t="inlineStr">
        <is>
          <t>Investment Grade</t>
        </is>
      </c>
      <c r="T681" s="30" t="inlineStr">
        <is>
          <t>A+</t>
        </is>
      </c>
      <c r="U681" s="30" t="inlineStr">
        <is>
          <t>A</t>
        </is>
      </c>
      <c r="V681" s="30" t="n"/>
    </row>
    <row r="682">
      <c r="A682" s="30" t="inlineStr">
        <is>
          <t>XS2592088236</t>
        </is>
      </c>
      <c r="B682" s="30" t="inlineStr">
        <is>
          <t>Hold</t>
        </is>
      </c>
      <c r="C682" s="30" t="inlineStr">
        <is>
          <t>Roche Finance Europe Bv</t>
        </is>
      </c>
      <c r="D682" s="30" t="n">
        <v>3.204</v>
      </c>
      <c r="E682" s="30" t="inlineStr">
        <is>
          <t>Sr Unsecured</t>
        </is>
      </c>
      <c r="F682" s="30" t="inlineStr">
        <is>
          <t>27.08.2029</t>
        </is>
      </c>
      <c r="G682" s="30" t="inlineStr">
        <is>
          <t>United states</t>
        </is>
      </c>
      <c r="H682" s="30" t="inlineStr">
        <is>
          <t>Consumer, Non-cyclical</t>
        </is>
      </c>
      <c r="I682" s="30" t="n">
        <v>100</v>
      </c>
      <c r="J682" s="30" t="n">
        <v>102.879</v>
      </c>
      <c r="K682" s="30" t="n">
        <v>2.418835</v>
      </c>
      <c r="L682" s="30" t="n">
        <v>-0.056087</v>
      </c>
      <c r="M682" s="30" t="n">
        <v>-0.041544</v>
      </c>
      <c r="N682" s="30" t="n">
        <v>25.92583219</v>
      </c>
      <c r="O682" s="30" t="n">
        <v>3.882314218</v>
      </c>
      <c r="P682" s="30" t="n">
        <v>85</v>
      </c>
      <c r="Q682" s="30" t="inlineStr">
        <is>
          <t>One of the leading global pharmaceutical companys</t>
        </is>
      </c>
      <c r="R682" s="30" t="inlineStr">
        <is>
          <t>EUR</t>
        </is>
      </c>
      <c r="S682" s="30" t="inlineStr">
        <is>
          <t>Investment Grade</t>
        </is>
      </c>
      <c r="T682" s="30" t="inlineStr">
        <is>
          <t>AA</t>
        </is>
      </c>
      <c r="U682" s="30" t="inlineStr">
        <is>
          <t>AA</t>
        </is>
      </c>
      <c r="V682" s="30" t="n"/>
    </row>
    <row r="683">
      <c r="A683" s="30" t="inlineStr">
        <is>
          <t>US882508BL77</t>
        </is>
      </c>
      <c r="B683" s="30" t="inlineStr">
        <is>
          <t>Hold</t>
        </is>
      </c>
      <c r="C683" s="30" t="inlineStr">
        <is>
          <t>Texas Instruments Inc</t>
        </is>
      </c>
      <c r="D683" s="30" t="n">
        <v>1.9</v>
      </c>
      <c r="E683" s="30" t="inlineStr">
        <is>
          <t>Sr Unsecured</t>
        </is>
      </c>
      <c r="F683" s="30" t="inlineStr">
        <is>
          <t>15.09.2031</t>
        </is>
      </c>
      <c r="G683" s="30" t="inlineStr">
        <is>
          <t>United states</t>
        </is>
      </c>
      <c r="H683" s="30" t="inlineStr">
        <is>
          <t>Technology</t>
        </is>
      </c>
      <c r="I683" s="30" t="n">
        <v>2</v>
      </c>
      <c r="J683" s="30" t="n">
        <v>86.96299999999999</v>
      </c>
      <c r="K683" s="30" t="n">
        <v>4.323999</v>
      </c>
      <c r="L683" s="30" t="n">
        <v>0.034776</v>
      </c>
      <c r="M683" s="30" t="n">
        <v>-0.148347</v>
      </c>
      <c r="N683" s="30" t="n">
        <v>25.88783588</v>
      </c>
      <c r="O683" s="30" t="n">
        <v>5.962507166</v>
      </c>
      <c r="P683" s="30" t="n">
        <v>75</v>
      </c>
      <c r="Q683" s="30" t="inlineStr">
        <is>
          <t>Worldwide semiconductor design and manufacturing company</t>
        </is>
      </c>
      <c r="R683" s="30" t="inlineStr">
        <is>
          <t>USD</t>
        </is>
      </c>
      <c r="S683" s="30" t="inlineStr">
        <is>
          <t>Investment Grade</t>
        </is>
      </c>
      <c r="T683" s="30" t="inlineStr">
        <is>
          <t>A+</t>
        </is>
      </c>
      <c r="U683" s="30" t="inlineStr">
        <is>
          <t>A+</t>
        </is>
      </c>
      <c r="V683" s="30" t="n"/>
    </row>
    <row r="684">
      <c r="A684" s="30" t="inlineStr">
        <is>
          <t>XS1508566392</t>
        </is>
      </c>
      <c r="B684" s="30" t="inlineStr">
        <is>
          <t>Hold</t>
        </is>
      </c>
      <c r="C684" s="30" t="inlineStr">
        <is>
          <t>Republic Of Poland</t>
        </is>
      </c>
      <c r="D684" s="30" t="n">
        <v>1</v>
      </c>
      <c r="E684" s="30" t="inlineStr">
        <is>
          <t>Sr Unsecured</t>
        </is>
      </c>
      <c r="F684" s="30" t="inlineStr">
        <is>
          <t>25.10.2028</t>
        </is>
      </c>
      <c r="G684" s="30" t="inlineStr">
        <is>
          <t>Poland</t>
        </is>
      </c>
      <c r="H684" s="30" t="inlineStr">
        <is>
          <t>Government</t>
        </is>
      </c>
      <c r="I684" s="30" t="n">
        <v>1</v>
      </c>
      <c r="J684" s="30" t="n">
        <v>95.92</v>
      </c>
      <c r="K684" s="30" t="n">
        <v>2.298969</v>
      </c>
      <c r="L684" s="30" t="n">
        <v>-0.009108</v>
      </c>
      <c r="M684" s="30" t="n">
        <v>-0.05524</v>
      </c>
      <c r="N684" s="30" t="n">
        <v>25.73323429</v>
      </c>
      <c r="O684" s="30" t="n">
        <v>3.52081083</v>
      </c>
      <c r="P684" s="30" t="n">
        <v>80</v>
      </c>
      <c r="Q684" s="30" t="inlineStr">
        <is>
          <t>Poland government bond</t>
        </is>
      </c>
      <c r="R684" s="30" t="inlineStr">
        <is>
          <t>EUR</t>
        </is>
      </c>
      <c r="S684" s="30" t="inlineStr">
        <is>
          <t>Investment Grade</t>
        </is>
      </c>
      <c r="T684" s="30" t="inlineStr">
        <is>
          <t>A-</t>
        </is>
      </c>
      <c r="U684" s="30" t="inlineStr">
        <is>
          <t>A-</t>
        </is>
      </c>
      <c r="V684" s="30" t="n"/>
    </row>
    <row r="685">
      <c r="A685" s="30" t="inlineStr">
        <is>
          <t>US00440KAA16</t>
        </is>
      </c>
      <c r="B685" s="30" t="inlineStr">
        <is>
          <t>Hold</t>
        </is>
      </c>
      <c r="C685" s="30" t="inlineStr">
        <is>
          <t>Accenture Capital Inc</t>
        </is>
      </c>
      <c r="D685" s="30" t="n">
        <v>3.9</v>
      </c>
      <c r="E685" s="30" t="inlineStr">
        <is>
          <t>Sr Unsecured</t>
        </is>
      </c>
      <c r="F685" s="30" t="inlineStr">
        <is>
          <t>04.10.2027</t>
        </is>
      </c>
      <c r="G685" s="30" t="inlineStr">
        <is>
          <t>United states</t>
        </is>
      </c>
      <c r="H685" s="30" t="inlineStr">
        <is>
          <t>Technology</t>
        </is>
      </c>
      <c r="I685" s="30" t="n">
        <v>2</v>
      </c>
      <c r="J685" s="30" t="n">
        <v>99.509</v>
      </c>
      <c r="K685" s="30" t="n">
        <v>4.129506</v>
      </c>
      <c r="L685" s="30" t="n">
        <v>0.066285</v>
      </c>
      <c r="M685" s="30" t="n">
        <v>-0.08109</v>
      </c>
      <c r="N685" s="30" t="n">
        <v>25.67525966</v>
      </c>
      <c r="O685" s="30" t="n">
        <v>2.425154322</v>
      </c>
      <c r="P685" s="30" t="n">
        <v>0</v>
      </c>
      <c r="Q685" s="30" t="inlineStr">
        <is>
          <t xml:space="preserve">Largest global consultancy firm </t>
        </is>
      </c>
      <c r="R685" s="30" t="inlineStr">
        <is>
          <t>USD</t>
        </is>
      </c>
      <c r="S685" s="30" t="inlineStr">
        <is>
          <t>Investment Grade</t>
        </is>
      </c>
      <c r="T685" s="30" t="inlineStr">
        <is>
          <t>A+</t>
        </is>
      </c>
      <c r="U685" s="30" t="inlineStr">
        <is>
          <t>A+</t>
        </is>
      </c>
      <c r="V685" s="30" t="n"/>
    </row>
    <row r="686">
      <c r="A686" s="30" t="inlineStr">
        <is>
          <t>XS1865126343</t>
        </is>
      </c>
      <c r="B686" s="30" t="inlineStr">
        <is>
          <t>Hold</t>
        </is>
      </c>
      <c r="C686" s="30" t="inlineStr">
        <is>
          <t>Development Bk Of Japan</t>
        </is>
      </c>
      <c r="D686" s="30" t="n">
        <v>3.25</v>
      </c>
      <c r="E686" s="30" t="inlineStr">
        <is>
          <t>Sr Unsecured</t>
        </is>
      </c>
      <c r="F686" s="30" t="inlineStr">
        <is>
          <t>06.09.2028</t>
        </is>
      </c>
      <c r="G686" s="30" t="inlineStr">
        <is>
          <t>Japan</t>
        </is>
      </c>
      <c r="H686" s="30" t="inlineStr">
        <is>
          <t>Financial</t>
        </is>
      </c>
      <c r="I686" s="30" t="n">
        <v>200</v>
      </c>
      <c r="J686" s="30" t="n">
        <v>97.501</v>
      </c>
      <c r="K686" s="30" t="n">
        <v>4.100436</v>
      </c>
      <c r="L686" s="30" t="n">
        <v>0.136347</v>
      </c>
      <c r="M686" s="30" t="n">
        <v>-0.022019</v>
      </c>
      <c r="N686" s="30" t="n">
        <v>25.59185322</v>
      </c>
      <c r="O686" s="30" t="n">
        <v>3.236128612</v>
      </c>
      <c r="P686" s="30" t="n">
        <v>85</v>
      </c>
      <c r="Q686" s="30" t="inlineStr">
        <is>
          <t>Offers banking services</t>
        </is>
      </c>
      <c r="R686" s="30" t="inlineStr">
        <is>
          <t>USD</t>
        </is>
      </c>
      <c r="S686" s="30" t="inlineStr">
        <is>
          <t>Investment Grade</t>
        </is>
      </c>
      <c r="T686" s="30" t="inlineStr">
        <is>
          <t>A+</t>
        </is>
      </c>
      <c r="U686" s="30" t="inlineStr">
        <is>
          <t>A+</t>
        </is>
      </c>
      <c r="V686" s="30" t="n"/>
    </row>
    <row r="687">
      <c r="A687" s="30" t="inlineStr">
        <is>
          <t>BE6295393936</t>
        </is>
      </c>
      <c r="B687" s="30" t="inlineStr">
        <is>
          <t>Hold</t>
        </is>
      </c>
      <c r="C687" s="30" t="inlineStr">
        <is>
          <t>Anheuser-Busch Inbev Sa/</t>
        </is>
      </c>
      <c r="D687" s="30" t="n">
        <v>2.25</v>
      </c>
      <c r="E687" s="30" t="inlineStr">
        <is>
          <t>Sr Unsecured</t>
        </is>
      </c>
      <c r="F687" s="30" t="inlineStr">
        <is>
          <t>24.05.2029</t>
        </is>
      </c>
      <c r="G687" s="30" t="inlineStr">
        <is>
          <t>Belgium</t>
        </is>
      </c>
      <c r="H687" s="30" t="inlineStr">
        <is>
          <t>Consumer, Non-cyclical</t>
        </is>
      </c>
      <c r="I687" s="30" t="n">
        <v>1</v>
      </c>
      <c r="J687" s="30" t="n">
        <v>93.461</v>
      </c>
      <c r="K687" s="30" t="n">
        <v>4.067577</v>
      </c>
      <c r="L687" s="30" t="n">
        <v>0.011883</v>
      </c>
      <c r="M687" s="30" t="n">
        <v>-0.222417</v>
      </c>
      <c r="N687" s="30" t="n">
        <v>25.22490331</v>
      </c>
      <c r="O687" s="30" t="n">
        <v>3.846617969</v>
      </c>
      <c r="P687" s="30" t="n">
        <v>75</v>
      </c>
      <c r="Q687" s="30" t="inlineStr">
        <is>
          <t>the world's largest brewing company</t>
        </is>
      </c>
      <c r="R687" s="30" t="inlineStr">
        <is>
          <t>GBP</t>
        </is>
      </c>
      <c r="S687" s="30" t="inlineStr">
        <is>
          <t>Investment Grade</t>
        </is>
      </c>
      <c r="T687" s="30" t="inlineStr">
        <is>
          <t>A-</t>
        </is>
      </c>
      <c r="U687" s="30" t="inlineStr">
        <is>
          <t>A-</t>
        </is>
      </c>
      <c r="V687" s="30" t="n"/>
    </row>
    <row r="688">
      <c r="A688" s="30" t="inlineStr">
        <is>
          <t>US437076CH36</t>
        </is>
      </c>
      <c r="B688" s="30" t="inlineStr">
        <is>
          <t>Hold</t>
        </is>
      </c>
      <c r="C688" s="30" t="inlineStr">
        <is>
          <t>Home Depot Inc</t>
        </is>
      </c>
      <c r="D688" s="30" t="n">
        <v>1.5</v>
      </c>
      <c r="E688" s="30" t="inlineStr">
        <is>
          <t>Sr Unsecured</t>
        </is>
      </c>
      <c r="F688" s="30" t="inlineStr">
        <is>
          <t>15.09.2028</t>
        </is>
      </c>
      <c r="G688" s="30" t="inlineStr">
        <is>
          <t>United states</t>
        </is>
      </c>
      <c r="H688" s="30" t="inlineStr">
        <is>
          <t>Consumer, Cyclical</t>
        </is>
      </c>
      <c r="I688" s="30" t="n">
        <v>2</v>
      </c>
      <c r="J688" s="30" t="n">
        <v>92.32299999999999</v>
      </c>
      <c r="K688" s="30" t="n">
        <v>4.093851</v>
      </c>
      <c r="L688" s="30" t="n">
        <v>0.04076</v>
      </c>
      <c r="M688" s="30" t="n">
        <v>-0.09601700000000001</v>
      </c>
      <c r="N688" s="30" t="n">
        <v>24.89963624</v>
      </c>
      <c r="O688" s="30" t="n">
        <v>3.378476277</v>
      </c>
      <c r="P688" s="30" t="n">
        <v>80</v>
      </c>
      <c r="Q688" s="30" t="inlineStr">
        <is>
          <t>Home improvement retailer</t>
        </is>
      </c>
      <c r="R688" s="30" t="inlineStr">
        <is>
          <t>USD</t>
        </is>
      </c>
      <c r="S688" s="30" t="inlineStr">
        <is>
          <t>Investment Grade</t>
        </is>
      </c>
      <c r="T688" s="30" t="inlineStr">
        <is>
          <t>A</t>
        </is>
      </c>
      <c r="U688" s="30" t="inlineStr">
        <is>
          <t>A</t>
        </is>
      </c>
      <c r="V688" s="30" t="n"/>
    </row>
    <row r="689">
      <c r="A689" s="30" t="inlineStr">
        <is>
          <t>US741503AZ91</t>
        </is>
      </c>
      <c r="B689" s="30" t="inlineStr">
        <is>
          <t>Hold</t>
        </is>
      </c>
      <c r="C689" s="30" t="inlineStr">
        <is>
          <t>Booking Holdings Inc</t>
        </is>
      </c>
      <c r="D689" s="30" t="n">
        <v>3.6</v>
      </c>
      <c r="E689" s="30" t="inlineStr">
        <is>
          <t>Sr Unsecured</t>
        </is>
      </c>
      <c r="F689" s="30" t="inlineStr">
        <is>
          <t>01.06.2026</t>
        </is>
      </c>
      <c r="G689" s="30" t="inlineStr">
        <is>
          <t>United states</t>
        </is>
      </c>
      <c r="H689" s="30" t="inlineStr">
        <is>
          <t>Communications</t>
        </is>
      </c>
      <c r="I689" s="30" t="n">
        <v>2</v>
      </c>
      <c r="J689" s="30" t="n">
        <v>99.34999999999999</v>
      </c>
      <c r="K689" s="30" t="n">
        <v>4.342306</v>
      </c>
      <c r="L689" s="30" t="n">
        <v>-1e-05</v>
      </c>
      <c r="M689" s="30" t="n">
        <v>0.010979</v>
      </c>
      <c r="N689" s="30" t="n">
        <v>24.78034854</v>
      </c>
      <c r="O689" s="30" t="n">
        <v>1.223732595</v>
      </c>
      <c r="P689" s="30" t="n">
        <v>80</v>
      </c>
      <c r="Q689" s="30" t="inlineStr">
        <is>
          <t xml:space="preserve">Online travel company </t>
        </is>
      </c>
      <c r="R689" s="30" t="inlineStr">
        <is>
          <t>USD</t>
        </is>
      </c>
      <c r="S689" s="30" t="inlineStr">
        <is>
          <t>Investment Grade</t>
        </is>
      </c>
      <c r="T689" s="30" t="inlineStr">
        <is>
          <t>A-</t>
        </is>
      </c>
      <c r="U689" s="30" t="inlineStr">
        <is>
          <t>A-</t>
        </is>
      </c>
      <c r="V689" s="30" t="n"/>
    </row>
    <row r="690">
      <c r="A690" s="30" t="inlineStr">
        <is>
          <t>XS2347663507</t>
        </is>
      </c>
      <c r="B690" s="30" t="inlineStr">
        <is>
          <t>Hold</t>
        </is>
      </c>
      <c r="C690" s="30" t="inlineStr">
        <is>
          <t>Astrazeneca Plc</t>
        </is>
      </c>
      <c r="D690" s="30" t="n">
        <v>0.375</v>
      </c>
      <c r="E690" s="30" t="inlineStr">
        <is>
          <t>Sr Unsecured</t>
        </is>
      </c>
      <c r="F690" s="30" t="inlineStr">
        <is>
          <t>03.06.2029</t>
        </is>
      </c>
      <c r="G690" s="30" t="inlineStr">
        <is>
          <t>United Kingdom</t>
        </is>
      </c>
      <c r="H690" s="30" t="inlineStr">
        <is>
          <t>Consumer, Non-cyclical</t>
        </is>
      </c>
      <c r="I690" s="30" t="n">
        <v>100</v>
      </c>
      <c r="J690" s="30" t="n">
        <v>92.614</v>
      </c>
      <c r="K690" s="30" t="n">
        <v>2.381451</v>
      </c>
      <c r="L690" s="30" t="n">
        <v>-0.185698</v>
      </c>
      <c r="M690" s="30" t="n">
        <v>-0.240972</v>
      </c>
      <c r="N690" s="30" t="n">
        <v>24.64383776</v>
      </c>
      <c r="O690" s="30" t="n">
        <v>4.117158094</v>
      </c>
      <c r="P690" s="30" t="n">
        <v>80</v>
      </c>
      <c r="Q690" s="30" t="inlineStr">
        <is>
          <t>Anglo-Swedish multinational pharmaceutical company</t>
        </is>
      </c>
      <c r="R690" s="30" t="inlineStr">
        <is>
          <t>EUR</t>
        </is>
      </c>
      <c r="S690" s="30" t="inlineStr">
        <is>
          <t>Investment Grade</t>
        </is>
      </c>
      <c r="T690" s="30" t="inlineStr">
        <is>
          <t>A+</t>
        </is>
      </c>
      <c r="U690" s="30" t="inlineStr">
        <is>
          <t>A</t>
        </is>
      </c>
      <c r="V690" s="30" t="n"/>
    </row>
    <row r="691">
      <c r="A691" s="30" t="inlineStr">
        <is>
          <t>XS2292953069</t>
        </is>
      </c>
      <c r="B691" s="30" t="inlineStr">
        <is>
          <t>Hold</t>
        </is>
      </c>
      <c r="C691" s="30" t="inlineStr">
        <is>
          <t>Development Bk Of Japan</t>
        </is>
      </c>
      <c r="D691" s="30" t="n">
        <v>1.25</v>
      </c>
      <c r="E691" s="30" t="inlineStr">
        <is>
          <t>Sr Unsecured</t>
        </is>
      </c>
      <c r="F691" s="30" t="inlineStr">
        <is>
          <t>28.01.2031</t>
        </is>
      </c>
      <c r="G691" s="30" t="inlineStr">
        <is>
          <t>Japan</t>
        </is>
      </c>
      <c r="H691" s="30" t="inlineStr">
        <is>
          <t>Financial</t>
        </is>
      </c>
      <c r="I691" s="30" t="n">
        <v>200</v>
      </c>
      <c r="J691" s="30" t="n">
        <v>85.312</v>
      </c>
      <c r="K691" s="30" t="n">
        <v>4.247046</v>
      </c>
      <c r="L691" s="30" t="n">
        <v>0.10798</v>
      </c>
      <c r="M691" s="30" t="n">
        <v>-0.033037</v>
      </c>
      <c r="N691" s="30" t="n">
        <v>24.44220776</v>
      </c>
      <c r="O691" s="30" t="n">
        <v>5.56880815</v>
      </c>
      <c r="P691" s="30" t="n">
        <v>85</v>
      </c>
      <c r="Q691" s="30" t="inlineStr">
        <is>
          <t>Offers banking services</t>
        </is>
      </c>
      <c r="R691" s="30" t="inlineStr">
        <is>
          <t>USD</t>
        </is>
      </c>
      <c r="S691" s="30" t="inlineStr">
        <is>
          <t>Investment Grade</t>
        </is>
      </c>
      <c r="T691" s="30" t="inlineStr">
        <is>
          <t>A+</t>
        </is>
      </c>
      <c r="U691" s="30" t="inlineStr">
        <is>
          <t>A+</t>
        </is>
      </c>
      <c r="V691" s="30" t="n"/>
    </row>
    <row r="692">
      <c r="A692" s="30" t="inlineStr">
        <is>
          <t>US30303M8M79</t>
        </is>
      </c>
      <c r="B692" s="30" t="inlineStr">
        <is>
          <t>Top Pick</t>
        </is>
      </c>
      <c r="C692" s="30" t="inlineStr">
        <is>
          <t>Meta Platforms Inc</t>
        </is>
      </c>
      <c r="D692" s="30" t="n">
        <v>4.8</v>
      </c>
      <c r="E692" s="30" t="inlineStr">
        <is>
          <t>Sr Unsecured</t>
        </is>
      </c>
      <c r="F692" s="30" t="inlineStr">
        <is>
          <t>15.05.2030</t>
        </is>
      </c>
      <c r="G692" s="30" t="inlineStr">
        <is>
          <t>United states</t>
        </is>
      </c>
      <c r="H692" s="30" t="inlineStr">
        <is>
          <t>Communications</t>
        </is>
      </c>
      <c r="I692" s="30" t="n">
        <v>2</v>
      </c>
      <c r="J692" s="30" t="n">
        <v>102.644</v>
      </c>
      <c r="K692" s="30" t="n">
        <v>4.172829</v>
      </c>
      <c r="L692" s="30" t="n">
        <v>0.059747</v>
      </c>
      <c r="M692" s="30" t="n">
        <v>-0.081941</v>
      </c>
      <c r="N692" s="30" t="n">
        <v>23.73365181</v>
      </c>
      <c r="O692" s="30" t="n">
        <v>4.404395616</v>
      </c>
      <c r="P692" s="30" t="n">
        <v>80</v>
      </c>
      <c r="Q692" s="30" t="inlineStr">
        <is>
          <t>A social technology company</t>
        </is>
      </c>
      <c r="R692" s="30" t="inlineStr">
        <is>
          <t>USD</t>
        </is>
      </c>
      <c r="S692" s="30" t="inlineStr">
        <is>
          <t>Investment Grade</t>
        </is>
      </c>
      <c r="T692" s="30" t="inlineStr">
        <is>
          <t>AA-</t>
        </is>
      </c>
      <c r="U692" s="30" t="inlineStr">
        <is>
          <t>AA-</t>
        </is>
      </c>
      <c r="V692" s="30" t="n"/>
    </row>
    <row r="693">
      <c r="A693" s="30" t="inlineStr">
        <is>
          <t>XS0866588527</t>
        </is>
      </c>
      <c r="B693" s="30" t="inlineStr">
        <is>
          <t>Top Pick</t>
        </is>
      </c>
      <c r="C693" s="30" t="inlineStr">
        <is>
          <t>Glaxosmithkline Capital</t>
        </is>
      </c>
      <c r="D693" s="30" t="n">
        <v>3.375</v>
      </c>
      <c r="E693" s="30" t="inlineStr">
        <is>
          <t>Sr Unsecured</t>
        </is>
      </c>
      <c r="F693" s="30" t="inlineStr">
        <is>
          <t>20.12.2027</t>
        </is>
      </c>
      <c r="G693" s="30" t="inlineStr">
        <is>
          <t>United Kingdom</t>
        </is>
      </c>
      <c r="H693" s="30" t="inlineStr">
        <is>
          <t>Consumer, Non-cyclical</t>
        </is>
      </c>
      <c r="I693" s="30" t="n">
        <v>100</v>
      </c>
      <c r="J693" s="30" t="n">
        <v>98.551</v>
      </c>
      <c r="K693" s="30" t="n">
        <v>3.961842</v>
      </c>
      <c r="L693" s="30" t="n">
        <v>-0.009044</v>
      </c>
      <c r="M693" s="30" t="n">
        <v>-0.270209</v>
      </c>
      <c r="N693" s="30" t="n">
        <v>23.63765136</v>
      </c>
      <c r="O693" s="30" t="n">
        <v>2.611464317</v>
      </c>
      <c r="P693" s="30" t="n">
        <v>0</v>
      </c>
      <c r="Q693" s="30" t="inlineStr">
        <is>
          <t xml:space="preserve">Leading pharmaceutical and vaccine company  
</t>
        </is>
      </c>
      <c r="R693" s="30" t="inlineStr">
        <is>
          <t>GBP</t>
        </is>
      </c>
      <c r="S693" s="30" t="inlineStr">
        <is>
          <t>Investment Grade</t>
        </is>
      </c>
      <c r="T693" s="30" t="inlineStr">
        <is>
          <t>A</t>
        </is>
      </c>
      <c r="U693" s="30" t="inlineStr">
        <is>
          <t>A</t>
        </is>
      </c>
      <c r="V693" s="30" t="n"/>
    </row>
    <row r="694">
      <c r="A694" s="30" t="inlineStr">
        <is>
          <t>XS2982069788</t>
        </is>
      </c>
      <c r="B694" s="30" t="inlineStr">
        <is>
          <t xml:space="preserve">Hold </t>
        </is>
      </c>
      <c r="C694" s="30" t="inlineStr">
        <is>
          <t>African Development Bank</t>
        </is>
      </c>
      <c r="D694" s="30" t="n">
        <v>4.625</v>
      </c>
      <c r="E694" s="30" t="inlineStr">
        <is>
          <t>Sr Unsecured</t>
        </is>
      </c>
      <c r="F694" s="30" t="inlineStr">
        <is>
          <t>01.02.2028</t>
        </is>
      </c>
      <c r="G694" s="30" t="inlineStr">
        <is>
          <t>Supranational</t>
        </is>
      </c>
      <c r="H694" s="30" t="inlineStr">
        <is>
          <t>Government</t>
        </is>
      </c>
      <c r="I694" s="30" t="n">
        <v>1</v>
      </c>
      <c r="J694" s="30" t="n">
        <v>101.463</v>
      </c>
      <c r="K694" s="30" t="n">
        <v>3.964129</v>
      </c>
      <c r="L694" s="30" t="n">
        <v>0.032904</v>
      </c>
      <c r="M694" s="30" t="n">
        <v>-0.136352</v>
      </c>
      <c r="N694" s="30" t="n">
        <v>23.56040433</v>
      </c>
      <c r="O694" s="30" t="n">
        <v>2.687653752</v>
      </c>
      <c r="P694" s="30" t="n">
        <v>0</v>
      </c>
      <c r="Q694" s="30" t="inlineStr">
        <is>
          <t xml:space="preserve">A development bank </t>
        </is>
      </c>
      <c r="R694" s="30" t="inlineStr">
        <is>
          <t>GBP</t>
        </is>
      </c>
      <c r="S694" s="30" t="inlineStr">
        <is>
          <t>Investment Grade</t>
        </is>
      </c>
      <c r="T694" s="30" t="inlineStr">
        <is>
          <t>AAA</t>
        </is>
      </c>
      <c r="U694" s="30" t="inlineStr">
        <is>
          <t>AAA</t>
        </is>
      </c>
      <c r="V694" s="30" t="n"/>
    </row>
    <row r="695">
      <c r="A695" s="30" t="inlineStr">
        <is>
          <t>US24422EXZ77</t>
        </is>
      </c>
      <c r="B695" s="30" t="inlineStr">
        <is>
          <t>Top Pick</t>
        </is>
      </c>
      <c r="C695" s="30" t="inlineStr">
        <is>
          <t>John Deere Capital Corp</t>
        </is>
      </c>
      <c r="D695" s="30" t="n">
        <v>4.65</v>
      </c>
      <c r="E695" s="30" t="inlineStr">
        <is>
          <t>Sr Unsecured</t>
        </is>
      </c>
      <c r="F695" s="30" t="inlineStr">
        <is>
          <t>07.01.2028</t>
        </is>
      </c>
      <c r="G695" s="30" t="inlineStr">
        <is>
          <t>United states</t>
        </is>
      </c>
      <c r="H695" s="30" t="inlineStr">
        <is>
          <t>Industrial</t>
        </is>
      </c>
      <c r="I695" s="30" t="n">
        <v>1</v>
      </c>
      <c r="J695" s="30" t="n">
        <v>101.344</v>
      </c>
      <c r="K695" s="30" t="n">
        <v>4.078411</v>
      </c>
      <c r="L695" s="30" t="n">
        <v>0.045703</v>
      </c>
      <c r="M695" s="30" t="n">
        <v>-0.10491</v>
      </c>
      <c r="N695" s="30" t="n">
        <v>23.53036051</v>
      </c>
      <c r="O695" s="30" t="n">
        <v>2.654168625</v>
      </c>
      <c r="P695" s="30" t="n">
        <v>80</v>
      </c>
      <c r="Q695" s="30" t="inlineStr">
        <is>
          <t>Manufactures agricultural machinery and parts</t>
        </is>
      </c>
      <c r="R695" s="30" t="inlineStr">
        <is>
          <t>USD</t>
        </is>
      </c>
      <c r="S695" s="30" t="inlineStr">
        <is>
          <t>Investment Grade</t>
        </is>
      </c>
      <c r="T695" s="30" t="inlineStr">
        <is>
          <t>A</t>
        </is>
      </c>
      <c r="U695" s="30" t="inlineStr">
        <is>
          <t>A</t>
        </is>
      </c>
      <c r="V695" s="30" t="n"/>
    </row>
    <row r="696">
      <c r="A696" s="30" t="inlineStr">
        <is>
          <t>XS2972982917</t>
        </is>
      </c>
      <c r="B696" s="30" t="inlineStr">
        <is>
          <t xml:space="preserve">Hold </t>
        </is>
      </c>
      <c r="C696" s="30" t="inlineStr">
        <is>
          <t>Council Of Europe</t>
        </is>
      </c>
      <c r="D696" s="30" t="n">
        <v>4.375</v>
      </c>
      <c r="E696" s="30" t="inlineStr">
        <is>
          <t>Sr Unsecured</t>
        </is>
      </c>
      <c r="F696" s="30" t="inlineStr">
        <is>
          <t>09.01.2028</t>
        </is>
      </c>
      <c r="G696" s="30" t="inlineStr">
        <is>
          <t>Supranational</t>
        </is>
      </c>
      <c r="H696" s="30" t="inlineStr">
        <is>
          <t>Government</t>
        </is>
      </c>
      <c r="I696" s="30" t="n">
        <v>1</v>
      </c>
      <c r="J696" s="30" t="n">
        <v>100.874</v>
      </c>
      <c r="K696" s="30" t="n">
        <v>3.95331</v>
      </c>
      <c r="L696" s="30" t="n">
        <v>0.0313</v>
      </c>
      <c r="M696" s="30" t="n">
        <v>-0.105169</v>
      </c>
      <c r="N696" s="30" t="n">
        <v>22.64988875</v>
      </c>
      <c r="O696" s="30" t="n">
        <v>2.635581566</v>
      </c>
      <c r="P696" s="30" t="n">
        <v>0</v>
      </c>
      <c r="Q696" s="30" t="inlineStr">
        <is>
          <t xml:space="preserve">A development bank </t>
        </is>
      </c>
      <c r="R696" s="30" t="inlineStr">
        <is>
          <t>GBP</t>
        </is>
      </c>
      <c r="S696" s="30" t="inlineStr">
        <is>
          <t>Investment Grade</t>
        </is>
      </c>
      <c r="T696" s="30" t="inlineStr">
        <is>
          <t>AAA</t>
        </is>
      </c>
      <c r="U696" s="30" t="inlineStr">
        <is>
          <t>AAA</t>
        </is>
      </c>
      <c r="V696" s="30" t="n"/>
    </row>
    <row r="697">
      <c r="A697" s="30" t="inlineStr">
        <is>
          <t>XS1269176191</t>
        </is>
      </c>
      <c r="B697" s="30" t="inlineStr">
        <is>
          <t xml:space="preserve">Hold </t>
        </is>
      </c>
      <c r="C697" s="30" t="inlineStr">
        <is>
          <t>Apple Inc</t>
        </is>
      </c>
      <c r="D697" s="30" t="n">
        <v>3.6</v>
      </c>
      <c r="E697" s="30" t="inlineStr">
        <is>
          <t>Sr Unsecured</t>
        </is>
      </c>
      <c r="F697" s="30" t="inlineStr">
        <is>
          <t>31.07.2042</t>
        </is>
      </c>
      <c r="G697" s="30" t="inlineStr">
        <is>
          <t>United states</t>
        </is>
      </c>
      <c r="H697" s="30" t="inlineStr">
        <is>
          <t>Technology</t>
        </is>
      </c>
      <c r="I697" s="30" t="n">
        <v>100</v>
      </c>
      <c r="J697" s="30" t="n">
        <v>81.184</v>
      </c>
      <c r="K697" s="30" t="n">
        <v>5.287528</v>
      </c>
      <c r="L697" s="30" t="n">
        <v>0.048644</v>
      </c>
      <c r="M697" s="30" t="n">
        <v>-0.07896499999999999</v>
      </c>
      <c r="N697" s="30" t="n">
        <v>21.27638976</v>
      </c>
      <c r="O697" s="30" t="n">
        <v>12.19653176</v>
      </c>
      <c r="P697" s="30" t="n">
        <v>85</v>
      </c>
      <c r="Q697" s="30" t="inlineStr">
        <is>
          <t xml:space="preserve">Leading global designer and seller of premium electronic devices </t>
        </is>
      </c>
      <c r="R697" s="30" t="inlineStr">
        <is>
          <t>GBP</t>
        </is>
      </c>
      <c r="S697" s="30" t="inlineStr">
        <is>
          <t>Investment Grade</t>
        </is>
      </c>
      <c r="T697" s="30" t="inlineStr">
        <is>
          <t>AA+</t>
        </is>
      </c>
      <c r="U697" s="30" t="inlineStr">
        <is>
          <t>AA+</t>
        </is>
      </c>
      <c r="V697" s="30" t="n"/>
    </row>
    <row r="698">
      <c r="A698" s="30" t="inlineStr">
        <is>
          <t>XS2978922313</t>
        </is>
      </c>
      <c r="B698" s="30" t="inlineStr">
        <is>
          <t xml:space="preserve">Hold </t>
        </is>
      </c>
      <c r="C698" s="30" t="inlineStr">
        <is>
          <t>Intl Finance Corp</t>
        </is>
      </c>
      <c r="D698" s="30" t="n">
        <v>4.5</v>
      </c>
      <c r="E698" s="30" t="inlineStr">
        <is>
          <t>Unsecured</t>
        </is>
      </c>
      <c r="F698" s="30" t="inlineStr">
        <is>
          <t>31.01.2028</t>
        </is>
      </c>
      <c r="G698" s="30" t="inlineStr">
        <is>
          <t>Supranational</t>
        </is>
      </c>
      <c r="H698" s="30" t="inlineStr">
        <is>
          <t>Government</t>
        </is>
      </c>
      <c r="I698" s="30" t="n">
        <v>10</v>
      </c>
      <c r="J698" s="30" t="n">
        <v>101.23</v>
      </c>
      <c r="K698" s="30" t="n">
        <v>3.937724</v>
      </c>
      <c r="L698" s="30" t="n">
        <v>0.03085</v>
      </c>
      <c r="M698" s="30" t="n">
        <v>-0.121978</v>
      </c>
      <c r="N698" s="30" t="n">
        <v>20.82607028</v>
      </c>
      <c r="O698" s="30" t="n">
        <v>2.687409931</v>
      </c>
      <c r="P698" s="30" t="n">
        <v>0</v>
      </c>
      <c r="Q698" s="30" t="inlineStr">
        <is>
          <t xml:space="preserve">Largest multilateral development bank </t>
        </is>
      </c>
      <c r="R698" s="30" t="inlineStr">
        <is>
          <t>GBP</t>
        </is>
      </c>
      <c r="S698" s="30" t="inlineStr">
        <is>
          <t>Investment Grade</t>
        </is>
      </c>
      <c r="T698" s="30" t="inlineStr">
        <is>
          <t>AAA</t>
        </is>
      </c>
      <c r="U698" s="30" t="inlineStr">
        <is>
          <t>AAA</t>
        </is>
      </c>
      <c r="V698" s="30" t="n"/>
    </row>
    <row r="699">
      <c r="A699" s="30" t="inlineStr">
        <is>
          <t>XS3000458557</t>
        </is>
      </c>
      <c r="B699" s="30" t="inlineStr">
        <is>
          <t xml:space="preserve">Hold </t>
        </is>
      </c>
      <c r="C699" s="30" t="inlineStr">
        <is>
          <t>Asian Development Bank</t>
        </is>
      </c>
      <c r="D699" s="30" t="n">
        <v>4.125</v>
      </c>
      <c r="E699" s="30" t="inlineStr">
        <is>
          <t>Unsecured</t>
        </is>
      </c>
      <c r="F699" s="30" t="inlineStr">
        <is>
          <t>14.02.2028</t>
        </is>
      </c>
      <c r="G699" s="30" t="inlineStr">
        <is>
          <t>Supranational</t>
        </is>
      </c>
      <c r="H699" s="30" t="inlineStr">
        <is>
          <t>Government</t>
        </is>
      </c>
      <c r="I699" s="30" t="n">
        <v>1</v>
      </c>
      <c r="J699" s="30" t="n">
        <v>100.358</v>
      </c>
      <c r="K699" s="30" t="n">
        <v>3.930773</v>
      </c>
      <c r="L699" s="30" t="n">
        <v>0.022171</v>
      </c>
      <c r="M699" s="30" t="n">
        <v>-0.1448</v>
      </c>
      <c r="N699" s="30" t="n">
        <v>20.14900946</v>
      </c>
      <c r="O699" s="30" t="n">
        <v>2.735222846</v>
      </c>
      <c r="P699" s="30" t="n">
        <v>0</v>
      </c>
      <c r="Q699" s="30" t="inlineStr">
        <is>
          <t xml:space="preserve">A development bank </t>
        </is>
      </c>
      <c r="R699" s="30" t="inlineStr">
        <is>
          <t>GBP</t>
        </is>
      </c>
      <c r="S699" s="30" t="inlineStr">
        <is>
          <t>Investment Grade</t>
        </is>
      </c>
      <c r="T699" s="30" t="inlineStr">
        <is>
          <t>AAA</t>
        </is>
      </c>
      <c r="U699" s="30" t="inlineStr">
        <is>
          <t>AAA</t>
        </is>
      </c>
      <c r="V699" s="30" t="n"/>
    </row>
    <row r="700">
      <c r="A700" s="30" t="inlineStr">
        <is>
          <t>XS2973019693</t>
        </is>
      </c>
      <c r="B700" s="30" t="inlineStr">
        <is>
          <t xml:space="preserve">Hold </t>
        </is>
      </c>
      <c r="C700" s="30" t="inlineStr">
        <is>
          <t>Asian Infrastructure Inv</t>
        </is>
      </c>
      <c r="D700" s="30" t="n">
        <v>4.375</v>
      </c>
      <c r="E700" s="30" t="inlineStr">
        <is>
          <t>Sr Unsecured</t>
        </is>
      </c>
      <c r="F700" s="30" t="inlineStr">
        <is>
          <t>22.10.2029</t>
        </is>
      </c>
      <c r="G700" s="30" t="inlineStr">
        <is>
          <t>Supranational</t>
        </is>
      </c>
      <c r="H700" s="30" t="inlineStr">
        <is>
          <t>Government</t>
        </is>
      </c>
      <c r="I700" s="30" t="n">
        <v>1</v>
      </c>
      <c r="J700" s="30" t="n">
        <v>101.093</v>
      </c>
      <c r="K700" s="30" t="n">
        <v>4.049231</v>
      </c>
      <c r="L700" s="30" t="n">
        <v>0.024457</v>
      </c>
      <c r="M700" s="30" t="n">
        <v>-0.140648</v>
      </c>
      <c r="N700" s="30" t="n">
        <v>18.96939243</v>
      </c>
      <c r="O700" s="30" t="n">
        <v>4.107316459</v>
      </c>
      <c r="P700" s="30" t="n">
        <v>0</v>
      </c>
      <c r="Q700" s="30" t="inlineStr">
        <is>
          <t xml:space="preserve">A development bank </t>
        </is>
      </c>
      <c r="R700" s="30" t="inlineStr">
        <is>
          <t>GBP</t>
        </is>
      </c>
      <c r="S700" s="30" t="inlineStr">
        <is>
          <t>Investment Grade</t>
        </is>
      </c>
      <c r="T700" s="30" t="inlineStr">
        <is>
          <t>AAA</t>
        </is>
      </c>
      <c r="U700" s="30" t="inlineStr">
        <is>
          <t>AAA</t>
        </is>
      </c>
      <c r="V700" s="30" t="n"/>
    </row>
    <row r="701">
      <c r="A701" s="30" t="inlineStr">
        <is>
          <t>US14913R2G11</t>
        </is>
      </c>
      <c r="B701" s="30" t="inlineStr">
        <is>
          <t>Hold</t>
        </is>
      </c>
      <c r="C701" s="30" t="inlineStr">
        <is>
          <t>Caterpillar Finl Service</t>
        </is>
      </c>
      <c r="D701" s="30" t="n">
        <v>1.1</v>
      </c>
      <c r="E701" s="30" t="inlineStr">
        <is>
          <t>Sr Unsecured</t>
        </is>
      </c>
      <c r="F701" s="30" t="inlineStr">
        <is>
          <t>14.09.2027</t>
        </is>
      </c>
      <c r="G701" s="30" t="inlineStr">
        <is>
          <t>United states</t>
        </is>
      </c>
      <c r="H701" s="30" t="inlineStr">
        <is>
          <t>Industrial</t>
        </is>
      </c>
      <c r="I701" s="30" t="n">
        <v>1</v>
      </c>
      <c r="J701" s="30" t="n">
        <v>93.908</v>
      </c>
      <c r="K701" s="30" t="n">
        <v>4.0429</v>
      </c>
      <c r="L701" s="30" t="n">
        <v>-0.008959999999999999</v>
      </c>
      <c r="M701" s="30" t="n">
        <v>-0.181984</v>
      </c>
      <c r="N701" s="30" t="n">
        <v>18.96550356</v>
      </c>
      <c r="O701" s="30" t="n">
        <v>2.466949466</v>
      </c>
      <c r="P701" s="30" t="n">
        <v>80</v>
      </c>
      <c r="Q701" s="30" t="inlineStr">
        <is>
          <t xml:space="preserve">Leading manufacturer of construction and mining equipment </t>
        </is>
      </c>
      <c r="R701" s="30" t="inlineStr">
        <is>
          <t>USD</t>
        </is>
      </c>
      <c r="S701" s="30" t="inlineStr">
        <is>
          <t>Investment Grade</t>
        </is>
      </c>
      <c r="T701" s="30" t="inlineStr">
        <is>
          <t>A</t>
        </is>
      </c>
      <c r="U701" s="30" t="inlineStr">
        <is>
          <t>A</t>
        </is>
      </c>
      <c r="V701" s="30" t="n"/>
    </row>
    <row r="702">
      <c r="A702" s="30" t="inlineStr">
        <is>
          <t>US532457CU02</t>
        </is>
      </c>
      <c r="B702" s="30" t="inlineStr">
        <is>
          <t>Top Pick</t>
        </is>
      </c>
      <c r="C702" s="30" t="inlineStr">
        <is>
          <t>Eli Lilly &amp; Co</t>
        </is>
      </c>
      <c r="D702" s="30" t="n">
        <v>4.55</v>
      </c>
      <c r="E702" s="30" t="inlineStr">
        <is>
          <t>Sr Unsecured</t>
        </is>
      </c>
      <c r="F702" s="30" t="inlineStr">
        <is>
          <t>12.02.2028</t>
        </is>
      </c>
      <c r="G702" s="30" t="inlineStr">
        <is>
          <t>United states</t>
        </is>
      </c>
      <c r="H702" s="30" t="inlineStr">
        <is>
          <t>Consumer, Non-cyclical</t>
        </is>
      </c>
      <c r="I702" s="30" t="n">
        <v>2</v>
      </c>
      <c r="J702" s="30" t="n">
        <v>101.196</v>
      </c>
      <c r="K702" s="30" t="n">
        <v>4.044063</v>
      </c>
      <c r="L702" s="30" t="n">
        <v>0.001134</v>
      </c>
      <c r="M702" s="30" t="n">
        <v>-0.101673</v>
      </c>
      <c r="N702" s="30" t="n">
        <v>18.66374283</v>
      </c>
      <c r="O702" s="30" t="n">
        <v>2.681072041</v>
      </c>
      <c r="P702" s="30" t="n">
        <v>0</v>
      </c>
      <c r="Q702" s="30" t="inlineStr">
        <is>
          <t>Develops and sells pharmaceutical products for humans and animals</t>
        </is>
      </c>
      <c r="R702" s="30" t="inlineStr">
        <is>
          <t>USD</t>
        </is>
      </c>
      <c r="S702" s="30" t="inlineStr">
        <is>
          <t>Investment Grade</t>
        </is>
      </c>
      <c r="T702" s="30" t="inlineStr">
        <is>
          <t>A+</t>
        </is>
      </c>
      <c r="U702" s="30" t="inlineStr">
        <is>
          <t>A+</t>
        </is>
      </c>
      <c r="V702" s="30" t="n"/>
    </row>
    <row r="703">
      <c r="A703" s="30" t="inlineStr">
        <is>
          <t>US02079KAD90</t>
        </is>
      </c>
      <c r="B703" s="30" t="inlineStr">
        <is>
          <t>Hold</t>
        </is>
      </c>
      <c r="C703" s="30" t="inlineStr">
        <is>
          <t>Alphabet Inc</t>
        </is>
      </c>
      <c r="D703" s="30" t="n">
        <v>1.1</v>
      </c>
      <c r="E703" s="30" t="inlineStr">
        <is>
          <t>Sr Unsecured</t>
        </is>
      </c>
      <c r="F703" s="30" t="inlineStr">
        <is>
          <t>15.08.2030</t>
        </is>
      </c>
      <c r="G703" s="30" t="inlineStr">
        <is>
          <t>United states</t>
        </is>
      </c>
      <c r="H703" s="30" t="inlineStr">
        <is>
          <t>Communications</t>
        </is>
      </c>
      <c r="I703" s="30" t="n">
        <v>2</v>
      </c>
      <c r="J703" s="30" t="n">
        <v>86.218</v>
      </c>
      <c r="K703" s="30" t="n">
        <v>4.122342</v>
      </c>
      <c r="L703" s="30" t="n">
        <v>0.006867</v>
      </c>
      <c r="M703" s="30" t="n">
        <v>-0.134231</v>
      </c>
      <c r="N703" s="30" t="n">
        <v>17.76240171</v>
      </c>
      <c r="O703" s="30" t="n">
        <v>5.199604874</v>
      </c>
      <c r="P703" s="30" t="n">
        <v>85</v>
      </c>
      <c r="Q703" s="30" t="inlineStr">
        <is>
          <t>World's leading internet search engine</t>
        </is>
      </c>
      <c r="R703" s="30" t="inlineStr">
        <is>
          <t>USD</t>
        </is>
      </c>
      <c r="S703" s="30" t="inlineStr">
        <is>
          <t>Investment Grade</t>
        </is>
      </c>
      <c r="T703" s="30" t="inlineStr">
        <is>
          <t>AA</t>
        </is>
      </c>
      <c r="U703" s="30" t="inlineStr">
        <is>
          <t>AA</t>
        </is>
      </c>
      <c r="V703" s="30" t="n"/>
    </row>
    <row r="704">
      <c r="A704" s="30" t="inlineStr">
        <is>
          <t>XS1574158082</t>
        </is>
      </c>
      <c r="B704" s="30" t="inlineStr">
        <is>
          <t>Hold</t>
        </is>
      </c>
      <c r="C704" s="30" t="inlineStr">
        <is>
          <t>Pfizer Inc</t>
        </is>
      </c>
      <c r="D704" s="30" t="n">
        <v>1</v>
      </c>
      <c r="E704" s="30" t="inlineStr">
        <is>
          <t>Sr Unsecured</t>
        </is>
      </c>
      <c r="F704" s="30" t="inlineStr">
        <is>
          <t>06.03.2027</t>
        </is>
      </c>
      <c r="G704" s="30" t="inlineStr">
        <is>
          <t>United states</t>
        </is>
      </c>
      <c r="H704" s="30" t="inlineStr">
        <is>
          <t>Consumer, Non-cyclical</t>
        </is>
      </c>
      <c r="I704" s="30" t="n">
        <v>100</v>
      </c>
      <c r="J704" s="30" t="n">
        <v>98.33</v>
      </c>
      <c r="K704" s="30" t="n">
        <v>2.029948</v>
      </c>
      <c r="L704" s="30" t="n">
        <v>-0.07571799999999999</v>
      </c>
      <c r="M704" s="30" t="n">
        <v>-0.201391</v>
      </c>
      <c r="N704" s="30" t="n">
        <v>17.63991278</v>
      </c>
      <c r="O704" s="30" t="n">
        <v>1.947614887</v>
      </c>
      <c r="P704" s="30" t="n">
        <v>80</v>
      </c>
      <c r="Q704" s="30" t="inlineStr">
        <is>
          <t>World's largest pharmaceutical company</t>
        </is>
      </c>
      <c r="R704" s="30" t="inlineStr">
        <is>
          <t>EUR</t>
        </is>
      </c>
      <c r="S704" s="30" t="inlineStr">
        <is>
          <t>Investment Grade</t>
        </is>
      </c>
      <c r="T704" s="30" t="inlineStr">
        <is>
          <t>A</t>
        </is>
      </c>
      <c r="U704" s="30" t="inlineStr">
        <is>
          <t>A</t>
        </is>
      </c>
      <c r="V704" s="30" t="n"/>
    </row>
    <row r="705">
      <c r="A705" s="30" t="inlineStr">
        <is>
          <t>US459200KW06</t>
        </is>
      </c>
      <c r="B705" s="30" t="inlineStr">
        <is>
          <t>Hold</t>
        </is>
      </c>
      <c r="C705" s="30" t="inlineStr">
        <is>
          <t>Ibm Corp</t>
        </is>
      </c>
      <c r="D705" s="30" t="n">
        <v>4.5</v>
      </c>
      <c r="E705" s="30" t="inlineStr">
        <is>
          <t>Sr Unsecured</t>
        </is>
      </c>
      <c r="F705" s="30" t="inlineStr">
        <is>
          <t>06.02.2026</t>
        </is>
      </c>
      <c r="G705" s="30" t="inlineStr">
        <is>
          <t>United states</t>
        </is>
      </c>
      <c r="H705" s="30" t="inlineStr">
        <is>
          <t>Technology</t>
        </is>
      </c>
      <c r="I705" s="30" t="n">
        <v>100</v>
      </c>
      <c r="J705" s="30" t="n">
        <v>100.047</v>
      </c>
      <c r="K705" s="30" t="n">
        <v>4.410992</v>
      </c>
      <c r="L705" s="30" t="n">
        <v>0.059435</v>
      </c>
      <c r="M705" s="30" t="n">
        <v>-0.118277</v>
      </c>
      <c r="N705" s="30" t="n">
        <v>17.4343408</v>
      </c>
      <c r="O705" s="30" t="n">
        <v>0.92625742</v>
      </c>
      <c r="P705" s="30" t="n">
        <v>80</v>
      </c>
      <c r="Q705" s="30" t="inlineStr">
        <is>
          <t>International Business Machines Corporation (IBM) provides computer solutions</t>
        </is>
      </c>
      <c r="R705" s="30" t="inlineStr">
        <is>
          <t>USD</t>
        </is>
      </c>
      <c r="S705" s="30" t="inlineStr">
        <is>
          <t>Investment Grade</t>
        </is>
      </c>
      <c r="T705" s="30" t="inlineStr">
        <is>
          <t>A-</t>
        </is>
      </c>
      <c r="U705" s="30" t="inlineStr">
        <is>
          <t>A-</t>
        </is>
      </c>
      <c r="V705" s="30" t="n"/>
    </row>
    <row r="706">
      <c r="A706" s="30" t="inlineStr">
        <is>
          <t>XS2679764493</t>
        </is>
      </c>
      <c r="B706" s="30" t="inlineStr">
        <is>
          <t>Hold</t>
        </is>
      </c>
      <c r="C706" s="30" t="inlineStr">
        <is>
          <t>Kfw</t>
        </is>
      </c>
      <c r="D706" s="30" t="n">
        <v>4.875</v>
      </c>
      <c r="E706" s="30" t="inlineStr">
        <is>
          <t>Sr Unsecured</t>
        </is>
      </c>
      <c r="F706" s="30" t="inlineStr">
        <is>
          <t>10.10.2028</t>
        </is>
      </c>
      <c r="G706" s="30" t="inlineStr">
        <is>
          <t>Germany</t>
        </is>
      </c>
      <c r="H706" s="30" t="inlineStr">
        <is>
          <t>Financial</t>
        </is>
      </c>
      <c r="I706" s="30" t="n">
        <v>1</v>
      </c>
      <c r="J706" s="30" t="n">
        <v>102.665</v>
      </c>
      <c r="K706" s="30" t="n">
        <v>3.940993</v>
      </c>
      <c r="L706" s="30" t="n">
        <v>0.025169</v>
      </c>
      <c r="M706" s="30" t="n">
        <v>-0.123326</v>
      </c>
      <c r="N706" s="30" t="n">
        <v>17.41409244</v>
      </c>
      <c r="O706" s="30" t="n">
        <v>3.216080897</v>
      </c>
      <c r="P706" s="30" t="n">
        <v>0</v>
      </c>
      <c r="Q706" s="30" t="inlineStr">
        <is>
          <t>Germany’s largest public development bank serving policy objectives</t>
        </is>
      </c>
      <c r="R706" s="30" t="inlineStr">
        <is>
          <t>GBP</t>
        </is>
      </c>
      <c r="S706" s="30" t="inlineStr">
        <is>
          <t>Investment Grade</t>
        </is>
      </c>
      <c r="T706" s="30" t="inlineStr">
        <is>
          <t>AAA</t>
        </is>
      </c>
      <c r="U706" s="30" t="inlineStr">
        <is>
          <t>AAA</t>
        </is>
      </c>
      <c r="V706" s="30" t="n"/>
    </row>
    <row r="707">
      <c r="A707" s="30" t="inlineStr">
        <is>
          <t>XS2987626509</t>
        </is>
      </c>
      <c r="B707" s="30" t="inlineStr">
        <is>
          <t xml:space="preserve">Hold </t>
        </is>
      </c>
      <c r="C707" s="30" t="inlineStr">
        <is>
          <t>Export Developmnt Canada</t>
        </is>
      </c>
      <c r="D707" s="30" t="n">
        <v>4.5</v>
      </c>
      <c r="E707" s="30" t="inlineStr">
        <is>
          <t>Sr Unsecured</t>
        </is>
      </c>
      <c r="F707" s="30" t="inlineStr">
        <is>
          <t>28.01.2030</t>
        </is>
      </c>
      <c r="G707" s="30" t="inlineStr">
        <is>
          <t>Canada</t>
        </is>
      </c>
      <c r="H707" s="30" t="inlineStr">
        <is>
          <t>Government</t>
        </is>
      </c>
      <c r="I707" s="30" t="n">
        <v>100</v>
      </c>
      <c r="J707" s="30" t="n">
        <v>101.624</v>
      </c>
      <c r="K707" s="30" t="n">
        <v>4.055453</v>
      </c>
      <c r="L707" s="30" t="n">
        <v>0.02964</v>
      </c>
      <c r="M707" s="30" t="n">
        <v>-0.132099</v>
      </c>
      <c r="N707" s="30" t="n">
        <v>16.54048216</v>
      </c>
      <c r="O707" s="30" t="n">
        <v>4.32173992</v>
      </c>
      <c r="P707" s="30" t="n">
        <v>0</v>
      </c>
      <c r="Q707" s="30" t="inlineStr">
        <is>
          <t xml:space="preserve">Government owned export credit agency </t>
        </is>
      </c>
      <c r="R707" s="30" t="inlineStr">
        <is>
          <t>GBP</t>
        </is>
      </c>
      <c r="S707" s="30" t="inlineStr">
        <is>
          <t>Investment Grade</t>
        </is>
      </c>
      <c r="T707" s="30" t="inlineStr">
        <is>
          <t>AAA</t>
        </is>
      </c>
      <c r="U707" s="30" t="inlineStr">
        <is>
          <t>AAA</t>
        </is>
      </c>
      <c r="V707" s="30" t="n"/>
    </row>
    <row r="708">
      <c r="A708" s="30" t="inlineStr">
        <is>
          <t>US57636QAW42</t>
        </is>
      </c>
      <c r="B708" s="30" t="inlineStr">
        <is>
          <t>Hold</t>
        </is>
      </c>
      <c r="C708" s="30" t="inlineStr">
        <is>
          <t>Mastercard Inc</t>
        </is>
      </c>
      <c r="D708" s="30" t="n">
        <v>4.875</v>
      </c>
      <c r="E708" s="30" t="inlineStr">
        <is>
          <t>Sr Unsecured</t>
        </is>
      </c>
      <c r="F708" s="30" t="inlineStr">
        <is>
          <t>09.03.2028</t>
        </is>
      </c>
      <c r="G708" s="30" t="inlineStr">
        <is>
          <t>United states</t>
        </is>
      </c>
      <c r="H708" s="30" t="inlineStr">
        <is>
          <t>Financial</t>
        </is>
      </c>
      <c r="I708" s="30" t="n">
        <v>2</v>
      </c>
      <c r="J708" s="30" t="n">
        <v>102.096</v>
      </c>
      <c r="K708" s="30" t="n">
        <v>4.012659</v>
      </c>
      <c r="L708" s="30" t="n">
        <v>0.04008</v>
      </c>
      <c r="M708" s="30" t="n">
        <v>-0.064564</v>
      </c>
      <c r="N708" s="30" t="n">
        <v>16.19281562</v>
      </c>
      <c r="O708" s="30" t="n">
        <v>2.680597532</v>
      </c>
      <c r="P708" s="30" t="n">
        <v>80</v>
      </c>
      <c r="Q708" s="30" t="inlineStr">
        <is>
          <t>Provides financial transaction processing services</t>
        </is>
      </c>
      <c r="R708" s="30" t="inlineStr">
        <is>
          <t>USD</t>
        </is>
      </c>
      <c r="S708" s="30" t="inlineStr">
        <is>
          <t>Investment Grade</t>
        </is>
      </c>
      <c r="T708" s="30" t="inlineStr">
        <is>
          <t>A+</t>
        </is>
      </c>
      <c r="U708" s="30" t="inlineStr">
        <is>
          <t>A+</t>
        </is>
      </c>
      <c r="V708" s="30" t="n"/>
    </row>
    <row r="709">
      <c r="A709" s="30" t="inlineStr">
        <is>
          <t>US931142EQ27</t>
        </is>
      </c>
      <c r="B709" s="30" t="inlineStr">
        <is>
          <t>Hold</t>
        </is>
      </c>
      <c r="C709" s="30" t="inlineStr">
        <is>
          <t>Walmart Inc</t>
        </is>
      </c>
      <c r="D709" s="30" t="n">
        <v>2.375</v>
      </c>
      <c r="E709" s="30" t="inlineStr">
        <is>
          <t>Sr Unsecured</t>
        </is>
      </c>
      <c r="F709" s="30" t="inlineStr">
        <is>
          <t>24.09.2029</t>
        </is>
      </c>
      <c r="G709" s="30" t="inlineStr">
        <is>
          <t>United states</t>
        </is>
      </c>
      <c r="H709" s="30" t="inlineStr">
        <is>
          <t>Consumer, Cyclical</t>
        </is>
      </c>
      <c r="I709" s="30" t="n">
        <v>2</v>
      </c>
      <c r="J709" s="30" t="n">
        <v>93.56699999999999</v>
      </c>
      <c r="K709" s="30" t="n">
        <v>4.051399</v>
      </c>
      <c r="L709" s="30" t="n">
        <v>0.02513</v>
      </c>
      <c r="M709" s="30" t="n">
        <v>-0.108464</v>
      </c>
      <c r="N709" s="30" t="n">
        <v>14.64076756</v>
      </c>
      <c r="O709" s="30" t="n">
        <v>4.228579485</v>
      </c>
      <c r="P709" s="30" t="n">
        <v>85</v>
      </c>
      <c r="Q709" s="30" t="inlineStr">
        <is>
          <t>World's largest retailer operating in the US and internationally</t>
        </is>
      </c>
      <c r="R709" s="30" t="inlineStr">
        <is>
          <t>USD</t>
        </is>
      </c>
      <c r="S709" s="30" t="inlineStr">
        <is>
          <t>Investment Grade</t>
        </is>
      </c>
      <c r="T709" s="30" t="inlineStr">
        <is>
          <t>AA</t>
        </is>
      </c>
      <c r="U709" s="30" t="inlineStr">
        <is>
          <t>AA</t>
        </is>
      </c>
      <c r="V709" s="30" t="n"/>
    </row>
    <row r="710">
      <c r="A710" s="30" t="inlineStr">
        <is>
          <t>XS2555179378</t>
        </is>
      </c>
      <c r="B710" s="30" t="inlineStr">
        <is>
          <t>Hold</t>
        </is>
      </c>
      <c r="C710" s="30" t="inlineStr">
        <is>
          <t>Adidas Ag</t>
        </is>
      </c>
      <c r="D710" s="30" t="n">
        <v>3.125</v>
      </c>
      <c r="E710" s="30" t="inlineStr">
        <is>
          <t>Sr Unsecured</t>
        </is>
      </c>
      <c r="F710" s="30" t="inlineStr">
        <is>
          <t>21.11.2029</t>
        </is>
      </c>
      <c r="G710" s="30" t="inlineStr">
        <is>
          <t>Germany</t>
        </is>
      </c>
      <c r="H710" s="30" t="inlineStr">
        <is>
          <t>Consumer, Cyclical</t>
        </is>
      </c>
      <c r="I710" s="30" t="n">
        <v>100</v>
      </c>
      <c r="J710" s="30" t="n">
        <v>103.042</v>
      </c>
      <c r="K710" s="30" t="n">
        <v>2.340648</v>
      </c>
      <c r="L710" s="30" t="n">
        <v>-0.093932</v>
      </c>
      <c r="M710" s="30" t="n">
        <v>-0.158067</v>
      </c>
      <c r="N710" s="30" t="n">
        <v>14.42945966</v>
      </c>
      <c r="O710" s="30" t="n">
        <v>4.112440046</v>
      </c>
      <c r="P710" s="30" t="n">
        <v>85</v>
      </c>
      <c r="Q710" s="30" t="inlineStr">
        <is>
          <t>Adidas AG manufactures sports shoes and sports equipment.</t>
        </is>
      </c>
      <c r="R710" s="30" t="inlineStr">
        <is>
          <t>EUR</t>
        </is>
      </c>
      <c r="S710" s="30" t="inlineStr">
        <is>
          <t>Investment Grade</t>
        </is>
      </c>
      <c r="T710" s="30" t="inlineStr">
        <is>
          <t>A-</t>
        </is>
      </c>
      <c r="U710" s="30" t="inlineStr">
        <is>
          <t>A-</t>
        </is>
      </c>
      <c r="V710" s="30" t="n"/>
    </row>
    <row r="711">
      <c r="A711" s="30" t="inlineStr">
        <is>
          <t>XS2975106902</t>
        </is>
      </c>
      <c r="B711" s="30" t="inlineStr">
        <is>
          <t xml:space="preserve">Hold </t>
        </is>
      </c>
      <c r="C711" s="30" t="inlineStr">
        <is>
          <t>Asian Development Bank</t>
        </is>
      </c>
      <c r="D711" s="30" t="n">
        <v>4.375</v>
      </c>
      <c r="E711" s="30" t="inlineStr">
        <is>
          <t>Sr Unsecured</t>
        </is>
      </c>
      <c r="F711" s="30" t="inlineStr">
        <is>
          <t>15.01.2030</t>
        </is>
      </c>
      <c r="G711" s="30" t="inlineStr">
        <is>
          <t>Supranational</t>
        </is>
      </c>
      <c r="H711" s="30" t="inlineStr">
        <is>
          <t>Government</t>
        </is>
      </c>
      <c r="I711" s="30" t="n">
        <v>1</v>
      </c>
      <c r="J711" s="30" t="n">
        <v>101.223</v>
      </c>
      <c r="K711" s="30" t="n">
        <v>4.028049</v>
      </c>
      <c r="L711" s="30" t="n">
        <v>0.025054</v>
      </c>
      <c r="M711" s="30" t="n">
        <v>-0.141354</v>
      </c>
      <c r="N711" s="30" t="n">
        <v>14.11164905</v>
      </c>
      <c r="O711" s="30" t="n">
        <v>4.297247155</v>
      </c>
      <c r="P711" s="30" t="n">
        <v>0</v>
      </c>
      <c r="Q711" s="30" t="inlineStr">
        <is>
          <t xml:space="preserve">A development bank </t>
        </is>
      </c>
      <c r="R711" s="30" t="inlineStr">
        <is>
          <t>GBP</t>
        </is>
      </c>
      <c r="S711" s="30" t="inlineStr">
        <is>
          <t>Investment Grade</t>
        </is>
      </c>
      <c r="T711" s="30" t="inlineStr">
        <is>
          <t>AAA</t>
        </is>
      </c>
      <c r="U711" s="30" t="inlineStr">
        <is>
          <t>AAA</t>
        </is>
      </c>
      <c r="V711" s="30" t="n"/>
    </row>
    <row r="712">
      <c r="A712" s="30" t="inlineStr">
        <is>
          <t>US30303M8L96</t>
        </is>
      </c>
      <c r="B712" s="30" t="inlineStr">
        <is>
          <t>Hold</t>
        </is>
      </c>
      <c r="C712" s="30" t="inlineStr">
        <is>
          <t>Meta Platforms Inc</t>
        </is>
      </c>
      <c r="D712" s="30" t="n">
        <v>4.6</v>
      </c>
      <c r="E712" s="30" t="inlineStr">
        <is>
          <t>Sr Unsecured</t>
        </is>
      </c>
      <c r="F712" s="30" t="inlineStr">
        <is>
          <t>15.05.2028</t>
        </is>
      </c>
      <c r="G712" s="30" t="inlineStr">
        <is>
          <t>United states</t>
        </is>
      </c>
      <c r="H712" s="30" t="inlineStr">
        <is>
          <t>Communications</t>
        </is>
      </c>
      <c r="I712" s="30" t="n">
        <v>2</v>
      </c>
      <c r="J712" s="30" t="n">
        <v>101.627</v>
      </c>
      <c r="K712" s="30" t="n">
        <v>3.973074</v>
      </c>
      <c r="L712" s="30" t="n">
        <v>0.04462</v>
      </c>
      <c r="M712" s="30" t="n">
        <v>-0.06347800000000001</v>
      </c>
      <c r="N712" s="30" t="n">
        <v>13.08318559</v>
      </c>
      <c r="O712" s="30" t="n">
        <v>2.869766397</v>
      </c>
      <c r="P712" s="30" t="n">
        <v>80</v>
      </c>
      <c r="Q712" s="30" t="inlineStr">
        <is>
          <t>A social technology company</t>
        </is>
      </c>
      <c r="R712" s="30" t="inlineStr">
        <is>
          <t>USD</t>
        </is>
      </c>
      <c r="S712" s="30" t="inlineStr">
        <is>
          <t>Investment Grade</t>
        </is>
      </c>
      <c r="T712" s="30" t="inlineStr">
        <is>
          <t>AA-</t>
        </is>
      </c>
      <c r="U712" s="30" t="inlineStr">
        <is>
          <t>AA-</t>
        </is>
      </c>
      <c r="V712" s="30" t="n"/>
    </row>
    <row r="713">
      <c r="A713" s="30" t="inlineStr">
        <is>
          <t>XS1269175466</t>
        </is>
      </c>
      <c r="B713" s="30" t="inlineStr">
        <is>
          <t xml:space="preserve">Hold </t>
        </is>
      </c>
      <c r="C713" s="30" t="inlineStr">
        <is>
          <t>Apple Inc</t>
        </is>
      </c>
      <c r="D713" s="30" t="n">
        <v>3.05</v>
      </c>
      <c r="E713" s="30" t="inlineStr">
        <is>
          <t>Sr Unsecured</t>
        </is>
      </c>
      <c r="F713" s="30" t="inlineStr">
        <is>
          <t>31.07.2029</t>
        </is>
      </c>
      <c r="G713" s="30" t="inlineStr">
        <is>
          <t>United states</t>
        </is>
      </c>
      <c r="H713" s="30" t="inlineStr">
        <is>
          <t>Technology</t>
        </is>
      </c>
      <c r="I713" s="30" t="n">
        <v>100</v>
      </c>
      <c r="J713" s="30" t="n">
        <v>96.622</v>
      </c>
      <c r="K713" s="30" t="n">
        <v>3.958813</v>
      </c>
      <c r="L713" s="30" t="n">
        <v>-0.013485</v>
      </c>
      <c r="M713" s="30" t="n">
        <v>-0.220333</v>
      </c>
      <c r="N713" s="30" t="n">
        <v>12.74042112</v>
      </c>
      <c r="O713" s="30" t="n">
        <v>4.07605095</v>
      </c>
      <c r="P713" s="30" t="n">
        <v>85</v>
      </c>
      <c r="Q713" s="30" t="inlineStr">
        <is>
          <t xml:space="preserve">Leading global designer and seller of premium electronic devices </t>
        </is>
      </c>
      <c r="R713" s="30" t="inlineStr">
        <is>
          <t>GBP</t>
        </is>
      </c>
      <c r="S713" s="30" t="inlineStr">
        <is>
          <t>Investment Grade</t>
        </is>
      </c>
      <c r="T713" s="30" t="inlineStr">
        <is>
          <t>AA+</t>
        </is>
      </c>
      <c r="U713" s="30" t="inlineStr">
        <is>
          <t>AA+</t>
        </is>
      </c>
      <c r="V713" s="30" t="n"/>
    </row>
    <row r="714">
      <c r="A714" s="30" t="inlineStr">
        <is>
          <t>XS2701725983</t>
        </is>
      </c>
      <c r="B714" s="30" t="inlineStr">
        <is>
          <t>Hold</t>
        </is>
      </c>
      <c r="C714" s="30" t="inlineStr">
        <is>
          <t>Intl Development Assoc</t>
        </is>
      </c>
      <c r="D714" s="30" t="n">
        <v>4.75</v>
      </c>
      <c r="E714" s="30" t="inlineStr">
        <is>
          <t>Sr Unsecured</t>
        </is>
      </c>
      <c r="F714" s="30" t="inlineStr">
        <is>
          <t>14.10.2031</t>
        </is>
      </c>
      <c r="G714" s="30" t="inlineStr">
        <is>
          <t>Supranational</t>
        </is>
      </c>
      <c r="H714" s="30" t="inlineStr">
        <is>
          <t>Government</t>
        </is>
      </c>
      <c r="I714" s="30" t="n">
        <v>1</v>
      </c>
      <c r="J714" s="30" t="n">
        <v>102.589</v>
      </c>
      <c r="K714" s="30" t="n">
        <v>4.222507</v>
      </c>
      <c r="L714" s="30" t="n">
        <v>0.04076</v>
      </c>
      <c r="M714" s="30" t="n">
        <v>-0.101637</v>
      </c>
      <c r="N714" s="30" t="n">
        <v>12.14983133</v>
      </c>
      <c r="O714" s="30" t="n">
        <v>5.507206754</v>
      </c>
      <c r="P714" s="30" t="n">
        <v>0</v>
      </c>
      <c r="Q714" s="30" t="inlineStr">
        <is>
          <t xml:space="preserve">Supranational and a part of World Bank to provide loans and grants  </t>
        </is>
      </c>
      <c r="R714" s="30" t="inlineStr">
        <is>
          <t>GBP</t>
        </is>
      </c>
      <c r="S714" s="30" t="inlineStr">
        <is>
          <t>Investment Grade</t>
        </is>
      </c>
      <c r="T714" s="30" t="inlineStr">
        <is>
          <t>AAA</t>
        </is>
      </c>
      <c r="U714" s="30" t="inlineStr">
        <is>
          <t>AAA</t>
        </is>
      </c>
      <c r="V714" s="30" t="n"/>
    </row>
    <row r="715">
      <c r="A715" s="30" t="inlineStr">
        <is>
          <t>XS2976284450</t>
        </is>
      </c>
      <c r="B715" s="30" t="inlineStr">
        <is>
          <t xml:space="preserve">Hold </t>
        </is>
      </c>
      <c r="C715" s="30" t="inlineStr">
        <is>
          <t>Intl Bk Recon &amp; Develop</t>
        </is>
      </c>
      <c r="D715" s="30" t="n">
        <v>4.5</v>
      </c>
      <c r="E715" s="30" t="inlineStr">
        <is>
          <t>Sr Unsecured</t>
        </is>
      </c>
      <c r="F715" s="30" t="inlineStr">
        <is>
          <t>15.07.2030</t>
        </is>
      </c>
      <c r="G715" s="30" t="inlineStr">
        <is>
          <t>Supranational</t>
        </is>
      </c>
      <c r="H715" s="30" t="inlineStr">
        <is>
          <t>Government</t>
        </is>
      </c>
      <c r="I715" s="30" t="n">
        <v>1</v>
      </c>
      <c r="J715" s="30" t="n">
        <v>101.787</v>
      </c>
      <c r="K715" s="30" t="n">
        <v>4.057516</v>
      </c>
      <c r="L715" s="30" t="n">
        <v>0.026622</v>
      </c>
      <c r="M715" s="30" t="n">
        <v>-0.143699</v>
      </c>
      <c r="N715" s="30" t="n">
        <v>12.10976954</v>
      </c>
      <c r="O715" s="30" t="n">
        <v>4.666625855</v>
      </c>
      <c r="P715" s="30" t="n">
        <v>0</v>
      </c>
      <c r="Q715" s="30" t="inlineStr">
        <is>
          <t xml:space="preserve">A development bank </t>
        </is>
      </c>
      <c r="R715" s="30" t="inlineStr">
        <is>
          <t>GBP</t>
        </is>
      </c>
      <c r="S715" s="30" t="inlineStr">
        <is>
          <t>Investment Grade</t>
        </is>
      </c>
      <c r="T715" s="30" t="inlineStr">
        <is>
          <t>AAA</t>
        </is>
      </c>
      <c r="U715" s="30" t="inlineStr">
        <is>
          <t>AAA</t>
        </is>
      </c>
      <c r="V715" s="30" t="n"/>
    </row>
    <row r="716">
      <c r="A716" s="30" t="inlineStr">
        <is>
          <t>US742718GA10</t>
        </is>
      </c>
      <c r="B716" s="30" t="inlineStr">
        <is>
          <t>Top Pick</t>
        </is>
      </c>
      <c r="C716" s="30" t="inlineStr">
        <is>
          <t>Procter &amp; Gamble Co/The</t>
        </is>
      </c>
      <c r="D716" s="30" t="n">
        <v>4.05</v>
      </c>
      <c r="E716" s="30" t="inlineStr">
        <is>
          <t>Sr Unsecured</t>
        </is>
      </c>
      <c r="F716" s="30" t="inlineStr">
        <is>
          <t>26.01.2033</t>
        </is>
      </c>
      <c r="G716" s="30" t="inlineStr">
        <is>
          <t>United states</t>
        </is>
      </c>
      <c r="H716" s="30" t="inlineStr">
        <is>
          <t>Consumer, Non-cyclical</t>
        </is>
      </c>
      <c r="I716" s="30" t="n">
        <v>2</v>
      </c>
      <c r="J716" s="30" t="n">
        <v>98.449</v>
      </c>
      <c r="K716" s="30" t="n">
        <v>4.292466</v>
      </c>
      <c r="L716" s="30" t="n">
        <v>-0.022356</v>
      </c>
      <c r="M716" s="30" t="n">
        <v>-0.106226</v>
      </c>
      <c r="N716" s="30" t="n">
        <v>11.35386833</v>
      </c>
      <c r="O716" s="30" t="n">
        <v>6.65946588</v>
      </c>
      <c r="P716" s="30" t="n">
        <v>85</v>
      </c>
      <c r="Q716" s="30" t="inlineStr">
        <is>
          <t>Manufactures and markets consumer products</t>
        </is>
      </c>
      <c r="R716" s="30" t="inlineStr">
        <is>
          <t>USD</t>
        </is>
      </c>
      <c r="S716" s="30" t="inlineStr">
        <is>
          <t>Investment Grade</t>
        </is>
      </c>
      <c r="T716" s="30" t="inlineStr">
        <is>
          <t>AA-</t>
        </is>
      </c>
      <c r="U716" s="30" t="inlineStr">
        <is>
          <t>AA-</t>
        </is>
      </c>
      <c r="V716" s="30" t="n"/>
    </row>
    <row r="717">
      <c r="A717" s="30" t="inlineStr">
        <is>
          <t>US037833ET32</t>
        </is>
      </c>
      <c r="B717" s="30" t="inlineStr">
        <is>
          <t>Hold</t>
        </is>
      </c>
      <c r="C717" s="30" t="inlineStr">
        <is>
          <t>Apple Inc</t>
        </is>
      </c>
      <c r="D717" s="30" t="n">
        <v>4</v>
      </c>
      <c r="E717" s="30" t="inlineStr">
        <is>
          <t>Sr Unsecured</t>
        </is>
      </c>
      <c r="F717" s="30" t="inlineStr">
        <is>
          <t>10.05.2028</t>
        </is>
      </c>
      <c r="G717" s="30" t="inlineStr">
        <is>
          <t>United states</t>
        </is>
      </c>
      <c r="H717" s="30" t="inlineStr">
        <is>
          <t>Technology</t>
        </is>
      </c>
      <c r="I717" s="30" t="n">
        <v>2</v>
      </c>
      <c r="J717" s="30" t="n">
        <v>100.103</v>
      </c>
      <c r="K717" s="30" t="n">
        <v>3.959277</v>
      </c>
      <c r="L717" s="30" t="n">
        <v>0.063522</v>
      </c>
      <c r="M717" s="30" t="n">
        <v>-0.045648</v>
      </c>
      <c r="N717" s="30" t="n">
        <v>11.16399529</v>
      </c>
      <c r="O717" s="30" t="n">
        <v>2.954295304</v>
      </c>
      <c r="P717" s="30" t="n">
        <v>85</v>
      </c>
      <c r="Q717" s="30" t="inlineStr">
        <is>
          <t>Leading global designer and seller of premium electronic devices</t>
        </is>
      </c>
      <c r="R717" s="30" t="inlineStr">
        <is>
          <t>USD</t>
        </is>
      </c>
      <c r="S717" s="30" t="inlineStr">
        <is>
          <t>Investment Grade</t>
        </is>
      </c>
      <c r="T717" s="30" t="inlineStr">
        <is>
          <t>AA+</t>
        </is>
      </c>
      <c r="U717" s="30" t="inlineStr">
        <is>
          <t>AA+</t>
        </is>
      </c>
      <c r="V717" s="30" t="n"/>
    </row>
    <row r="718">
      <c r="A718" s="30" t="inlineStr">
        <is>
          <t>US037833EV87</t>
        </is>
      </c>
      <c r="B718" s="30" t="inlineStr">
        <is>
          <t>Top Pick</t>
        </is>
      </c>
      <c r="C718" s="30" t="inlineStr">
        <is>
          <t>Apple Inc</t>
        </is>
      </c>
      <c r="D718" s="30" t="n">
        <v>4.3</v>
      </c>
      <c r="E718" s="30" t="inlineStr">
        <is>
          <t>Sr Unsecured</t>
        </is>
      </c>
      <c r="F718" s="30" t="inlineStr">
        <is>
          <t>10.05.2033</t>
        </is>
      </c>
      <c r="G718" s="30" t="inlineStr">
        <is>
          <t>United states</t>
        </is>
      </c>
      <c r="H718" s="30" t="inlineStr">
        <is>
          <t>Technology</t>
        </is>
      </c>
      <c r="I718" s="30" t="n">
        <v>2</v>
      </c>
      <c r="J718" s="30" t="n">
        <v>99.994</v>
      </c>
      <c r="K718" s="30" t="n">
        <v>4.300153</v>
      </c>
      <c r="L718" s="30" t="n">
        <v>-0.009797</v>
      </c>
      <c r="M718" s="30" t="n">
        <v>-0.111277</v>
      </c>
      <c r="N718" s="30" t="n">
        <v>7.834572283</v>
      </c>
      <c r="O718" s="30" t="n">
        <v>6.760544121</v>
      </c>
      <c r="P718" s="30" t="n">
        <v>85</v>
      </c>
      <c r="Q718" s="30" t="inlineStr">
        <is>
          <t>Leading global designer and seller of premium electronic devices</t>
        </is>
      </c>
      <c r="R718" s="30" t="inlineStr">
        <is>
          <t>USD</t>
        </is>
      </c>
      <c r="S718" s="30" t="inlineStr">
        <is>
          <t>Investment Grade</t>
        </is>
      </c>
      <c r="T718" s="30" t="inlineStr">
        <is>
          <t>AA+</t>
        </is>
      </c>
      <c r="U718" s="30" t="inlineStr">
        <is>
          <t>AA+</t>
        </is>
      </c>
      <c r="V718" s="30" t="n"/>
    </row>
    <row r="719">
      <c r="A719" s="30" t="inlineStr">
        <is>
          <t>GB00BMF9LG83</t>
        </is>
      </c>
      <c r="B719" s="30" t="inlineStr">
        <is>
          <t>Top Pick</t>
        </is>
      </c>
      <c r="C719" s="30" t="inlineStr">
        <is>
          <t>United Kingdom Gilt</t>
        </is>
      </c>
      <c r="D719" s="30" t="n">
        <v>4.5</v>
      </c>
      <c r="E719" s="30" t="inlineStr">
        <is>
          <t>Unsecured</t>
        </is>
      </c>
      <c r="F719" s="30" t="inlineStr">
        <is>
          <t>07.06.2028</t>
        </is>
      </c>
      <c r="G719" s="30" t="inlineStr">
        <is>
          <t>United Kingdom</t>
        </is>
      </c>
      <c r="H719" s="30" t="inlineStr">
        <is>
          <t>Government</t>
        </is>
      </c>
      <c r="I719" s="30" t="n">
        <v>1e-05</v>
      </c>
      <c r="J719" s="30" t="n">
        <v>101.874</v>
      </c>
      <c r="K719" s="30" t="n">
        <v>3.813595</v>
      </c>
      <c r="L719" s="30" t="n">
        <v>-0.012911</v>
      </c>
      <c r="M719" s="30" t="n">
        <v>-0.179097</v>
      </c>
      <c r="N719" s="30" t="n">
        <v>7.400865194</v>
      </c>
      <c r="O719" s="30" t="n">
        <v>3.005124055</v>
      </c>
      <c r="P719" s="30" t="n">
        <v>85</v>
      </c>
      <c r="Q719" s="30" t="inlineStr">
        <is>
          <t>UK government bond</t>
        </is>
      </c>
      <c r="R719" s="30" t="inlineStr">
        <is>
          <t>GBP</t>
        </is>
      </c>
      <c r="S719" s="30" t="inlineStr">
        <is>
          <t>Investment Grade</t>
        </is>
      </c>
      <c r="T719" s="30" t="inlineStr">
        <is>
          <t>NR</t>
        </is>
      </c>
      <c r="U719" s="30" t="inlineStr">
        <is>
          <t>NR</t>
        </is>
      </c>
      <c r="V719" s="30" t="n"/>
    </row>
    <row r="720">
      <c r="A720" s="30" t="inlineStr">
        <is>
          <t>US00828EER62</t>
        </is>
      </c>
      <c r="B720" s="30" t="inlineStr">
        <is>
          <t xml:space="preserve">Hold </t>
        </is>
      </c>
      <c r="C720" s="30" t="inlineStr">
        <is>
          <t>African Development Bank</t>
        </is>
      </c>
      <c r="D720" s="30" t="n">
        <v>4.375</v>
      </c>
      <c r="E720" s="30" t="inlineStr">
        <is>
          <t>Sr Unsecured</t>
        </is>
      </c>
      <c r="F720" s="30" t="inlineStr">
        <is>
          <t>14.03.2028</t>
        </is>
      </c>
      <c r="G720" s="30" t="inlineStr">
        <is>
          <t>Supranational</t>
        </is>
      </c>
      <c r="H720" s="30" t="inlineStr">
        <is>
          <t>Government</t>
        </is>
      </c>
      <c r="I720" s="30" t="n">
        <v>1</v>
      </c>
      <c r="J720" s="30" t="n">
        <v>101.225</v>
      </c>
      <c r="K720" s="30" t="n">
        <v>3.887697</v>
      </c>
      <c r="L720" s="30" t="n">
        <v>0.108593</v>
      </c>
      <c r="M720" s="30" t="n">
        <v>-0.070447</v>
      </c>
      <c r="N720" s="30" t="n">
        <v>5.628861616</v>
      </c>
      <c r="O720" s="30" t="n">
        <v>2.786377577</v>
      </c>
      <c r="P720" s="30" t="n">
        <v>85</v>
      </c>
      <c r="Q720" s="30" t="inlineStr">
        <is>
          <t>Regional multilateral development finance institution</t>
        </is>
      </c>
      <c r="R720" s="30" t="inlineStr">
        <is>
          <t>USD</t>
        </is>
      </c>
      <c r="S720" s="30" t="inlineStr">
        <is>
          <t>Investment Grade</t>
        </is>
      </c>
      <c r="T720" s="30" t="inlineStr">
        <is>
          <t>AAA</t>
        </is>
      </c>
      <c r="U720" s="30" t="inlineStr">
        <is>
          <t>AAA</t>
        </is>
      </c>
      <c r="V720" s="30" t="n"/>
    </row>
    <row r="721">
      <c r="A721" s="30" t="inlineStr">
        <is>
          <t>US14913R3B15</t>
        </is>
      </c>
      <c r="B721" s="30" t="inlineStr">
        <is>
          <t>Hold</t>
        </is>
      </c>
      <c r="C721" s="30" t="inlineStr">
        <is>
          <t>Caterpillar Finl Service</t>
        </is>
      </c>
      <c r="D721" s="30" t="n">
        <v>4.8</v>
      </c>
      <c r="E721" s="30" t="inlineStr">
        <is>
          <t>Sr Unsecured</t>
        </is>
      </c>
      <c r="F721" s="30" t="inlineStr">
        <is>
          <t>06.01.2026</t>
        </is>
      </c>
      <c r="G721" s="30" t="inlineStr">
        <is>
          <t>United states</t>
        </is>
      </c>
      <c r="H721" s="30" t="inlineStr">
        <is>
          <t>Industrial</t>
        </is>
      </c>
      <c r="I721" s="30" t="n">
        <v>1</v>
      </c>
      <c r="J721" s="30" t="n">
        <v>100.216</v>
      </c>
      <c r="K721" s="30" t="n">
        <v>4.353614</v>
      </c>
      <c r="L721" s="30" t="n">
        <v>-0.073238</v>
      </c>
      <c r="M721" s="30" t="n">
        <v>-0.103495</v>
      </c>
      <c r="N721" s="30" t="n">
        <v>5.494939541</v>
      </c>
      <c r="O721" s="30" t="n">
        <v>0.844936782</v>
      </c>
      <c r="P721" s="30" t="n">
        <v>80</v>
      </c>
      <c r="Q721" s="30" t="inlineStr">
        <is>
          <t xml:space="preserve">Leading manufacturer of construction and mining equipment </t>
        </is>
      </c>
      <c r="R721" s="30" t="inlineStr">
        <is>
          <t>USD</t>
        </is>
      </c>
      <c r="S721" s="30" t="inlineStr">
        <is>
          <t>Investment Grade</t>
        </is>
      </c>
      <c r="T721" s="30" t="inlineStr">
        <is>
          <t>A</t>
        </is>
      </c>
      <c r="U721" s="30" t="inlineStr">
        <is>
          <t>A</t>
        </is>
      </c>
      <c r="V721" s="30" t="n"/>
    </row>
    <row r="722">
      <c r="A722" s="30" t="inlineStr">
        <is>
          <t>SI0002103990</t>
        </is>
      </c>
      <c r="B722" s="30" t="inlineStr">
        <is>
          <t>Hold</t>
        </is>
      </c>
      <c r="C722" s="30" t="inlineStr">
        <is>
          <t>Republika Slovenija</t>
        </is>
      </c>
      <c r="D722" s="30" t="n">
        <v>0.875</v>
      </c>
      <c r="E722" s="30" t="inlineStr">
        <is>
          <t>Sr Unsecured</t>
        </is>
      </c>
      <c r="F722" s="30" t="inlineStr">
        <is>
          <t>15.07.2030</t>
        </is>
      </c>
      <c r="G722" s="30" t="inlineStr">
        <is>
          <t>Slovenia</t>
        </is>
      </c>
      <c r="H722" s="30" t="inlineStr">
        <is>
          <t>Government</t>
        </is>
      </c>
      <c r="I722" s="30" t="n">
        <v>1</v>
      </c>
      <c r="J722" s="30" t="n">
        <v>93.14</v>
      </c>
      <c r="K722" s="30" t="n">
        <v>2.340337</v>
      </c>
      <c r="L722" s="30" t="n">
        <v>-0.003436</v>
      </c>
      <c r="M722" s="30" t="n">
        <v>-0.041054</v>
      </c>
      <c r="N722" s="30" t="n">
        <v>4.284283669</v>
      </c>
      <c r="O722" s="30" t="n">
        <v>5.124320125</v>
      </c>
      <c r="P722" s="30" t="n">
        <v>80</v>
      </c>
      <c r="Q722" s="30" t="inlineStr">
        <is>
          <t>Slovekia government bond</t>
        </is>
      </c>
      <c r="R722" s="30" t="inlineStr">
        <is>
          <t>EUR</t>
        </is>
      </c>
      <c r="S722" s="30" t="inlineStr">
        <is>
          <t>Investment Grade</t>
        </is>
      </c>
      <c r="T722" s="30" t="inlineStr">
        <is>
          <t>A</t>
        </is>
      </c>
      <c r="U722" s="30" t="inlineStr">
        <is>
          <t>A</t>
        </is>
      </c>
      <c r="V722" s="30" t="n"/>
    </row>
    <row r="723">
      <c r="A723" s="30" t="inlineStr">
        <is>
          <t>GB00BMV7TC88</t>
        </is>
      </c>
      <c r="B723" s="30" t="inlineStr">
        <is>
          <t xml:space="preserve">Hold </t>
        </is>
      </c>
      <c r="C723" s="30" t="inlineStr">
        <is>
          <t>United Kingdom Gilt</t>
        </is>
      </c>
      <c r="D723" s="30" t="n">
        <v>3.25</v>
      </c>
      <c r="E723" s="30" t="inlineStr">
        <is>
          <t>Unsecured</t>
        </is>
      </c>
      <c r="F723" s="30" t="inlineStr">
        <is>
          <t>31.01.2033</t>
        </is>
      </c>
      <c r="G723" s="30" t="inlineStr">
        <is>
          <t>United Kingdom</t>
        </is>
      </c>
      <c r="H723" s="30" t="inlineStr">
        <is>
          <t>Government</t>
        </is>
      </c>
      <c r="I723" s="30" t="n">
        <v>1e-05</v>
      </c>
      <c r="J723" s="30" t="n">
        <v>93.307</v>
      </c>
      <c r="K723" s="30" t="n">
        <v>4.295266</v>
      </c>
      <c r="L723" s="30" t="n">
        <v>0.026999</v>
      </c>
      <c r="M723" s="30" t="n">
        <v>-0.096501</v>
      </c>
      <c r="N723" s="30" t="n">
        <v>3.768982236</v>
      </c>
      <c r="O723" s="30" t="n">
        <v>6.845691528</v>
      </c>
      <c r="P723" s="30" t="n">
        <v>85</v>
      </c>
      <c r="Q723" s="30" t="inlineStr">
        <is>
          <t>UK government bond</t>
        </is>
      </c>
      <c r="R723" s="30" t="inlineStr">
        <is>
          <t>GBP</t>
        </is>
      </c>
      <c r="S723" s="30" t="inlineStr">
        <is>
          <t>Investment Grade</t>
        </is>
      </c>
      <c r="T723" s="30" t="inlineStr">
        <is>
          <t>NR</t>
        </is>
      </c>
      <c r="U723" s="30" t="inlineStr">
        <is>
          <t>NR</t>
        </is>
      </c>
      <c r="V723" s="30" t="n"/>
    </row>
    <row r="724">
      <c r="A724" s="30" t="inlineStr">
        <is>
          <t>US037833EU05</t>
        </is>
      </c>
      <c r="B724" s="30" t="inlineStr">
        <is>
          <t>Hold</t>
        </is>
      </c>
      <c r="C724" s="30" t="inlineStr">
        <is>
          <t>Apple Inc</t>
        </is>
      </c>
      <c r="D724" s="30" t="n">
        <v>4.15</v>
      </c>
      <c r="E724" s="30" t="inlineStr">
        <is>
          <t>Sr Unsecured</t>
        </is>
      </c>
      <c r="F724" s="30" t="inlineStr">
        <is>
          <t>10.05.2030</t>
        </is>
      </c>
      <c r="G724" s="30" t="inlineStr">
        <is>
          <t>United states</t>
        </is>
      </c>
      <c r="H724" s="30" t="inlineStr">
        <is>
          <t>Technology</t>
        </is>
      </c>
      <c r="I724" s="30" t="n">
        <v>2</v>
      </c>
      <c r="J724" s="30" t="n">
        <v>100.735</v>
      </c>
      <c r="K724" s="30" t="n">
        <v>3.975792</v>
      </c>
      <c r="L724" s="30" t="n">
        <v>0.036037</v>
      </c>
      <c r="M724" s="30" t="n">
        <v>-0.110583</v>
      </c>
      <c r="N724" s="30" t="n">
        <v>3.472197547</v>
      </c>
      <c r="O724" s="30" t="n">
        <v>4.59341161</v>
      </c>
      <c r="P724" s="30" t="n">
        <v>85</v>
      </c>
      <c r="Q724" s="30" t="inlineStr">
        <is>
          <t>Leading global designer and seller of premium electronic devices</t>
        </is>
      </c>
      <c r="R724" s="30" t="inlineStr">
        <is>
          <t>USD</t>
        </is>
      </c>
      <c r="S724" s="30" t="inlineStr">
        <is>
          <t>Investment Grade</t>
        </is>
      </c>
      <c r="T724" s="30" t="inlineStr">
        <is>
          <t>AA+</t>
        </is>
      </c>
      <c r="U724" s="30" t="inlineStr">
        <is>
          <t>AA+</t>
        </is>
      </c>
      <c r="V724" s="30" t="n"/>
    </row>
    <row r="725">
      <c r="A725" s="30" t="inlineStr">
        <is>
          <t>GB0032452392</t>
        </is>
      </c>
      <c r="B725" s="30" t="inlineStr">
        <is>
          <t xml:space="preserve">Hold </t>
        </is>
      </c>
      <c r="C725" s="30" t="inlineStr">
        <is>
          <t>United Kingdom Gilt</t>
        </is>
      </c>
      <c r="D725" s="30" t="n">
        <v>4.25</v>
      </c>
      <c r="E725" s="30" t="inlineStr">
        <is>
          <t>Unsecured</t>
        </is>
      </c>
      <c r="F725" s="30" t="inlineStr">
        <is>
          <t>07.03.2036</t>
        </is>
      </c>
      <c r="G725" s="30" t="inlineStr">
        <is>
          <t>United Kingdom</t>
        </is>
      </c>
      <c r="H725" s="30" t="inlineStr">
        <is>
          <t>Government</t>
        </is>
      </c>
      <c r="I725" s="30" t="n">
        <v>1e-05</v>
      </c>
      <c r="J725" s="30" t="n">
        <v>96.861</v>
      </c>
      <c r="K725" s="30" t="n">
        <v>4.625404</v>
      </c>
      <c r="L725" s="30" t="n">
        <v>0.043347</v>
      </c>
      <c r="M725" s="30" t="n">
        <v>-0.057977</v>
      </c>
      <c r="N725" s="30" t="n">
        <v>1.780077489</v>
      </c>
      <c r="O725" s="30" t="n">
        <v>8.493844379</v>
      </c>
      <c r="P725" s="30" t="n">
        <v>85</v>
      </c>
      <c r="Q725" s="30" t="inlineStr">
        <is>
          <t>UK government bond</t>
        </is>
      </c>
      <c r="R725" s="30" t="inlineStr">
        <is>
          <t>GBP</t>
        </is>
      </c>
      <c r="S725" s="30" t="inlineStr">
        <is>
          <t>Investment Grade</t>
        </is>
      </c>
      <c r="T725" s="30" t="inlineStr">
        <is>
          <t>NR</t>
        </is>
      </c>
      <c r="U725" s="30" t="inlineStr">
        <is>
          <t>NR</t>
        </is>
      </c>
      <c r="V725" s="30" t="n"/>
    </row>
    <row r="726">
      <c r="A726" s="30" t="inlineStr">
        <is>
          <t>GB00B3KJDS62</t>
        </is>
      </c>
      <c r="B726" s="30" t="inlineStr">
        <is>
          <t xml:space="preserve">Hold </t>
        </is>
      </c>
      <c r="C726" s="30" t="inlineStr">
        <is>
          <t>United Kingdom Gilt</t>
        </is>
      </c>
      <c r="D726" s="30" t="n">
        <v>4.25</v>
      </c>
      <c r="E726" s="30" t="inlineStr">
        <is>
          <t>Unsecured</t>
        </is>
      </c>
      <c r="F726" s="30" t="inlineStr">
        <is>
          <t>07.09.2039</t>
        </is>
      </c>
      <c r="G726" s="30" t="inlineStr">
        <is>
          <t>United Kingdom</t>
        </is>
      </c>
      <c r="H726" s="30" t="inlineStr">
        <is>
          <t>Government</t>
        </is>
      </c>
      <c r="I726" s="30" t="n">
        <v>1e-05</v>
      </c>
      <c r="J726" s="30" t="n">
        <v>93.203</v>
      </c>
      <c r="K726" s="30" t="n">
        <v>4.921487</v>
      </c>
      <c r="L726" s="30" t="n">
        <v>0.055621</v>
      </c>
      <c r="M726" s="30" t="n">
        <v>-0.030796</v>
      </c>
      <c r="N726" s="30" t="n">
        <v>1.447624535</v>
      </c>
      <c r="O726" s="30" t="n">
        <v>10.36069097</v>
      </c>
      <c r="P726" s="30" t="n">
        <v>85</v>
      </c>
      <c r="Q726" s="30" t="inlineStr">
        <is>
          <t>UK government bond</t>
        </is>
      </c>
      <c r="R726" s="30" t="inlineStr">
        <is>
          <t>GBP</t>
        </is>
      </c>
      <c r="S726" s="30" t="inlineStr">
        <is>
          <t>Investment Grade</t>
        </is>
      </c>
      <c r="T726" s="30" t="inlineStr">
        <is>
          <t>NR</t>
        </is>
      </c>
      <c r="U726" s="30" t="inlineStr">
        <is>
          <t>NR</t>
        </is>
      </c>
      <c r="V726" s="30" t="n"/>
    </row>
    <row r="727">
      <c r="A727" s="30" t="inlineStr">
        <is>
          <t>USY3422VCS52</t>
        </is>
      </c>
      <c r="B727" s="30" t="inlineStr">
        <is>
          <t xml:space="preserve">Hold </t>
        </is>
      </c>
      <c r="C727" s="30" t="inlineStr">
        <is>
          <t>Hong Kong</t>
        </is>
      </c>
      <c r="D727" s="30" t="n">
        <v>1.375</v>
      </c>
      <c r="E727" s="30" t="inlineStr">
        <is>
          <t>Sr Unsecured</t>
        </is>
      </c>
      <c r="F727" s="30" t="inlineStr">
        <is>
          <t>02.02.2031</t>
        </is>
      </c>
      <c r="G727" s="30" t="inlineStr">
        <is>
          <t>Hong Kong</t>
        </is>
      </c>
      <c r="H727" s="30" t="inlineStr">
        <is>
          <t>Government</t>
        </is>
      </c>
      <c r="I727" s="30" t="n">
        <v>200</v>
      </c>
      <c r="J727" s="30" t="n">
        <v>86.967</v>
      </c>
      <c r="K727" s="30" t="n">
        <v>4.010455</v>
      </c>
      <c r="L727" s="30" t="n">
        <v>0.030857</v>
      </c>
      <c r="M727" s="30" t="n">
        <v>-0.132571</v>
      </c>
      <c r="N727" s="30" t="n">
        <v>0.460296963</v>
      </c>
      <c r="O727" s="30" t="n">
        <v>5.569587958</v>
      </c>
      <c r="P727" s="30" t="n">
        <v>85</v>
      </c>
      <c r="Q727" s="30" t="inlineStr">
        <is>
          <t>Government of Hong Kong</t>
        </is>
      </c>
      <c r="R727" s="30" t="inlineStr">
        <is>
          <t>USD</t>
        </is>
      </c>
      <c r="S727" s="30" t="inlineStr">
        <is>
          <t>Investment Grade</t>
        </is>
      </c>
      <c r="T727" s="30" t="inlineStr">
        <is>
          <t>AA</t>
        </is>
      </c>
      <c r="U727" s="30" t="inlineStr">
        <is>
          <t>AA</t>
        </is>
      </c>
      <c r="V727" s="30" t="n"/>
    </row>
    <row r="728">
      <c r="A728" s="30" t="inlineStr">
        <is>
          <t>GB00BJMHB534</t>
        </is>
      </c>
      <c r="B728" s="30" t="inlineStr">
        <is>
          <t xml:space="preserve">Hold </t>
        </is>
      </c>
      <c r="C728" s="30" t="inlineStr">
        <is>
          <t>United Kingdom Gilt</t>
        </is>
      </c>
      <c r="D728" s="30" t="n">
        <v>0.875</v>
      </c>
      <c r="E728" s="30" t="inlineStr">
        <is>
          <t>Unsecured</t>
        </is>
      </c>
      <c r="F728" s="30" t="inlineStr">
        <is>
          <t>22.10.2029</t>
        </is>
      </c>
      <c r="G728" s="30" t="inlineStr">
        <is>
          <t>United Kingdom</t>
        </is>
      </c>
      <c r="H728" s="30" t="inlineStr">
        <is>
          <t>Government</t>
        </is>
      </c>
      <c r="I728" s="30" t="n">
        <v>1e-05</v>
      </c>
      <c r="J728" s="30" t="n">
        <v>88.602</v>
      </c>
      <c r="K728" s="30" t="n">
        <v>3.777668</v>
      </c>
      <c r="L728" s="30" t="n">
        <v>0.008278000000000001</v>
      </c>
      <c r="M728" s="30" t="n">
        <v>-0.150836</v>
      </c>
      <c r="N728" s="30" t="n">
        <v>-8.836239953</v>
      </c>
      <c r="O728" s="30" t="n">
        <v>4.465589229</v>
      </c>
      <c r="P728" s="30" t="n">
        <v>85</v>
      </c>
      <c r="Q728" s="30" t="inlineStr">
        <is>
          <t>UK government bond</t>
        </is>
      </c>
      <c r="R728" s="30" t="inlineStr">
        <is>
          <t>GBP</t>
        </is>
      </c>
      <c r="S728" s="30" t="inlineStr">
        <is>
          <t>Investment Grade</t>
        </is>
      </c>
      <c r="T728" s="30" t="inlineStr">
        <is>
          <t>NR</t>
        </is>
      </c>
      <c r="U728" s="30" t="inlineStr">
        <is>
          <t>NR</t>
        </is>
      </c>
      <c r="V728" s="30" t="n"/>
    </row>
    <row r="729">
      <c r="A729" s="30" t="inlineStr">
        <is>
          <t>GB00BL68HH02</t>
        </is>
      </c>
      <c r="B729" s="30" t="inlineStr">
        <is>
          <t xml:space="preserve">Hold </t>
        </is>
      </c>
      <c r="C729" s="30" t="inlineStr">
        <is>
          <t>United Kingdom Gilt</t>
        </is>
      </c>
      <c r="D729" s="30" t="n">
        <v>0.375</v>
      </c>
      <c r="E729" s="30" t="inlineStr">
        <is>
          <t>Unsecured</t>
        </is>
      </c>
      <c r="F729" s="30" t="inlineStr">
        <is>
          <t>22.10.2030</t>
        </is>
      </c>
      <c r="G729" s="30" t="inlineStr">
        <is>
          <t>United Kingdom</t>
        </is>
      </c>
      <c r="H729" s="30" t="inlineStr">
        <is>
          <t>Government</t>
        </is>
      </c>
      <c r="I729" s="30" t="n">
        <v>1e-05</v>
      </c>
      <c r="J729" s="30" t="n">
        <v>83.395</v>
      </c>
      <c r="K729" s="30" t="n">
        <v>3.876968</v>
      </c>
      <c r="L729" s="30" t="n">
        <v>0.013449</v>
      </c>
      <c r="M729" s="30" t="n">
        <v>-0.141538</v>
      </c>
      <c r="N729" s="30" t="n">
        <v>-11.97383051</v>
      </c>
      <c r="O729" s="30" t="n">
        <v>5.478900031</v>
      </c>
      <c r="P729" s="30" t="n">
        <v>85</v>
      </c>
      <c r="Q729" s="30" t="inlineStr">
        <is>
          <t>UK government bond</t>
        </is>
      </c>
      <c r="R729" s="30" t="inlineStr">
        <is>
          <t>GBP</t>
        </is>
      </c>
      <c r="S729" s="30" t="inlineStr">
        <is>
          <t>Investment Grade</t>
        </is>
      </c>
      <c r="T729" s="30" t="inlineStr">
        <is>
          <t>NR</t>
        </is>
      </c>
      <c r="U729" s="30" t="inlineStr">
        <is>
          <t>NR</t>
        </is>
      </c>
      <c r="V729" s="30" t="n"/>
    </row>
    <row r="730">
      <c r="A730" s="30" t="inlineStr">
        <is>
          <t>CH1253456078</t>
        </is>
      </c>
      <c r="B730" s="30" t="inlineStr">
        <is>
          <t>Hold</t>
        </is>
      </c>
      <c r="C730" s="30" t="inlineStr">
        <is>
          <t>Sika Ag</t>
        </is>
      </c>
      <c r="D730" s="30" t="n">
        <v>2.25</v>
      </c>
      <c r="E730" s="30" t="inlineStr">
        <is>
          <t>Sr Unsecured</t>
        </is>
      </c>
      <c r="F730" s="30" t="inlineStr">
        <is>
          <t>13.04.2026</t>
        </is>
      </c>
      <c r="G730" s="30" t="inlineStr">
        <is>
          <t>Switzerland</t>
        </is>
      </c>
      <c r="H730" s="30" t="inlineStr">
        <is>
          <t>Industrial</t>
        </is>
      </c>
      <c r="I730" s="30" t="n">
        <v>5</v>
      </c>
      <c r="J730" s="30" t="n">
        <v>101.333</v>
      </c>
      <c r="K730" s="30" t="n">
        <v>-0.35021</v>
      </c>
      <c r="L730" s="30" t="n">
        <v>-0.056008</v>
      </c>
      <c r="M730" s="30" t="n">
        <v>-0.023266</v>
      </c>
      <c r="N730" s="30" t="n">
        <v>-27.34967599</v>
      </c>
      <c r="O730" s="30" t="n">
        <v>0.869000127</v>
      </c>
      <c r="P730" s="30" t="n">
        <v>80</v>
      </c>
      <c r="Q730" s="30" t="inlineStr">
        <is>
          <t>Manufactures construction materials</t>
        </is>
      </c>
      <c r="R730" s="30" t="inlineStr">
        <is>
          <t>CHF</t>
        </is>
      </c>
      <c r="S730" s="30" t="inlineStr">
        <is>
          <t>Investment Grade</t>
        </is>
      </c>
      <c r="T730" s="30" t="inlineStr">
        <is>
          <t>NR</t>
        </is>
      </c>
      <c r="U730" s="30" t="inlineStr">
        <is>
          <t>NR</t>
        </is>
      </c>
      <c r="V730" s="30" t="n"/>
    </row>
    <row r="731">
      <c r="A731" s="30" t="inlineStr">
        <is>
          <t>CH1236363433</t>
        </is>
      </c>
      <c r="B731" s="30" t="inlineStr">
        <is>
          <t>Hold</t>
        </is>
      </c>
      <c r="C731" s="30" t="inlineStr">
        <is>
          <t>Swiss Life Holding Ag</t>
        </is>
      </c>
      <c r="D731" s="30" t="n">
        <v>2.04</v>
      </c>
      <c r="E731" s="30" t="inlineStr">
        <is>
          <t>Sr Unsecured</t>
        </is>
      </c>
      <c r="F731" s="30" t="inlineStr">
        <is>
          <t>26.01.2026</t>
        </is>
      </c>
      <c r="G731" s="30" t="inlineStr">
        <is>
          <t>Switzerland</t>
        </is>
      </c>
      <c r="H731" s="30" t="inlineStr">
        <is>
          <t>Financial</t>
        </is>
      </c>
      <c r="I731" s="30" t="n">
        <v>5</v>
      </c>
      <c r="J731" s="30" t="n">
        <v>100.743</v>
      </c>
      <c r="K731" s="30" t="n">
        <v>-0.44991</v>
      </c>
      <c r="L731" s="30" t="n">
        <v>0.003155</v>
      </c>
      <c r="M731" s="30" t="n">
        <v>0.066914</v>
      </c>
      <c r="N731" s="30" t="n">
        <v>-37.15106108</v>
      </c>
      <c r="O731" s="30" t="n">
        <v>0.6717856210000001</v>
      </c>
      <c r="P731" s="30" t="n">
        <v>80</v>
      </c>
      <c r="Q731" s="30" t="inlineStr">
        <is>
          <t>Provides life and property insurance</t>
        </is>
      </c>
      <c r="R731" s="30" t="inlineStr">
        <is>
          <t>CHF</t>
        </is>
      </c>
      <c r="S731" s="30" t="inlineStr">
        <is>
          <t>Investment Grade</t>
        </is>
      </c>
      <c r="T731" s="30" t="inlineStr">
        <is>
          <t>NR</t>
        </is>
      </c>
      <c r="U731" s="30" t="inlineStr">
        <is>
          <t>NR</t>
        </is>
      </c>
      <c r="V731" s="30" t="n"/>
    </row>
    <row r="732">
      <c r="A732" s="30" t="inlineStr">
        <is>
          <t>GB00BMBL1D50</t>
        </is>
      </c>
      <c r="B732" s="30" t="inlineStr">
        <is>
          <t xml:space="preserve">Hold </t>
        </is>
      </c>
      <c r="C732" s="30" t="inlineStr">
        <is>
          <t>United Kingdom Gilt</t>
        </is>
      </c>
      <c r="D732" s="30" t="n">
        <v>0.5</v>
      </c>
      <c r="E732" s="30" t="inlineStr">
        <is>
          <t>Unsecured</t>
        </is>
      </c>
      <c r="F732" s="30" t="inlineStr">
        <is>
          <t>22.10.2061</t>
        </is>
      </c>
      <c r="G732" s="30" t="inlineStr">
        <is>
          <t>United Kingdom</t>
        </is>
      </c>
      <c r="H732" s="30" t="inlineStr">
        <is>
          <t>Government</t>
        </is>
      </c>
      <c r="I732" s="30" t="n">
        <v>1e-05</v>
      </c>
      <c r="J732" s="30" t="n">
        <v>25.851</v>
      </c>
      <c r="K732" s="30" t="n">
        <v>4.879063</v>
      </c>
      <c r="L732" s="30" t="n">
        <v>0.048544</v>
      </c>
      <c r="M732" s="30" t="n">
        <v>0.054004</v>
      </c>
      <c r="N732" s="30" t="n">
        <v>-37.30538387</v>
      </c>
      <c r="O732" s="30" t="n">
        <v>28.60651671</v>
      </c>
      <c r="P732" s="30" t="n">
        <v>85</v>
      </c>
      <c r="Q732" s="30" t="inlineStr">
        <is>
          <t>UK government bond</t>
        </is>
      </c>
      <c r="R732" s="30" t="inlineStr">
        <is>
          <t>GBP</t>
        </is>
      </c>
      <c r="S732" s="30" t="inlineStr">
        <is>
          <t>Investment Grade</t>
        </is>
      </c>
      <c r="T732" s="30" t="inlineStr">
        <is>
          <t>NR</t>
        </is>
      </c>
      <c r="U732" s="30" t="inlineStr">
        <is>
          <t>NR</t>
        </is>
      </c>
      <c r="V732" s="30" t="n"/>
    </row>
    <row r="733">
      <c r="A733" s="30" t="inlineStr">
        <is>
          <t>USY15025AC67</t>
        </is>
      </c>
      <c r="B733" s="30" t="inlineStr">
        <is>
          <t>Hold</t>
        </is>
      </c>
      <c r="C733" s="30" t="inlineStr">
        <is>
          <t>China Govt Intl Bond</t>
        </is>
      </c>
      <c r="D733" s="30" t="n">
        <v>1.2</v>
      </c>
      <c r="E733" s="30" t="inlineStr">
        <is>
          <t>Sr Unsecured</t>
        </is>
      </c>
      <c r="F733" s="30" t="inlineStr">
        <is>
          <t>21.10.2030</t>
        </is>
      </c>
      <c r="G733" s="30" t="inlineStr">
        <is>
          <t>China</t>
        </is>
      </c>
      <c r="H733" s="30" t="inlineStr">
        <is>
          <t>Government</t>
        </is>
      </c>
      <c r="I733" s="30" t="n">
        <v>200</v>
      </c>
      <c r="J733" s="30" t="n">
        <v>88.758</v>
      </c>
      <c r="K733" s="30" t="n">
        <v>3.551051</v>
      </c>
      <c r="L733" s="30" t="n">
        <v>0.091368</v>
      </c>
      <c r="M733" s="30" t="n">
        <v>-0.119414</v>
      </c>
      <c r="N733" s="30" t="n">
        <v>-41.76982177</v>
      </c>
      <c r="O733" s="30" t="n">
        <v>5.345629533</v>
      </c>
      <c r="P733" s="30" t="n">
        <v>80</v>
      </c>
      <c r="Q733" s="30" t="inlineStr">
        <is>
          <t>China Government</t>
        </is>
      </c>
      <c r="R733" s="30" t="inlineStr">
        <is>
          <t>USD</t>
        </is>
      </c>
      <c r="S733" s="30" t="inlineStr">
        <is>
          <t>Investment Grade</t>
        </is>
      </c>
      <c r="T733" s="30" t="inlineStr">
        <is>
          <t>NR</t>
        </is>
      </c>
      <c r="U733" s="30" t="inlineStr">
        <is>
          <t>NR</t>
        </is>
      </c>
      <c r="V733" s="30" t="n"/>
    </row>
    <row r="734">
      <c r="A734" s="30" t="inlineStr">
        <is>
          <t>CH1226543861</t>
        </is>
      </c>
      <c r="B734" s="30" t="inlineStr">
        <is>
          <t>Hold</t>
        </is>
      </c>
      <c r="C734" s="30" t="inlineStr">
        <is>
          <t>Sika Ag</t>
        </is>
      </c>
      <c r="D734" s="30" t="n">
        <v>1.9</v>
      </c>
      <c r="E734" s="30" t="inlineStr">
        <is>
          <t>Sr Unsecured</t>
        </is>
      </c>
      <c r="F734" s="30" t="inlineStr">
        <is>
          <t>28.11.2025</t>
        </is>
      </c>
      <c r="G734" s="30" t="inlineStr">
        <is>
          <t>Switzerland</t>
        </is>
      </c>
      <c r="H734" s="30" t="inlineStr">
        <is>
          <t>Industrial</t>
        </is>
      </c>
      <c r="I734" s="30" t="n">
        <v>5</v>
      </c>
      <c r="J734" s="30" t="n">
        <v>100.44</v>
      </c>
      <c r="K734" s="30" t="n">
        <v>-1.304177</v>
      </c>
      <c r="L734" s="30" t="n">
        <v>-0.24053</v>
      </c>
      <c r="M734" s="30" t="n">
        <v>-0.738675</v>
      </c>
      <c r="N734" s="30" t="n">
        <v>-122.2412537</v>
      </c>
      <c r="O734" s="30" t="n">
        <v>0.511169177</v>
      </c>
      <c r="P734" s="30" t="n">
        <v>80</v>
      </c>
      <c r="Q734" s="30" t="inlineStr">
        <is>
          <t>Manufactures construction materials</t>
        </is>
      </c>
      <c r="R734" s="30" t="inlineStr">
        <is>
          <t>CHF</t>
        </is>
      </c>
      <c r="S734" s="30" t="inlineStr">
        <is>
          <t>Investment Grade</t>
        </is>
      </c>
      <c r="T734" s="30" t="inlineStr">
        <is>
          <t>NR</t>
        </is>
      </c>
      <c r="U734" s="30" t="inlineStr">
        <is>
          <t>NR</t>
        </is>
      </c>
      <c r="V734" s="30" t="n"/>
    </row>
    <row r="735">
      <c r="A735" s="30" t="inlineStr">
        <is>
          <t>XS1814065345</t>
        </is>
      </c>
      <c r="B735" s="30" t="inlineStr">
        <is>
          <t>Hold</t>
        </is>
      </c>
      <c r="C735" s="30" t="inlineStr">
        <is>
          <t>Gestamp Automocion Sa</t>
        </is>
      </c>
      <c r="D735" s="30" t="n">
        <v>3.25</v>
      </c>
      <c r="E735" s="30" t="inlineStr">
        <is>
          <t>3Rd Lien</t>
        </is>
      </c>
      <c r="F735" s="30" t="inlineStr">
        <is>
          <t>30.04.2026</t>
        </is>
      </c>
      <c r="G735" s="30" t="inlineStr">
        <is>
          <t>Spain</t>
        </is>
      </c>
      <c r="H735" s="30" t="inlineStr">
        <is>
          <t>Consumer, Cyclical</t>
        </is>
      </c>
      <c r="I735" s="30" t="n">
        <v>100</v>
      </c>
      <c r="J735" s="30" t="n">
        <v>100.077</v>
      </c>
      <c r="K735" s="30" t="n">
        <v>-0.235848</v>
      </c>
      <c r="L735" s="30" t="n">
        <v>-3.625743</v>
      </c>
      <c r="M735" s="30" t="n">
        <v>-3.593188</v>
      </c>
      <c r="N735" s="30" t="n">
        <v>-206.3439858</v>
      </c>
      <c r="O735" s="30" t="n">
        <v>0.022321743</v>
      </c>
      <c r="P735" s="30" t="n">
        <v>20</v>
      </c>
      <c r="Q735" s="30" t="inlineStr">
        <is>
          <t>Global automotive manufacturer</t>
        </is>
      </c>
      <c r="R735" s="30" t="inlineStr">
        <is>
          <t>EUR</t>
        </is>
      </c>
      <c r="S735" s="30" t="inlineStr">
        <is>
          <t>High Yield</t>
        </is>
      </c>
      <c r="T735" s="30" t="inlineStr">
        <is>
          <t>BB</t>
        </is>
      </c>
      <c r="U735" s="30" t="inlineStr">
        <is>
          <t>BB</t>
        </is>
      </c>
      <c r="V735" s="30" t="n"/>
    </row>
    <row r="736">
      <c r="A736" s="30" t="inlineStr">
        <is>
          <t>XS2364593579</t>
        </is>
      </c>
      <c r="B736" s="30" t="inlineStr">
        <is>
          <t>Hold</t>
        </is>
      </c>
      <c r="C736" s="30" t="inlineStr">
        <is>
          <t>Jaguar Land Rover Automo</t>
        </is>
      </c>
      <c r="D736" s="30" t="n">
        <v>4.5</v>
      </c>
      <c r="E736" s="30" t="inlineStr">
        <is>
          <t>Sr Unsecured</t>
        </is>
      </c>
      <c r="F736" s="30" t="inlineStr">
        <is>
          <t>15.07.2028</t>
        </is>
      </c>
      <c r="G736" s="30" t="inlineStr">
        <is>
          <t>United Kingdom</t>
        </is>
      </c>
      <c r="H736" s="30" t="inlineStr">
        <is>
          <t>Consumer, Cyclical</t>
        </is>
      </c>
      <c r="I736" s="30" t="n">
        <v>100</v>
      </c>
      <c r="J736" s="30" t="n">
        <v>101.313</v>
      </c>
      <c r="K736" s="30" t="n">
        <v>-3.754922</v>
      </c>
      <c r="L736" s="30" t="n">
        <v>-7.190807</v>
      </c>
      <c r="M736" s="30" t="n">
        <v>-6.180514</v>
      </c>
      <c r="N736" s="30" t="n">
        <v>-567.4422487000001</v>
      </c>
      <c r="O736" s="30" t="n">
        <v>0.387584241</v>
      </c>
      <c r="P736" s="30" t="n">
        <v>25</v>
      </c>
      <c r="Q736" s="30" t="inlineStr">
        <is>
          <t xml:space="preserve"> designs, develops, and manufactures automobiles</t>
        </is>
      </c>
      <c r="R736" s="30" t="inlineStr">
        <is>
          <t>EUR</t>
        </is>
      </c>
      <c r="S736" s="30" t="inlineStr">
        <is>
          <t>High Yield</t>
        </is>
      </c>
      <c r="T736" s="30" t="inlineStr">
        <is>
          <t>BB+</t>
        </is>
      </c>
      <c r="U736" s="30" t="inlineStr">
        <is>
          <t>BB+</t>
        </is>
      </c>
      <c r="V736" s="30" t="n"/>
    </row>
    <row r="737">
      <c r="A737" s="30" t="inlineStr">
        <is>
          <t>USU04354AF00</t>
        </is>
      </c>
      <c r="B737" s="30" t="inlineStr">
        <is>
          <t>Hold</t>
        </is>
      </c>
      <c r="C737" s="30" t="inlineStr">
        <is>
          <t>Ascent Resources/Aru Fin</t>
        </is>
      </c>
      <c r="D737" s="30" t="n">
        <v>8.25</v>
      </c>
      <c r="E737" s="30" t="inlineStr">
        <is>
          <t>Sr Unsecured</t>
        </is>
      </c>
      <c r="F737" s="30" t="inlineStr">
        <is>
          <t>31.12.2028</t>
        </is>
      </c>
      <c r="G737" s="30" t="inlineStr">
        <is>
          <t>United states</t>
        </is>
      </c>
      <c r="H737" s="30" t="inlineStr">
        <is>
          <t>Energy</t>
        </is>
      </c>
      <c r="I737" s="30" t="n">
        <v>2</v>
      </c>
      <c r="J737" s="30" t="n">
        <v>102.228</v>
      </c>
      <c r="K737" s="30" t="inlineStr">
        <is>
          <t>#N/A N/A</t>
        </is>
      </c>
      <c r="L737" s="30" t="e">
        <v>#VALUE!</v>
      </c>
      <c r="M737" s="30" t="e">
        <v>#VALUE!</v>
      </c>
      <c r="N737" s="30" t="inlineStr">
        <is>
          <t>#N/A N/A</t>
        </is>
      </c>
      <c r="O737" s="30" t="n">
        <v>0.085782107</v>
      </c>
      <c r="P737" s="30" t="n">
        <v>25</v>
      </c>
      <c r="Q737" s="30" t="inlineStr">
        <is>
          <t>A natural gas company</t>
        </is>
      </c>
      <c r="R737" s="30" t="inlineStr">
        <is>
          <t>USD</t>
        </is>
      </c>
      <c r="S737" s="30" t="inlineStr">
        <is>
          <t>High Yield</t>
        </is>
      </c>
      <c r="T737" s="30" t="inlineStr">
        <is>
          <t>B+</t>
        </is>
      </c>
      <c r="U737" s="30" t="inlineStr">
        <is>
          <t>B+</t>
        </is>
      </c>
      <c r="V737" s="30" t="n"/>
    </row>
    <row r="738">
      <c r="A738" s="30" t="inlineStr">
        <is>
          <t>XS2361342889</t>
        </is>
      </c>
      <c r="B738" s="30" t="inlineStr">
        <is>
          <t>Hold</t>
        </is>
      </c>
      <c r="C738" s="30" t="inlineStr">
        <is>
          <t>Picard Groupe Sa</t>
        </is>
      </c>
      <c r="D738" s="30" t="n">
        <v>3.875</v>
      </c>
      <c r="E738" s="30" t="inlineStr">
        <is>
          <t>Secured</t>
        </is>
      </c>
      <c r="F738" s="30" t="inlineStr">
        <is>
          <t>01.07.2026</t>
        </is>
      </c>
      <c r="G738" s="30" t="inlineStr">
        <is>
          <t>France</t>
        </is>
      </c>
      <c r="H738" s="30" t="inlineStr">
        <is>
          <t>Consumer, Non-cyclical</t>
        </is>
      </c>
      <c r="I738" s="30" t="n">
        <v>100</v>
      </c>
      <c r="J738" s="30" t="n">
        <v>100.066</v>
      </c>
      <c r="K738" s="30" t="inlineStr">
        <is>
          <t>#N/A N/A</t>
        </is>
      </c>
      <c r="L738" s="30" t="e">
        <v>#VALUE!</v>
      </c>
      <c r="M738" s="30" t="e">
        <v>#VALUE!</v>
      </c>
      <c r="N738" s="30" t="inlineStr">
        <is>
          <t>#N/A N/A</t>
        </is>
      </c>
      <c r="O738" s="30" t="n">
        <v>0.347441926</v>
      </c>
      <c r="P738" s="30" t="n">
        <v>25</v>
      </c>
      <c r="Q738" s="30" t="inlineStr">
        <is>
          <t xml:space="preserve">French distributor of Frozen food products </t>
        </is>
      </c>
      <c r="R738" s="30" t="inlineStr">
        <is>
          <t>EUR</t>
        </is>
      </c>
      <c r="S738" s="30" t="inlineStr">
        <is>
          <t>High Yield</t>
        </is>
      </c>
      <c r="T738" s="30" t="inlineStr">
        <is>
          <t>NR</t>
        </is>
      </c>
      <c r="U738" s="30" t="inlineStr">
        <is>
          <t>NR</t>
        </is>
      </c>
      <c r="V738" s="30" t="n"/>
    </row>
    <row r="739">
      <c r="A739" s="30" t="inlineStr">
        <is>
          <t>US46590XAZ96</t>
        </is>
      </c>
      <c r="B739" s="30" t="inlineStr">
        <is>
          <t xml:space="preserve">Hold </t>
        </is>
      </c>
      <c r="C739" s="30" t="inlineStr">
        <is>
          <t>Jbs Usa Hold/Food/Lux Co</t>
        </is>
      </c>
      <c r="D739" s="30" t="n">
        <v>5.125</v>
      </c>
      <c r="E739" s="30" t="inlineStr">
        <is>
          <t>Sr Unsecured</t>
        </is>
      </c>
      <c r="F739" s="30" t="inlineStr">
        <is>
          <t>01.02.2028</t>
        </is>
      </c>
      <c r="G739" s="30" t="inlineStr">
        <is>
          <t>United states</t>
        </is>
      </c>
      <c r="H739" s="30" t="inlineStr">
        <is>
          <t>Consumer, Non-cyclical</t>
        </is>
      </c>
      <c r="I739" s="30" t="n">
        <v>2</v>
      </c>
      <c r="J739" s="30" t="n">
        <v>102.487</v>
      </c>
      <c r="K739" s="30" t="inlineStr">
        <is>
          <t>#N/A N/A</t>
        </is>
      </c>
      <c r="L739" s="30" t="e">
        <v>#VALUE!</v>
      </c>
      <c r="M739" s="30" t="e">
        <v>#VALUE!</v>
      </c>
      <c r="N739" s="30" t="inlineStr">
        <is>
          <t>#N/A N/A</t>
        </is>
      </c>
      <c r="O739" s="30" t="n">
        <v>2.624760804</v>
      </c>
      <c r="P739" s="30" t="n">
        <v>0</v>
      </c>
      <c r="Q739" s="30" t="inlineStr">
        <is>
          <t xml:space="preserve">Largest protein company in Latin America </t>
        </is>
      </c>
      <c r="R739" s="30" t="inlineStr">
        <is>
          <t>USD</t>
        </is>
      </c>
      <c r="S739" s="30" t="inlineStr">
        <is>
          <t>Latin America</t>
        </is>
      </c>
      <c r="T739" s="30" t="inlineStr">
        <is>
          <t>BBB-</t>
        </is>
      </c>
      <c r="U739" s="30" t="inlineStr">
        <is>
          <t>BBB-</t>
        </is>
      </c>
      <c r="V739" s="30" t="n"/>
    </row>
    <row r="740">
      <c r="A740" s="30" t="inlineStr">
        <is>
          <t>US80282KBB17</t>
        </is>
      </c>
      <c r="B740" s="30" t="inlineStr">
        <is>
          <t>Hold</t>
        </is>
      </c>
      <c r="C740" s="30" t="inlineStr">
        <is>
          <t>Santander Holdings Usa</t>
        </is>
      </c>
      <c r="D740" s="30" t="n">
        <v>3.45</v>
      </c>
      <c r="E740" s="30" t="inlineStr">
        <is>
          <t>Sr Unsecured</t>
        </is>
      </c>
      <c r="F740" s="30" t="inlineStr">
        <is>
          <t>02.06.2025</t>
        </is>
      </c>
      <c r="G740" s="30" t="inlineStr">
        <is>
          <t>United states</t>
        </is>
      </c>
      <c r="H740" s="30" t="inlineStr">
        <is>
          <t>Financial</t>
        </is>
      </c>
      <c r="I740" s="30" t="n">
        <v>2</v>
      </c>
      <c r="J740" s="30" t="inlineStr">
        <is>
          <t>#N/A N/A</t>
        </is>
      </c>
      <c r="K740" s="30" t="inlineStr">
        <is>
          <t>#N/A N/A</t>
        </is>
      </c>
      <c r="L740" s="30" t="e">
        <v>#VALUE!</v>
      </c>
      <c r="M740" s="30" t="e">
        <v>#VALUE!</v>
      </c>
      <c r="N740" s="30" t="inlineStr">
        <is>
          <t>#N/A N/A</t>
        </is>
      </c>
      <c r="O740" s="30" t="n">
        <v>0.277011781</v>
      </c>
      <c r="P740" s="30" t="n">
        <v>80</v>
      </c>
      <c r="Q740" s="30" t="inlineStr">
        <is>
          <t>One of the largest bank in the Eurozone by market value</t>
        </is>
      </c>
      <c r="R740" s="30" t="inlineStr">
        <is>
          <t>USD</t>
        </is>
      </c>
      <c r="S740" s="30" t="inlineStr">
        <is>
          <t>Investment Grade</t>
        </is>
      </c>
      <c r="T740" s="30" t="inlineStr">
        <is>
          <t>NR</t>
        </is>
      </c>
      <c r="U740" s="30" t="inlineStr">
        <is>
          <t>BBB+</t>
        </is>
      </c>
      <c r="V740" s="30" t="n"/>
    </row>
    <row r="741">
      <c r="A741" s="30" t="inlineStr">
        <is>
          <t>ES00000126Z1</t>
        </is>
      </c>
      <c r="B741" s="30" t="inlineStr">
        <is>
          <t>Hold</t>
        </is>
      </c>
      <c r="C741" s="30" t="inlineStr">
        <is>
          <t>Bonos Y Oblig Del Estado</t>
        </is>
      </c>
      <c r="D741" s="30" t="n">
        <v>1.6</v>
      </c>
      <c r="E741" s="30" t="inlineStr">
        <is>
          <t>Sr Unsecured</t>
        </is>
      </c>
      <c r="F741" s="30" t="inlineStr">
        <is>
          <t>30.04.2025</t>
        </is>
      </c>
      <c r="G741" s="30" t="inlineStr">
        <is>
          <t>Spain</t>
        </is>
      </c>
      <c r="H741" s="30" t="inlineStr">
        <is>
          <t>Government</t>
        </is>
      </c>
      <c r="I741" s="30" t="n">
        <v>1</v>
      </c>
      <c r="J741" s="30" t="inlineStr">
        <is>
          <t>#N/A N/A</t>
        </is>
      </c>
      <c r="K741" s="30" t="inlineStr">
        <is>
          <t>#N/A N/A</t>
        </is>
      </c>
      <c r="L741" s="30" t="e">
        <v>#VALUE!</v>
      </c>
      <c r="M741" s="30" t="e">
        <v>#VALUE!</v>
      </c>
      <c r="N741" s="30" t="inlineStr">
        <is>
          <t>#N/A N/A</t>
        </is>
      </c>
      <c r="O741" s="30" t="n">
        <v>0.173882044</v>
      </c>
      <c r="P741" s="30" t="n">
        <v>80</v>
      </c>
      <c r="Q741" s="30" t="inlineStr">
        <is>
          <t>Spanish Government</t>
        </is>
      </c>
      <c r="R741" s="30" t="inlineStr">
        <is>
          <t>EUR</t>
        </is>
      </c>
      <c r="S741" s="30" t="inlineStr">
        <is>
          <t>Investment Grade</t>
        </is>
      </c>
      <c r="T741" s="30" t="inlineStr">
        <is>
          <t>NR</t>
        </is>
      </c>
      <c r="U741" s="30" t="inlineStr">
        <is>
          <t>BBB+</t>
        </is>
      </c>
      <c r="V741" s="30" t="n"/>
    </row>
    <row r="742">
      <c r="A742" s="30" t="inlineStr">
        <is>
          <t>XS1405766897</t>
        </is>
      </c>
      <c r="B742" s="30" t="inlineStr">
        <is>
          <t>Hold</t>
        </is>
      </c>
      <c r="C742" s="30" t="inlineStr">
        <is>
          <t>Verizon Communications</t>
        </is>
      </c>
      <c r="D742" s="30" t="n">
        <v>0.875</v>
      </c>
      <c r="E742" s="30" t="inlineStr">
        <is>
          <t>Sr Unsecured</t>
        </is>
      </c>
      <c r="F742" s="30" t="inlineStr">
        <is>
          <t>02.04.2025</t>
        </is>
      </c>
      <c r="G742" s="30" t="inlineStr">
        <is>
          <t>United states</t>
        </is>
      </c>
      <c r="H742" s="30" t="inlineStr">
        <is>
          <t>Communications</t>
        </is>
      </c>
      <c r="I742" s="30" t="n">
        <v>100</v>
      </c>
      <c r="J742" s="30" t="inlineStr">
        <is>
          <t>#N/A N/A</t>
        </is>
      </c>
      <c r="K742" s="30" t="inlineStr">
        <is>
          <t>#N/A N/A</t>
        </is>
      </c>
      <c r="L742" s="30" t="e">
        <v>#VALUE!</v>
      </c>
      <c r="M742" s="30" t="e">
        <v>#VALUE!</v>
      </c>
      <c r="N742" s="30" t="inlineStr">
        <is>
          <t>#N/A N/A</t>
        </is>
      </c>
      <c r="O742" s="30" t="n">
        <v>0.101124969</v>
      </c>
      <c r="P742" s="30" t="n">
        <v>80</v>
      </c>
      <c r="Q742" s="30" t="inlineStr">
        <is>
          <t>Second largest telecommunications provider in the United States</t>
        </is>
      </c>
      <c r="R742" s="30" t="inlineStr">
        <is>
          <t>EUR</t>
        </is>
      </c>
      <c r="S742" s="30" t="inlineStr">
        <is>
          <t>Investment Grade</t>
        </is>
      </c>
      <c r="T742" s="30" t="inlineStr">
        <is>
          <t>NR</t>
        </is>
      </c>
      <c r="U742" s="30" t="inlineStr">
        <is>
          <t>BBB+</t>
        </is>
      </c>
      <c r="V742" s="30" t="n"/>
    </row>
    <row r="743">
      <c r="A743" s="30" t="inlineStr">
        <is>
          <t>USL20041AD89</t>
        </is>
      </c>
      <c r="B743" s="30" t="inlineStr">
        <is>
          <t>Hold</t>
        </is>
      </c>
      <c r="C743" s="30" t="inlineStr">
        <is>
          <t>Cosan Luxembourg Sa</t>
        </is>
      </c>
      <c r="D743" s="30" t="n">
        <v>7</v>
      </c>
      <c r="E743" s="30" t="inlineStr">
        <is>
          <t>Sr Unsecured</t>
        </is>
      </c>
      <c r="F743" s="30" t="inlineStr">
        <is>
          <t>20.01.2027</t>
        </is>
      </c>
      <c r="G743" s="30" t="inlineStr">
        <is>
          <t>Brazil</t>
        </is>
      </c>
      <c r="H743" s="30" t="inlineStr">
        <is>
          <t>Energy</t>
        </is>
      </c>
      <c r="I743" s="30" t="n">
        <v>200</v>
      </c>
      <c r="J743" s="30" t="inlineStr">
        <is>
          <t>#N/A N/A</t>
        </is>
      </c>
      <c r="K743" s="30" t="inlineStr">
        <is>
          <t>#N/A N/A</t>
        </is>
      </c>
      <c r="L743" s="30" t="e">
        <v>#VALUE!</v>
      </c>
      <c r="M743" s="30" t="e">
        <v>#VALUE!</v>
      </c>
      <c r="N743" s="30" t="inlineStr">
        <is>
          <t>#N/A N/A</t>
        </is>
      </c>
      <c r="O743" s="30" t="n">
        <v>0.06363395199999999</v>
      </c>
      <c r="P743" s="30" t="n">
        <v>25</v>
      </c>
      <c r="Q743" s="30" t="inlineStr">
        <is>
          <t xml:space="preserve">Brazilian producer in  bioethanol, sugar and energy </t>
        </is>
      </c>
      <c r="R743" s="30" t="inlineStr">
        <is>
          <t>USD</t>
        </is>
      </c>
      <c r="S743" s="30" t="inlineStr">
        <is>
          <t>Latin America</t>
        </is>
      </c>
      <c r="T743" s="30" t="inlineStr">
        <is>
          <t>NR</t>
        </is>
      </c>
      <c r="U743" s="30" t="inlineStr">
        <is>
          <t>BB</t>
        </is>
      </c>
      <c r="V743" s="30" t="n"/>
    </row>
    <row r="744">
      <c r="A744" s="30" t="inlineStr">
        <is>
          <t>USP3631MAA38</t>
        </is>
      </c>
      <c r="B744" s="30" t="inlineStr">
        <is>
          <t xml:space="preserve">Hold </t>
        </is>
      </c>
      <c r="C744" s="30" t="inlineStr">
        <is>
          <t>Electricidad Firme De Me</t>
        </is>
      </c>
      <c r="D744" s="30" t="n">
        <v>4.9</v>
      </c>
      <c r="E744" s="30" t="inlineStr">
        <is>
          <t>Secured</t>
        </is>
      </c>
      <c r="F744" s="30" t="inlineStr">
        <is>
          <t>20.11.2026</t>
        </is>
      </c>
      <c r="G744" s="30" t="inlineStr">
        <is>
          <t>Mexico</t>
        </is>
      </c>
      <c r="H744" s="30" t="inlineStr">
        <is>
          <t>Utilities</t>
        </is>
      </c>
      <c r="I744" s="30" t="n">
        <v>200</v>
      </c>
      <c r="J744" s="30" t="inlineStr">
        <is>
          <t>#N/A N/A</t>
        </is>
      </c>
      <c r="K744" s="30" t="inlineStr">
        <is>
          <t>#N/A N/A</t>
        </is>
      </c>
      <c r="L744" s="30" t="e">
        <v>#VALUE!</v>
      </c>
      <c r="M744" s="30" t="e">
        <v>#VALUE!</v>
      </c>
      <c r="N744" s="30" t="inlineStr">
        <is>
          <t>#N/A N/A</t>
        </is>
      </c>
      <c r="O744" s="30" t="n">
        <v>0.058089307</v>
      </c>
      <c r="P744" s="30" t="n">
        <v>25</v>
      </c>
      <c r="Q744" s="30" t="inlineStr">
        <is>
          <t>Utility holding company</t>
        </is>
      </c>
      <c r="R744" s="30" t="inlineStr">
        <is>
          <t>USD</t>
        </is>
      </c>
      <c r="S744" s="30" t="inlineStr">
        <is>
          <t>Latin America</t>
        </is>
      </c>
      <c r="T744" s="30" t="inlineStr">
        <is>
          <t>NR</t>
        </is>
      </c>
      <c r="U744" s="30" t="inlineStr">
        <is>
          <t>BB</t>
        </is>
      </c>
      <c r="V744" s="30" t="n"/>
    </row>
    <row r="745">
      <c r="A745" s="30" t="inlineStr">
        <is>
          <t>DE000DB7XJP9</t>
        </is>
      </c>
      <c r="B745" s="30" t="inlineStr">
        <is>
          <t>Hold</t>
        </is>
      </c>
      <c r="C745" s="30" t="inlineStr">
        <is>
          <t>Deutsche Bank Ag</t>
        </is>
      </c>
      <c r="D745" s="30" t="n">
        <v>1.125</v>
      </c>
      <c r="E745" s="30" t="inlineStr">
        <is>
          <t>Sr Non Preferred</t>
        </is>
      </c>
      <c r="F745" s="30" t="inlineStr">
        <is>
          <t>17.03.2025</t>
        </is>
      </c>
      <c r="G745" s="30" t="inlineStr">
        <is>
          <t>Germany</t>
        </is>
      </c>
      <c r="H745" s="30" t="inlineStr">
        <is>
          <t>Financial</t>
        </is>
      </c>
      <c r="I745" s="30" t="n">
        <v>100</v>
      </c>
      <c r="J745" s="30" t="inlineStr">
        <is>
          <t>#N/A N/A</t>
        </is>
      </c>
      <c r="K745" s="30" t="inlineStr">
        <is>
          <t>#N/A N/A</t>
        </is>
      </c>
      <c r="L745" s="30" t="e">
        <v>#VALUE!</v>
      </c>
      <c r="M745" s="30" t="e">
        <v>#VALUE!</v>
      </c>
      <c r="N745" s="30" t="inlineStr">
        <is>
          <t>#N/A N/A</t>
        </is>
      </c>
      <c r="O745" s="30" t="n">
        <v>0.057446216</v>
      </c>
      <c r="P745" s="30" t="n">
        <v>80</v>
      </c>
      <c r="Q745" s="30" t="inlineStr">
        <is>
          <t>Germany's largest universal bank</t>
        </is>
      </c>
      <c r="R745" s="30" t="inlineStr">
        <is>
          <t>EUR</t>
        </is>
      </c>
      <c r="S745" s="30" t="inlineStr">
        <is>
          <t>Investment Grade</t>
        </is>
      </c>
      <c r="T745" s="30" t="inlineStr">
        <is>
          <t>NR</t>
        </is>
      </c>
      <c r="U745" s="30" t="inlineStr">
        <is>
          <t>BBB+</t>
        </is>
      </c>
      <c r="V745" s="30" t="n"/>
    </row>
    <row r="746">
      <c r="A746" s="30" t="inlineStr">
        <is>
          <t>XS1959498244</t>
        </is>
      </c>
      <c r="B746" s="30" t="inlineStr">
        <is>
          <t xml:space="preserve">Hold </t>
        </is>
      </c>
      <c r="C746" s="30" t="inlineStr">
        <is>
          <t>Ford Motor Credit Co Llc</t>
        </is>
      </c>
      <c r="D746" s="30" t="n">
        <v>4.535</v>
      </c>
      <c r="E746" s="30" t="inlineStr">
        <is>
          <t>Sr Unsecured</t>
        </is>
      </c>
      <c r="F746" s="30" t="inlineStr">
        <is>
          <t>06.03.2025</t>
        </is>
      </c>
      <c r="G746" s="30" t="inlineStr">
        <is>
          <t>United states</t>
        </is>
      </c>
      <c r="H746" s="30" t="inlineStr">
        <is>
          <t>Consumer, Cyclical</t>
        </is>
      </c>
      <c r="I746" s="30" t="n">
        <v>100</v>
      </c>
      <c r="J746" s="30" t="inlineStr">
        <is>
          <t>#N/A N/A</t>
        </is>
      </c>
      <c r="K746" s="30" t="inlineStr">
        <is>
          <t>#N/A N/A</t>
        </is>
      </c>
      <c r="L746" s="30" t="e">
        <v>#VALUE!</v>
      </c>
      <c r="M746" s="30" t="e">
        <v>#VALUE!</v>
      </c>
      <c r="N746" s="30" t="inlineStr">
        <is>
          <t>#N/A N/A</t>
        </is>
      </c>
      <c r="O746" s="30" t="n">
        <v>0.02736889</v>
      </c>
      <c r="P746" s="30" t="n">
        <v>20</v>
      </c>
      <c r="Q746" s="30" t="inlineStr">
        <is>
          <t>Global automotive manufacturer</t>
        </is>
      </c>
      <c r="R746" s="30" t="inlineStr">
        <is>
          <t>GBP</t>
        </is>
      </c>
      <c r="S746" s="30" t="inlineStr">
        <is>
          <t>Investment Grade</t>
        </is>
      </c>
      <c r="T746" s="30" t="inlineStr">
        <is>
          <t>NR</t>
        </is>
      </c>
      <c r="U746" s="30" t="inlineStr">
        <is>
          <t>BB+</t>
        </is>
      </c>
      <c r="V746" s="30" t="n"/>
    </row>
    <row r="747">
      <c r="A747" s="30" t="inlineStr">
        <is>
          <t>XS1813724603</t>
        </is>
      </c>
      <c r="B747" s="30" t="inlineStr">
        <is>
          <t>Hold</t>
        </is>
      </c>
      <c r="C747" s="30" t="inlineStr">
        <is>
          <t>Teva Pharm Fnc Nl Ii</t>
        </is>
      </c>
      <c r="D747" s="30" t="n">
        <v>4.5</v>
      </c>
      <c r="E747" s="30" t="inlineStr">
        <is>
          <t>Sr Unsecured</t>
        </is>
      </c>
      <c r="F747" s="30" t="inlineStr">
        <is>
          <t>01.03.2025</t>
        </is>
      </c>
      <c r="G747" s="30" t="inlineStr">
        <is>
          <t>Israel</t>
        </is>
      </c>
      <c r="H747" s="30" t="inlineStr">
        <is>
          <t>Consumer, Non-cyclical</t>
        </is>
      </c>
      <c r="I747" s="30" t="n">
        <v>100</v>
      </c>
      <c r="J747" s="30" t="inlineStr">
        <is>
          <t>#N/A N/A</t>
        </is>
      </c>
      <c r="K747" s="30" t="inlineStr">
        <is>
          <t>#N/A N/A</t>
        </is>
      </c>
      <c r="L747" s="30" t="e">
        <v>#VALUE!</v>
      </c>
      <c r="M747" s="30" t="e">
        <v>#VALUE!</v>
      </c>
      <c r="N747" s="30" t="inlineStr">
        <is>
          <t>#N/A N/A</t>
        </is>
      </c>
      <c r="O747" s="30" t="n">
        <v>0.019480101</v>
      </c>
      <c r="P747" s="30" t="n">
        <v>25</v>
      </c>
      <c r="Q747" s="30" t="inlineStr">
        <is>
          <t>Largest manufacturer of pharmaceutical generics</t>
        </is>
      </c>
      <c r="R747" s="30" t="inlineStr">
        <is>
          <t>EUR</t>
        </is>
      </c>
      <c r="S747" s="30" t="inlineStr">
        <is>
          <t>High Yield</t>
        </is>
      </c>
      <c r="T747" s="30" t="inlineStr">
        <is>
          <t>NR</t>
        </is>
      </c>
      <c r="U747" s="30" t="inlineStr">
        <is>
          <t>BB</t>
        </is>
      </c>
      <c r="V747" s="3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59E0B"/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5" customWidth="1" min="2" max="2"/>
  </cols>
  <sheetData>
    <row r="1">
      <c r="A1" s="1" t="inlineStr">
        <is>
          <t>Bond spread variation since 14.07.2026</t>
        </is>
      </c>
      <c r="B1" s="31" t="inlineStr"/>
    </row>
    <row r="2">
      <c r="A2" s="2" t="inlineStr"/>
      <c r="B2" s="32" t="inlineStr"/>
    </row>
    <row r="3">
      <c r="A3" s="33" t="inlineStr">
        <is>
          <t>SHEETS</t>
        </is>
      </c>
      <c r="B3" s="31" t="inlineStr"/>
    </row>
    <row r="4">
      <c r="A4" s="2" t="inlineStr">
        <is>
          <t>Spread Monitor</t>
        </is>
      </c>
      <c r="B4" s="32" t="inlineStr">
        <is>
          <t>One row per bond (763 ISINs). Every column except A is a formula. Filter and sort with the arrows on row 6 - no macro involved.</t>
        </is>
      </c>
    </row>
    <row r="5">
      <c r="A5" s="2" t="inlineStr">
        <is>
          <t>Top &amp; Bottom</t>
        </is>
      </c>
      <c r="B5" s="32" t="inlineStr">
        <is>
          <t>Top 10 wideners and Top 10 tighteners per currency (USD, EUR, GBP, CHF), pulled live from Spread Monitor with INDEX/MATCH on the hidden ranking keys (columns V:Y).</t>
        </is>
      </c>
    </row>
    <row r="6">
      <c r="A6" s="2" t="inlineStr">
        <is>
          <t>Company_desc</t>
        </is>
      </c>
      <c r="B6" s="32" t="inlineStr">
        <is>
          <t>Input data: the ISIN -&gt; company-description library carried over from the original workbook.</t>
        </is>
      </c>
    </row>
    <row r="7">
      <c r="A7" s="2" t="inlineStr">
        <is>
          <t>SYZ_static</t>
        </is>
      </c>
      <c r="B7" s="32" t="inlineStr">
        <is>
          <t>Input data: the SYZ-internal fields (SYZ view, Ind LV., Bond Classification, Tax Group, rating) that are not available on Bloomberg, carried over from the original workbook.</t>
        </is>
      </c>
    </row>
    <row r="8">
      <c r="A8" s="2" t="inlineStr"/>
      <c r="B8" s="32" t="inlineStr"/>
    </row>
    <row r="9">
      <c r="A9" s="33" t="inlineStr">
        <is>
          <t>HOW TO USE</t>
        </is>
      </c>
      <c r="B9" s="31" t="inlineStr"/>
    </row>
    <row r="10">
      <c r="A10" s="2" t="inlineStr">
        <is>
          <t>1</t>
        </is>
      </c>
      <c r="B10" s="32" t="inlineStr">
        <is>
          <t>Open with the Bloomberg add-in connected, then Ctrl+Alt+F9 to force a full recalculation.</t>
        </is>
      </c>
    </row>
    <row r="11">
      <c r="A11" s="2" t="inlineStr">
        <is>
          <t>2</t>
        </is>
      </c>
      <c r="B11" s="32" t="inlineStr">
        <is>
          <t>Change the anchor date in Spread Monitor!B2 (blue on yellow) to re-base everything. The four "since" headers rewrite themselves.</t>
        </is>
      </c>
    </row>
    <row r="12">
      <c r="A12" s="2" t="inlineStr">
        <is>
          <t>3</t>
        </is>
      </c>
      <c r="B12" s="32" t="inlineStr">
        <is>
          <t>Add bonds by pasting ISINs at the bottom of column A - all formulas already run to row 850.</t>
        </is>
      </c>
    </row>
    <row r="13">
      <c r="A13" s="2" t="inlineStr"/>
      <c r="B13" s="32" t="inlineStr"/>
    </row>
    <row r="14">
      <c r="A14" s="33" t="inlineStr">
        <is>
          <t>BLOOMBERG FIELDS</t>
        </is>
      </c>
      <c r="B14" s="31" t="inlineStr"/>
    </row>
    <row r="15">
      <c r="A15" s="2" t="inlineStr">
        <is>
          <t>Company</t>
        </is>
      </c>
      <c r="B15" s="32" t="inlineStr">
        <is>
          <t>PROPER(BDP(ISIN &amp; " Corp","NAME"))</t>
        </is>
      </c>
    </row>
    <row r="16">
      <c r="A16" s="2" t="inlineStr">
        <is>
          <t>Sector</t>
        </is>
      </c>
      <c r="B16" s="32" t="inlineStr">
        <is>
          <t>BDP("INDUSTRY_SECTOR")</t>
        </is>
      </c>
    </row>
    <row r="17">
      <c r="A17" s="2" t="inlineStr">
        <is>
          <t>Country</t>
        </is>
      </c>
      <c r="B17" s="32" t="inlineStr">
        <is>
          <t>PROPER(BDP("COUNTRY_FULL_NAME"))</t>
        </is>
      </c>
    </row>
    <row r="18">
      <c r="A18" s="2" t="inlineStr">
        <is>
          <t>Ccy</t>
        </is>
      </c>
      <c r="B18" s="32" t="inlineStr">
        <is>
          <t>BDP("CRNCY")</t>
        </is>
      </c>
    </row>
    <row r="19">
      <c r="A19" s="2" t="inlineStr">
        <is>
          <t>Structure</t>
        </is>
      </c>
      <c r="B19" s="32" t="inlineStr">
        <is>
          <t>BDP("PAYMENT_RANK")</t>
        </is>
      </c>
    </row>
    <row r="20">
      <c r="A20" s="2" t="inlineStr">
        <is>
          <t>Coupon / Maturity</t>
        </is>
      </c>
      <c r="B20" s="32" t="inlineStr">
        <is>
          <t>BDP("CPN") / BDP("MATURITY")</t>
        </is>
      </c>
    </row>
    <row r="21">
      <c r="A21" s="2" t="inlineStr">
        <is>
          <t>Den. (k)</t>
        </is>
      </c>
      <c r="B21" s="32" t="inlineStr">
        <is>
          <t>BDP("MIN_PIECE")/1000</t>
        </is>
      </c>
    </row>
    <row r="22">
      <c r="A22" s="2" t="inlineStr">
        <is>
          <t>Price</t>
        </is>
      </c>
      <c r="B22" s="32" t="inlineStr">
        <is>
          <t>BDP("PX_LAST")</t>
        </is>
      </c>
    </row>
    <row r="23">
      <c r="A23" s="2" t="inlineStr">
        <is>
          <t>YTW (%)</t>
        </is>
      </c>
      <c r="B23" s="32" t="inlineStr">
        <is>
          <t>BDP("YAS_BOND_YLD","YAS_YLD_FLAG=15")</t>
        </is>
      </c>
    </row>
    <row r="24">
      <c r="A24" s="2" t="inlineStr">
        <is>
          <t>Mod. dur.</t>
        </is>
      </c>
      <c r="B24" s="32" t="inlineStr">
        <is>
          <t>BDP("YAS_MOD_DUR")</t>
        </is>
      </c>
    </row>
    <row r="25">
      <c r="A25" s="2" t="inlineStr">
        <is>
          <t>Spread today (bp)</t>
        </is>
      </c>
      <c r="B25" s="32" t="inlineStr">
        <is>
          <t>BDP("YAS_OAS_SPRD")</t>
        </is>
      </c>
    </row>
    <row r="26">
      <c r="A26" s="2" t="inlineStr">
        <is>
          <t>Spread on anchor (bp)</t>
        </is>
      </c>
      <c r="B26" s="32" t="inlineStr">
        <is>
          <t>BDP("YAS_OAS_SPRD","SETTLE_DT",$B$2)</t>
        </is>
      </c>
    </row>
    <row r="27">
      <c r="A27" s="2" t="inlineStr">
        <is>
          <t>YTW on anchor (%)</t>
        </is>
      </c>
      <c r="B27" s="32" t="inlineStr">
        <is>
          <t>BDP("YAS_BOND_YLD","YAS_YLD_FLAG=15","SETTLE_DT",$B$2)</t>
        </is>
      </c>
    </row>
    <row r="28">
      <c r="A28" s="2" t="inlineStr">
        <is>
          <t>Spread change / YTW change</t>
        </is>
      </c>
      <c r="B28" s="32" t="inlineStr">
        <is>
          <t>Plain subtraction of the two columns above - not a third Bloomberg call.</t>
        </is>
      </c>
    </row>
    <row r="29">
      <c r="A29" s="2" t="inlineStr">
        <is>
          <t>Rating</t>
        </is>
      </c>
      <c r="B29" s="32" t="inlineStr">
        <is>
          <t>SYZ_static lookup, falling back to BDP("RTG_SP") for ISINs not in that sheet.</t>
        </is>
      </c>
    </row>
    <row r="30">
      <c r="A30" s="2" t="inlineStr">
        <is>
          <t>Company description / SYZ view / Classification</t>
        </is>
      </c>
      <c r="B30" s="32" t="inlineStr">
        <is>
          <t>INDEX/MATCH on Company_desc and SYZ_static by ISIN.</t>
        </is>
      </c>
    </row>
    <row r="31">
      <c r="A31" s="2" t="inlineStr"/>
      <c r="B31" s="32" t="inlineStr"/>
    </row>
    <row r="32">
      <c r="A32" s="33" t="inlineStr">
        <is>
          <t>NOTES</t>
        </is>
      </c>
      <c r="B32" s="31" t="inlineStr"/>
    </row>
    <row r="33">
      <c r="A33" s="2" t="inlineStr">
        <is>
          <t>Not recalculated offline</t>
        </is>
      </c>
      <c r="B33" s="32" t="inlineStr">
        <is>
          <t>Every value comes from the Bloomberg add-in (_xll.BDP), which resolves only on a terminal-connected machine. Cells read as 0 or blank until you refresh in Excel.</t>
        </is>
      </c>
    </row>
    <row r="34">
      <c r="A34" s="2" t="inlineStr">
        <is>
          <t>Blank-guarded</t>
        </is>
      </c>
      <c r="B34" s="32" t="inlineStr">
        <is>
          <t>Every formula is wrapped in IF($A="","",...), so the unused rows below the last ISIN stay empty instead of filling the sheet with errors.</t>
        </is>
      </c>
    </row>
    <row r="35">
      <c r="A35" s="2" t="inlineStr">
        <is>
          <t>Ranking columns</t>
        </is>
      </c>
      <c r="B35" s="32" t="inlineStr">
        <is>
          <t>V:Y on Spread Monitor are grouped and hidden. Rank = COUNTIFS within currency, with a running COUNTIFS tie-break so two bonds with the same move never share a rank.</t>
        </is>
      </c>
    </row>
    <row r="36">
      <c r="A36" s="2" t="inlineStr">
        <is>
          <t>ISIN universe</t>
        </is>
      </c>
      <c r="B36" s="32" t="inlineStr">
        <is>
          <t>The 746 bonds from the original Sheet1 plus the 17 newer ISINs that were sitting on the original Formulas sheet = 763 in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2026-08-28T06:40:02Z</dcterms:created>
  <dcterms:modified xsi:type="dcterms:W3CDTF">2026-08-28T06:40:04Z</dcterms:modified>
</cp:coreProperties>
</file>